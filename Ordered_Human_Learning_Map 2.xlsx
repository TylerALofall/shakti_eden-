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4885d01ce47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969fd9cada8e4fe3"/>
    <x:sheet xmlns:r="http://schemas.openxmlformats.org/officeDocument/2006/relationships" name="Master Sequence" sheetId="2" r:id="Rb1cdc01cfe794926"/>
    <x:sheet xmlns:r="http://schemas.openxmlformats.org/officeDocument/2006/relationships" name="Dashboard" sheetId="3" r:id="Rb209ab1dda50442b"/>
    <x:sheet xmlns:r="http://schemas.openxmlformats.org/officeDocument/2006/relationships" name="Memory Architecture" sheetId="4" r:id="R1173a1d74f644787"/>
    <x:sheet xmlns:r="http://schemas.openxmlformats.org/officeDocument/2006/relationships" name="Stage Map" sheetId="5" r:id="R72e83cd46d464cd0"/>
    <x:sheet xmlns:r="http://schemas.openxmlformats.org/officeDocument/2006/relationships" name="Domain Paths" sheetId="6" r:id="Rd21ef8bbdea74065"/>
    <x:sheet xmlns:r="http://schemas.openxmlformats.org/officeDocument/2006/relationships" name="Knowledge Graph" sheetId="7" r:id="Rcf750ade1f02482d"/>
    <x:sheet xmlns:r="http://schemas.openxmlformats.org/officeDocument/2006/relationships" name="Sources" sheetId="8" r:id="R1f1934faf08f4956"/>
    <x:sheet xmlns:r="http://schemas.openxmlformats.org/officeDocument/2006/relationships" name="Glossary" sheetId="9" r:id="R89e56085c2ab4474"/>
    <x:sheet xmlns:r="http://schemas.openxmlformats.org/officeDocument/2006/relationships" name="Lookups" sheetId="10" r:id="Rfb9630a46fc24a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9">
    <x:font>
      <x:sz val="11"/>
      <x:name val="Carlito"/>
    </x:font>
    <x:font>
      <x:b/>
      <x:sz val="20"/>
      <x:color rgb="FFFFFFFF"/>
      <x:name val="Aptos Display"/>
    </x:font>
    <x:font>
      <x:i/>
      <x:sz val="10"/>
      <x:color rgb="FF17324D"/>
      <x:name val="Aptos"/>
    </x:font>
    <x:font>
      <x:b/>
      <x:sz val="10"/>
      <x:color rgb="FFFFFFFF"/>
      <x:name val="Aptos"/>
    </x:font>
    <x:font>
      <x:sz val="9"/>
      <x:color rgb="FF1F2933"/>
      <x:name val="Aptos"/>
    </x:font>
    <x:font>
      <x:b/>
      <x:sz val="10"/>
      <x:color rgb="FF17324D"/>
      <x:name val="Aptos"/>
    </x:font>
    <x:font>
      <x:b/>
      <x:sz val="18"/>
      <x:color rgb="FF2A7F7B"/>
      <x:name val="Aptos Display"/>
    </x:font>
    <x:font>
      <x:b/>
      <x:sz val="13"/>
      <x:color rgb="FF17324D"/>
      <x:name val="Aptos Display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7"/>
      </x:patternFill>
    </x:fill>
    <x:fill>
      <x:patternFill patternType="solid">
        <x:fgColor rgb="FF255F85"/>
      </x:patternFill>
    </x:fill>
    <x:fill>
      <x:patternFill patternType="solid">
        <x:fgColor rgb="FFFBF4E4"/>
      </x:patternFill>
    </x:fill>
    <x:fill>
      <x:patternFill patternType="solid">
        <x:fgColor rgb="FFE8F4F2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horizontal="left" wrapText="1"/>
    </x:xf>
    <x:xf numFmtId="0" fontId="4" fillId="0" borderId="4" xfId="0" applyNumberFormat="1" applyFont="1" applyFill="1" applyBorder="1" applyAlignment="1">
      <x:alignment horizontal="left" wrapText="1"/>
    </x:xf>
    <x:xf numFmtId="0" fontId="4" fillId="0" borderId="3" xfId="0" applyNumberFormat="1" applyFont="1" applyFill="1" applyBorder="1" applyAlignment="1">
      <x:alignment horizontal="left" vertical="top" wrapText="1"/>
    </x:xf>
    <x:xf numFmtId="0" fontId="4" fillId="0" borderId="4" xfId="0" applyNumberFormat="1" applyFont="1" applyFill="1" applyBorder="1" applyAlignment="1">
      <x:alignment horizontal="left" vertical="top" wrapText="1"/>
    </x:xf>
    <x:xf numFmtId="0" fontId="5" fillId="0" borderId="3" xfId="0" applyNumberFormat="1" applyFont="1" applyFill="1" applyBorder="1" applyAlignment="1">
      <x:alignment horizontal="left" vertical="top" wrapText="1"/>
    </x:xf>
    <x:xf numFmtId="0" fontId="5" fillId="0" borderId="4" xfId="0" applyNumberFormat="1" applyFont="1" applyFill="1" applyBorder="1" applyAlignment="1">
      <x:alignment horizontal="left" vertical="top" wrapText="1"/>
    </x:xf>
    <x:xf numFmtId="0" fontId="5" fillId="5" borderId="3" xfId="0" applyNumberFormat="1" applyFont="1" applyFill="1" applyBorder="1" applyAlignment="1">
      <x:alignment horizontal="left" vertical="top" wrapText="1"/>
    </x:xf>
    <x:xf numFmtId="0" fontId="5" fillId="5" borderId="4" xfId="0" applyNumberFormat="1" applyFont="1" applyFill="1" applyBorder="1" applyAlignment="1">
      <x:alignment horizontal="left" vertical="top" wrapText="1"/>
    </x:xf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200" fontId="4" fillId="0" borderId="3" xfId="0" applyNumberFormat="1" applyFont="1" applyFill="1" applyBorder="1" applyAlignment="1">
      <x:alignment horizontal="left" vertical="top" wrapText="1"/>
    </x:xf>
    <x:xf numFmtId="200" fontId="4" fillId="0" borderId="4" xfId="0" applyNumberFormat="1" applyFont="1" applyFill="1" applyBorder="1" applyAlignment="1">
      <x:alignment horizontal="left" vertical="top" wrapText="1"/>
    </x:xf>
    <x:xf numFmtId="0" fontId="4" fillId="5" borderId="3" xfId="0" applyNumberFormat="1" applyFont="1" applyFill="1" applyBorder="1" applyAlignment="1">
      <x:alignment horizontal="left" vertical="top" wrapText="1"/>
    </x:xf>
    <x:xf numFmtId="0" fontId="4" fillId="5" borderId="4" xfId="0" applyNumberFormat="1" applyFont="1" applyFill="1" applyBorder="1" applyAlignment="1">
      <x:alignment horizontal="left" vertical="top" wrapText="1"/>
    </x:xf>
    <x:xf numFmtId="0" fontId="4" fillId="6" borderId="3" xfId="0" applyNumberFormat="1" applyFont="1" applyFill="1" applyBorder="1" applyAlignment="1">
      <x:alignment horizontal="left" vertical="top" wrapText="1"/>
    </x:xf>
    <x:xf numFmtId="0" fontId="4" fillId="6" borderId="4" xfId="0" applyNumberFormat="1" applyFont="1" applyFill="1" applyBorder="1" applyAlignment="1">
      <x:alignment horizontal="left" vertical="top" wrapText="1"/>
    </x:xf>
    <x:xf numFmtId="0" fontId="6" fillId="6" borderId="3" xfId="0" applyNumberFormat="1" applyFont="1" applyFill="1" applyBorder="1" applyAlignment="1">
      <x:alignment horizontal="left" vertical="top" wrapText="1"/>
    </x:xf>
    <x:xf numFmtId="0" fontId="6" fillId="6" borderId="4" xfId="0" applyNumberFormat="1" applyFont="1" applyFill="1" applyBorder="1" applyAlignment="1">
      <x:alignment horizontal="left" vertical="top" wrapText="1"/>
    </x:xf>
    <x:xf numFmtId="0" fontId="6" fillId="6" borderId="3" xfId="0" applyNumberFormat="1" applyFont="1" applyFill="1" applyBorder="1" applyAlignment="1">
      <x:alignment horizontal="center" vertical="top" wrapText="1"/>
    </x:xf>
    <x:xf numFmtId="0" fontId="6" fillId="6" borderId="4" xfId="0" applyNumberFormat="1" applyFont="1" applyFill="1" applyBorder="1" applyAlignment="1">
      <x:alignment horizontal="center" vertical="top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left" vertical="top" wrapText="1"/>
    </x:xf>
    <x:xf numFmtId="201" fontId="4" fillId="0" borderId="4" xfId="0" applyNumberFormat="1" applyFont="1" applyFill="1" applyBorder="1" applyAlignment="1">
      <x:alignment horizontal="left" vertical="top" wrapText="1"/>
    </x:xf>
    <x:xf numFmtId="0" fontId="7" fillId="5" borderId="3" xfId="0" applyNumberFormat="1" applyFont="1" applyFill="1" applyBorder="1" applyAlignment="1">
      <x:alignment horizontal="left" vertical="top" wrapText="1"/>
    </x:xf>
    <x:xf numFmtId="0" fontId="7" fillId="5" borderId="4" xfId="0" applyNumberFormat="1" applyFont="1" applyFill="1" applyBorder="1" applyAlignment="1">
      <x:alignment horizontal="left" vertical="top" wrapText="1"/>
    </x:xf>
    <x:xf numFmtId="0" fontId="7" fillId="5" borderId="3" xfId="0" applyNumberFormat="1" applyFont="1" applyFill="1" applyBorder="1" applyAlignment="1">
      <x:alignment horizontal="center" vertical="top" wrapText="1"/>
    </x:xf>
    <x:xf numFmtId="0" fontId="7" fillId="5" borderId="4" xfId="0" applyNumberFormat="1" applyFont="1" applyFill="1" applyBorder="1" applyAlignment="1">
      <x:alignment horizontal="center" vertical="top" wrapText="1"/>
    </x:xf>
    <x:xf numFmtId="0" fontId="7" fillId="5" borderId="3" xfId="0" applyNumberFormat="1" applyFont="1" applyFill="1" applyBorder="1" applyAlignment="1">
      <x:alignment horizontal="center" vertical="center" wrapText="1"/>
    </x:xf>
    <x:xf numFmtId="0" fontId="7" fillId="5" borderId="4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1F2933"/>
      </x:font>
      <x:fill>
        <x:patternFill patternType="solid">
          <x:bgColor rgb="FFE5E7EB"/>
        </x:patternFill>
      </x:fill>
    </x:dxf>
    <x:dxf>
      <x:font>
        <x:b/>
        <x:color rgb="FF1F2933"/>
      </x:font>
      <x:fill>
        <x:patternFill patternType="solid">
          <x:bgColor rgb="FFDCEAF7"/>
        </x:patternFill>
      </x:fill>
    </x:dxf>
    <x:dxf>
      <x:font>
        <x:b/>
        <x:color rgb="FF1F2933"/>
      </x:font>
      <x:fill>
        <x:patternFill patternType="solid">
          <x:bgColor rgb="FFFFF0C7"/>
        </x:patternFill>
      </x:fill>
    </x:dxf>
    <x:dxf>
      <x:font>
        <x:b/>
        <x:color rgb="FF1F2933"/>
      </x:font>
      <x:fill>
        <x:patternFill patternType="solid">
          <x:bgColor rgb="FFDDF2E5"/>
        </x:patternFill>
      </x:fill>
    </x:dxf>
    <x:dxf>
      <x:font>
        <x:b/>
        <x:color rgb="FF1F2933"/>
      </x:font>
      <x:fill>
        <x:patternFill patternType="solid">
          <x:bgColor rgb="FFB8DFC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08383e7e074a4d" /><Relationship Type="http://schemas.openxmlformats.org/officeDocument/2006/relationships/theme" Target="/xl/theme/theme1.xml" Id="R63db7990a1514bfa" /><Relationship Type="http://schemas.openxmlformats.org/officeDocument/2006/relationships/sharedStrings" Target="/xl/sharedStrings.xml" Id="R34a8fd3be83f41e7" /><Relationship Type="http://schemas.openxmlformats.org/officeDocument/2006/relationships/worksheet" Target="/xl/worksheets/sheet1.xml" Id="R969fd9cada8e4fe3" /><Relationship Type="http://schemas.openxmlformats.org/officeDocument/2006/relationships/worksheet" Target="/xl/worksheets/sheet2.xml" Id="Rb1cdc01cfe794926" /><Relationship Type="http://schemas.openxmlformats.org/officeDocument/2006/relationships/worksheet" Target="/xl/worksheets/sheet3.xml" Id="Rb209ab1dda50442b" /><Relationship Type="http://schemas.openxmlformats.org/officeDocument/2006/relationships/worksheet" Target="/xl/worksheets/sheet4.xml" Id="R1173a1d74f644787" /><Relationship Type="http://schemas.openxmlformats.org/officeDocument/2006/relationships/worksheet" Target="/xl/worksheets/sheet5.xml" Id="R72e83cd46d464cd0" /><Relationship Type="http://schemas.openxmlformats.org/officeDocument/2006/relationships/worksheet" Target="/xl/worksheets/sheet6.xml" Id="Rd21ef8bbdea74065" /><Relationship Type="http://schemas.openxmlformats.org/officeDocument/2006/relationships/worksheet" Target="/xl/worksheets/sheet7.xml" Id="Rcf750ade1f02482d" /><Relationship Type="http://schemas.openxmlformats.org/officeDocument/2006/relationships/worksheet" Target="/xl/worksheets/sheet8.xml" Id="R1f1934faf08f4956" /><Relationship Type="http://schemas.openxmlformats.org/officeDocument/2006/relationships/worksheet" Target="/xl/worksheets/sheet9.xml" Id="R89e56085c2ab4474" /><Relationship Type="http://schemas.openxmlformats.org/officeDocument/2006/relationships/worksheet" Target="/xl/worksheets/sheet10.xml" Id="Rfb9630a46fc24a46" /><Relationship Type="http://schemas.microsoft.com/office/2017/10/relationships/person" Target="/xl/persons/person.xml" Id="Rca3d03fabfe145af" /></Relationships>
</file>

<file path=xl/persons/person.xml><?xml version="1.0" encoding="utf-8"?>
<xltc:personList xmlns:xltc="http://schemas.microsoft.com/office/spreadsheetml/2018/threadedcomments">
  <xltc:person displayName="Research Map" id="{CBD3A6AA-A3AE-4FBD-A687-BDD5BFB3BDC7}"/>
</xltc:personList>
</file>

<file path=xl/tables/table1.xml><?xml version="1.0" encoding="utf-8"?>
<x:table xmlns:x="http://schemas.openxmlformats.org/spreadsheetml/2006/main" id="1" name="MasterSequenceTable" displayName="MasterSequenceTable" ref="A4:X479" headerRowCount="1" totalsRowCount="0" totalsRowShown="0">
  <x:autoFilter ref="A4:X479"/>
  <x:tableColumns count="24">
    <x:tableColumn id="1" name="Topic ID"/>
    <x:tableColumn id="2" name="Global Order"/>
    <x:tableColumn id="3" name="Stage ID"/>
    <x:tableColumn id="4" name="Stage Order"/>
    <x:tableColumn id="5" name="Age / Level"/>
    <x:tableColumn id="6" name="Grade / Course"/>
    <x:tableColumn id="7" name="Stage Title"/>
    <x:tableColumn id="8" name="Domain"/>
    <x:tableColumn id="9" name="Strand"/>
    <x:tableColumn id="10" name="Topic"/>
    <x:tableColumn id="11" name="Definition"/>
    <x:tableColumn id="12" name="Prerequisite Skills"/>
    <x:tableColumn id="13" name="Previous Domain Node"/>
    <x:tableColumn id="14" name="Grounding Anchor"/>
    <x:tableColumn id="15" name="Cross-Domain Links"/>
    <x:tableColumn id="16" name="Why Here / What It Unlocks"/>
    <x:tableColumn id="17" name="Next Domain Node"/>
    <x:tableColumn id="18" name="Observable Mastery Evidence"/>
    <x:tableColumn id="19" name="Source IDs"/>
    <x:tableColumn id="20" name="Readiness / Variation Note"/>
    <x:tableColumn id="21" name="Learner Status"/>
    <x:tableColumn id="22" name="Learner Evidence / Notes"/>
    <x:tableColumn id="23" name="Last Reviewed"/>
    <x:tableColumn id="24" name="Next Revie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geMapTable" displayName="StageMapTable" ref="A4:I29" headerRowCount="1" totalsRowCount="0" totalsRowShown="0">
  <x:autoFilter ref="A4:I29"/>
  <x:tableColumns count="9">
    <x:tableColumn id="1" name="Stage ID"/>
    <x:tableColumn id="2" name="Order"/>
    <x:tableColumn id="3" name="Age / Level"/>
    <x:tableColumn id="4" name="Grade / Course"/>
    <x:tableColumn id="5" name="Stage Title"/>
    <x:tableColumn id="6" name="Purpose / Readiness Focus"/>
    <x:tableColumn id="7" name="Topic Nodes"/>
    <x:tableColumn id="8" name="Next Stage"/>
    <x:tableColumn id="9" name="Next G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nowledgeGraphEdges" displayName="KnowledgeGraphEdges" ref="A4:J2841" headerRowCount="1" totalsRowCount="0" totalsRowShown="0">
  <x:autoFilter ref="A4:J2841"/>
  <x:tableColumns count="10">
    <x:tableColumn id="1" name="Edge ID"/>
    <x:tableColumn id="2" name="Source Node ID"/>
    <x:tableColumn id="3" name="Source Label"/>
    <x:tableColumn id="4" name="Edge Type"/>
    <x:tableColumn id="5" name="Target Node ID"/>
    <x:tableColumn id="6" name="Target Label"/>
    <x:tableColumn id="7" name="Stage ID"/>
    <x:tableColumn id="8" name="Domain"/>
    <x:tableColumn id="9" name="Topic Source IDs"/>
    <x:tableColumn id="1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RegisterTable" displayName="SourceRegisterTable" ref="A4:F38" headerRowCount="1" totalsRowCount="0" totalsRowShown="0">
  <x:autoFilter ref="A4:F38"/>
  <x:tableColumns count="6">
    <x:tableColumn id="1" name="Source ID"/>
    <x:tableColumn id="2" name="Title"/>
    <x:tableColumn id="3" name="Coverage"/>
    <x:tableColumn id="4" name="How Used"/>
    <x:tableColumn id="5" name="URL"/>
    <x:tableColumn id="6" name="Access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6cc2e7cede4c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45425b46196e4f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e449e495a2d742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9968cce643ea42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4" t="str">
        <x:v>ORDERED HUMAN LEARNING MAP</x:v>
      </x:c>
      <x:c r="B1" s="4" t="str">
        <x:v>ORDERED HUMAN LEARNING MAP</x:v>
      </x:c>
      <x:c r="C1" s="4" t="str">
        <x:v>ORDERED HUMAN LEARNING MAP</x:v>
      </x:c>
      <x:c r="D1" s="4" t="str">
        <x:v>ORDERED HUMAN LEARNING MAP</x:v>
      </x:c>
      <x:c r="E1" s="4" t="str">
        <x:v>ORDERED HUMAN LEARNING MAP</x:v>
      </x:c>
      <x:c r="F1" s="4" t="str">
        <x:v>ORDERED HUMAN LEARNING MAP</x:v>
      </x:c>
      <x:c r="G1" s="4" t="str">
        <x:v>ORDERED HUMAN LEARNING MAP</x:v>
      </x:c>
      <x:c r="H1" s="4" t="str">
        <x:v>ORDERED HUMAN LEARNING MAP</x:v>
      </x:c>
    </x:row>
    <x:row r="2" ht="30" customHeight="1">
      <x:c r="A2" s="8" t="str">
        <x:v>Birth through Grade 12, with an advanced bridge • 475 grounded topic nodes • Research current through July 14, 2026</x:v>
      </x:c>
      <x:c r="B2" s="8" t="str">
        <x:v>Birth through Grade 12, with an advanced bridge • 475 grounded topic nodes • Research current through July 14, 2026</x:v>
      </x:c>
      <x:c r="C2" s="8" t="str">
        <x:v>Birth through Grade 12, with an advanced bridge • 475 grounded topic nodes • Research current through July 14, 2026</x:v>
      </x:c>
      <x:c r="D2" s="8" t="str">
        <x:v>Birth through Grade 12, with an advanced bridge • 475 grounded topic nodes • Research current through July 14, 2026</x:v>
      </x:c>
      <x:c r="E2" s="8" t="str">
        <x:v>Birth through Grade 12, with an advanced bridge • 475 grounded topic nodes • Research current through July 14, 2026</x:v>
      </x:c>
      <x:c r="F2" s="8" t="str">
        <x:v>Birth through Grade 12, with an advanced bridge • 475 grounded topic nodes • Research current through July 14, 2026</x:v>
      </x:c>
      <x:c r="G2" s="8" t="str">
        <x:v>Birth through Grade 12, with an advanced bridge • 475 grounded topic nodes • Research current through July 14, 2026</x:v>
      </x:c>
      <x:c r="H2" s="8" t="str">
        <x:v>Birth through Grade 12, with an advanced bridge • 475 grounded topic nodes • Research current through July 14, 2026</x:v>
      </x:c>
    </x:row>
    <x:row r="4" ht="32" customHeight="1">
      <x:c r="A4" s="17" t="str">
        <x:v>SECTION</x:v>
      </x:c>
      <x:c r="B4" s="18" t="str">
        <x:v>DEFINITION / USE</x:v>
      </x:c>
    </x:row>
    <x:row r="5">
      <x:c r="A5" s="30" t="str">
        <x:v>Purpose</x:v>
      </x:c>
      <x:c r="B5" s="26" t="str">
        <x:v>A dependency-ordered curriculum and learning-science map. Each topic has a definition, prerequisites, grounding level, cross-domain links, next-use relationship, observable evidence, and sources.</x:v>
      </x:c>
    </x:row>
    <x:row r="6">
      <x:c r="A6" s="31" t="str">
        <x:v>Core rule</x:v>
      </x:c>
      <x:c r="B6" s="27" t="str">
        <x:v>Every topic is a grounded node: incoming prerequisites → meaningful representation/action → cross-domain links → outgoing use → performance evidence.</x:v>
      </x:c>
    </x:row>
    <x:row r="7">
      <x:c r="A7" s="31" t="str">
        <x:v>Order types</x:v>
      </x:c>
      <x:c r="B7" s="27" t="str">
        <x:v>Developmental readiness; logical prerequisite; typical introduction; expected mastery; spiral return; authentic transfer. These are separate fields or ideas and should not be collapsed into age alone.</x:v>
      </x:c>
    </x:row>
    <x:row r="8">
      <x:c r="A8" s="31" t="str">
        <x:v>U.S. standards note</x:v>
      </x:c>
      <x:c r="B8" s="27" t="str">
        <x:v>The United States has no single national education-board curriculum. State and local systems determine curriculum. This map reconciles major national frameworks and uses Oregon standards as a state cross-check.</x:v>
      </x:c>
    </x:row>
    <x:row r="9">
      <x:c r="A9" s="31" t="str">
        <x:v>Memory rule</x:v>
      </x:c>
      <x:c r="B9" s="27" t="str">
        <x:v>Quality and timing beat undirected mass exposure when practice preserves meaning: predict → encode a relationship → coordinate congruent senses → generate → retrieve → correct → space → vary → transfer.</x:v>
      </x:c>
    </x:row>
    <x:row r="10">
      <x:c r="A10" s="31" t="str">
        <x:v>Learner tracking</x:v>
      </x:c>
      <x:c r="B10" s="27" t="str">
        <x:v>Use the Learner Status, Learner Evidence/Notes, Last Reviewed, and Next Review columns in Master Sequence. Status cells have a controlled list and conditional formatting.</x:v>
      </x:c>
    </x:row>
    <x:row r="11">
      <x:c r="A11" s="31" t="str">
        <x:v>Machine use</x:v>
      </x:c>
      <x:c r="B11" s="27" t="str">
        <x:v>Topic IDs are stable within this edition. Knowledge Graph is an edge list. Source IDs resolve in Sources. The workbook can be exported to CSV/JSON without changing the conceptual schema.</x:v>
      </x:c>
    </x:row>
    <x:row r="12">
      <x:c r="A12" s="31" t="str">
        <x:v>Accessibility</x:v>
      </x:c>
      <x:c r="B12" s="27" t="str">
        <x:v>Age/grade labels indicate a common pathway. Demonstrated performance, communication access, accommodations, culture/language, disability, prior opportunity, and learner goals govern actual placement and support.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9" hidden="0" customWidth="1"/>
    <x:col min="4" max="4" width="10" hidden="0" customWidth="1"/>
    <x:col min="5" max="5" width="18" hidden="0" customWidth="1"/>
    <x:col min="6" max="6" width="14" hidden="0" customWidth="1"/>
    <x:col min="7" max="7" width="27" hidden="0" customWidth="1"/>
    <x:col min="8" max="8" width="22" hidden="0" customWidth="1"/>
    <x:col min="9" max="9" width="25" hidden="0" customWidth="1"/>
    <x:col min="10" max="10" width="34" hidden="0" customWidth="1"/>
    <x:col min="11" max="11" width="58" hidden="0" customWidth="1"/>
    <x:col min="12" max="12" width="50" hidden="0" customWidth="1"/>
    <x:col min="13" max="13" width="20" hidden="0" customWidth="1"/>
    <x:col min="14" max="14" width="40" hidden="0" customWidth="1"/>
    <x:col min="15" max="15" width="56" hidden="0" customWidth="1"/>
    <x:col min="16" max="16" width="58" hidden="0" customWidth="1"/>
    <x:col min="17" max="17" width="20" hidden="0" customWidth="1"/>
    <x:col min="18" max="18" width="54" hidden="0" customWidth="1"/>
    <x:col min="19" max="19" width="18" hidden="0" customWidth="1"/>
    <x:col min="20" max="20" width="42" hidden="0" customWidth="1"/>
    <x:col min="21" max="21" width="16" hidden="0" customWidth="1"/>
    <x:col min="22" max="22" width="40" hidden="0" customWidth="1"/>
    <x:col min="23" max="23" width="14" hidden="0" customWidth="1"/>
    <x:col min="24" max="24" width="14" hidden="0" customWidth="1"/>
  </x:cols>
  <x:sheetData>
    <x:row r="1" ht="34" customHeight="1">
      <x:c r="A1" s="4" t="str">
        <x:v>MASTER SEQUENCE</x:v>
      </x:c>
      <x:c r="B1" s="4" t="str">
        <x:v>MASTER SEQUENCE</x:v>
      </x:c>
      <x:c r="C1" s="4" t="str">
        <x:v>MASTER SEQUENCE</x:v>
      </x:c>
      <x:c r="D1" s="4" t="str">
        <x:v>MASTER SEQUENCE</x:v>
      </x:c>
      <x:c r="E1" s="4" t="str">
        <x:v>MASTER SEQUENCE</x:v>
      </x:c>
      <x:c r="F1" s="4" t="str">
        <x:v>MASTER SEQUENCE</x:v>
      </x:c>
      <x:c r="G1" s="4" t="str">
        <x:v>MASTER SEQUENCE</x:v>
      </x:c>
      <x:c r="H1" s="4" t="str">
        <x:v>MASTER SEQUENCE</x:v>
      </x:c>
      <x:c r="I1" s="4" t="str">
        <x:v>MASTER SEQUENCE</x:v>
      </x:c>
      <x:c r="J1" s="4" t="str">
        <x:v>MASTER SEQUENCE</x:v>
      </x:c>
      <x:c r="K1" s="4" t="str">
        <x:v>MASTER SEQUENCE</x:v>
      </x:c>
      <x:c r="L1" s="4" t="str">
        <x:v>MASTER SEQUENCE</x:v>
      </x:c>
      <x:c r="M1" s="4" t="str">
        <x:v>MASTER SEQUENCE</x:v>
      </x:c>
      <x:c r="N1" s="4" t="str">
        <x:v>MASTER SEQUENCE</x:v>
      </x:c>
      <x:c r="O1" s="4" t="str">
        <x:v>MASTER SEQUENCE</x:v>
      </x:c>
      <x:c r="P1" s="4" t="str">
        <x:v>MASTER SEQUENCE</x:v>
      </x:c>
      <x:c r="Q1" s="4" t="str">
        <x:v>MASTER SEQUENCE</x:v>
      </x:c>
      <x:c r="R1" s="4" t="str">
        <x:v>MASTER SEQUENCE</x:v>
      </x:c>
      <x:c r="S1" s="4" t="str">
        <x:v>MASTER SEQUENCE</x:v>
      </x:c>
      <x:c r="T1" s="4" t="str">
        <x:v>MASTER SEQUENCE</x:v>
      </x:c>
      <x:c r="U1" s="4" t="str">
        <x:v>MASTER SEQUENCE</x:v>
      </x:c>
      <x:c r="V1" s="4" t="str">
        <x:v>MASTER SEQUENCE</x:v>
      </x:c>
      <x:c r="W1" s="4" t="str">
        <x:v>MASTER SEQUENCE</x:v>
      </x:c>
      <x:c r="X1" s="4" t="str">
        <x:v>MASTER SEQUENCE</x:v>
      </x:c>
    </x:row>
    <x:row r="2" ht="30" customHeight="1">
      <x:c r="A2" s="8" t="str">
        <x:v>Filter by age, grade, domain, strand, source, grounding level, or learner status. Definitions and relationships are intentionally preserved as separate fields.</x:v>
      </x:c>
      <x:c r="B2" s="8" t="str">
        <x:v>Filter by age, grade, domain, strand, source, grounding level, or learner status. Definitions and relationships are intentionally preserved as separate fields.</x:v>
      </x:c>
      <x:c r="C2" s="8" t="str">
        <x:v>Filter by age, grade, domain, strand, source, grounding level, or learner status. Definitions and relationships are intentionally preserved as separate fields.</x:v>
      </x:c>
      <x:c r="D2" s="8" t="str">
        <x:v>Filter by age, grade, domain, strand, source, grounding level, or learner status. Definitions and relationships are intentionally preserved as separate fields.</x:v>
      </x:c>
      <x:c r="E2" s="8" t="str">
        <x:v>Filter by age, grade, domain, strand, source, grounding level, or learner status. Definitions and relationships are intentionally preserved as separate fields.</x:v>
      </x:c>
      <x:c r="F2" s="8" t="str">
        <x:v>Filter by age, grade, domain, strand, source, grounding level, or learner status. Definitions and relationships are intentionally preserved as separate fields.</x:v>
      </x:c>
      <x:c r="G2" s="8" t="str">
        <x:v>Filter by age, grade, domain, strand, source, grounding level, or learner status. Definitions and relationships are intentionally preserved as separate fields.</x:v>
      </x:c>
      <x:c r="H2" s="8" t="str">
        <x:v>Filter by age, grade, domain, strand, source, grounding level, or learner status. Definitions and relationships are intentionally preserved as separate fields.</x:v>
      </x:c>
      <x:c r="I2" s="8" t="str">
        <x:v>Filter by age, grade, domain, strand, source, grounding level, or learner status. Definitions and relationships are intentionally preserved as separate fields.</x:v>
      </x:c>
      <x:c r="J2" s="8" t="str">
        <x:v>Filter by age, grade, domain, strand, source, grounding level, or learner status. Definitions and relationships are intentionally preserved as separate fields.</x:v>
      </x:c>
      <x:c r="K2" s="8" t="str">
        <x:v>Filter by age, grade, domain, strand, source, grounding level, or learner status. Definitions and relationships are intentionally preserved as separate fields.</x:v>
      </x:c>
      <x:c r="L2" s="8" t="str">
        <x:v>Filter by age, grade, domain, strand, source, grounding level, or learner status. Definitions and relationships are intentionally preserved as separate fields.</x:v>
      </x:c>
      <x:c r="M2" s="8" t="str">
        <x:v>Filter by age, grade, domain, strand, source, grounding level, or learner status. Definitions and relationships are intentionally preserved as separate fields.</x:v>
      </x:c>
      <x:c r="N2" s="8" t="str">
        <x:v>Filter by age, grade, domain, strand, source, grounding level, or learner status. Definitions and relationships are intentionally preserved as separate fields.</x:v>
      </x:c>
      <x:c r="O2" s="8" t="str">
        <x:v>Filter by age, grade, domain, strand, source, grounding level, or learner status. Definitions and relationships are intentionally preserved as separate fields.</x:v>
      </x:c>
      <x:c r="P2" s="8" t="str">
        <x:v>Filter by age, grade, domain, strand, source, grounding level, or learner status. Definitions and relationships are intentionally preserved as separate fields.</x:v>
      </x:c>
      <x:c r="Q2" s="8" t="str">
        <x:v>Filter by age, grade, domain, strand, source, grounding level, or learner status. Definitions and relationships are intentionally preserved as separate fields.</x:v>
      </x:c>
      <x:c r="R2" s="8" t="str">
        <x:v>Filter by age, grade, domain, strand, source, grounding level, or learner status. Definitions and relationships are intentionally preserved as separate fields.</x:v>
      </x:c>
      <x:c r="S2" s="8" t="str">
        <x:v>Filter by age, grade, domain, strand, source, grounding level, or learner status. Definitions and relationships are intentionally preserved as separate fields.</x:v>
      </x:c>
      <x:c r="T2" s="8" t="str">
        <x:v>Filter by age, grade, domain, strand, source, grounding level, or learner status. Definitions and relationships are intentionally preserved as separate fields.</x:v>
      </x:c>
      <x:c r="U2" s="8" t="str">
        <x:v>Filter by age, grade, domain, strand, source, grounding level, or learner status. Definitions and relationships are intentionally preserved as separate fields.</x:v>
      </x:c>
      <x:c r="V2" s="8" t="str">
        <x:v>Filter by age, grade, domain, strand, source, grounding level, or learner status. Definitions and relationships are intentionally preserved as separate fields.</x:v>
      </x:c>
      <x:c r="W2" s="8" t="str">
        <x:v>Filter by age, grade, domain, strand, source, grounding level, or learner status. Definitions and relationships are intentionally preserved as separate fields.</x:v>
      </x:c>
      <x:c r="X2" s="8" t="str">
        <x:v>Filter by age, grade, domain, strand, source, grounding level, or learner status. Definitions and relationships are intentionally preserved as separate fields.</x:v>
      </x:c>
    </x:row>
    <x:row r="4" ht="32" customHeight="1">
      <x:c r="A4" s="17" t="str">
        <x:v>Topic ID</x:v>
      </x:c>
      <x:c r="B4" s="35" t="str">
        <x:v>Global Order</x:v>
      </x:c>
      <x:c r="C4" s="35" t="str">
        <x:v>Stage ID</x:v>
      </x:c>
      <x:c r="D4" s="35" t="str">
        <x:v>Stage Order</x:v>
      </x:c>
      <x:c r="E4" s="35" t="str">
        <x:v>Age / Level</x:v>
      </x:c>
      <x:c r="F4" s="35" t="str">
        <x:v>Grade / Course</x:v>
      </x:c>
      <x:c r="G4" s="35" t="str">
        <x:v>Stage Title</x:v>
      </x:c>
      <x:c r="H4" s="35" t="str">
        <x:v>Domain</x:v>
      </x:c>
      <x:c r="I4" s="35" t="str">
        <x:v>Strand</x:v>
      </x:c>
      <x:c r="J4" s="35" t="str">
        <x:v>Topic</x:v>
      </x:c>
      <x:c r="K4" s="35" t="str">
        <x:v>Definition</x:v>
      </x:c>
      <x:c r="L4" s="35" t="str">
        <x:v>Prerequisite Skills</x:v>
      </x:c>
      <x:c r="M4" s="35" t="str">
        <x:v>Previous Domain Node</x:v>
      </x:c>
      <x:c r="N4" s="35" t="str">
        <x:v>Grounding Anchor</x:v>
      </x:c>
      <x:c r="O4" s="35" t="str">
        <x:v>Cross-Domain Links</x:v>
      </x:c>
      <x:c r="P4" s="35" t="str">
        <x:v>Why Here / What It Unlocks</x:v>
      </x:c>
      <x:c r="Q4" s="35" t="str">
        <x:v>Next Domain Node</x:v>
      </x:c>
      <x:c r="R4" s="35" t="str">
        <x:v>Observable Mastery Evidence</x:v>
      </x:c>
      <x:c r="S4" s="35" t="str">
        <x:v>Source IDs</x:v>
      </x:c>
      <x:c r="T4" s="35" t="str">
        <x:v>Readiness / Variation Note</x:v>
      </x:c>
      <x:c r="U4" s="35" t="str">
        <x:v>Learner Status</x:v>
      </x:c>
      <x:c r="V4" s="35" t="str">
        <x:v>Learner Evidence / Notes</x:v>
      </x:c>
      <x:c r="W4" s="35" t="str">
        <x:v>Last Reviewed</x:v>
      </x:c>
      <x:c r="X4" s="18" t="str">
        <x:v>Next Review</x:v>
      </x:c>
    </x:row>
    <x:row r="5">
      <x:c r="A5" s="26" t="str">
        <x:v>S01-LEARN-01</x:v>
      </x:c>
      <x:c r="B5" s="36" t="n">
        <x:v>1</x:v>
      </x:c>
      <x:c r="C5" s="26" t="str">
        <x:v>S01</x:v>
      </x:c>
      <x:c r="D5" s="36" t="n">
        <x:v>1</x:v>
      </x:c>
      <x:c r="E5" s="26" t="str">
        <x:v>Birth–2 months</x:v>
      </x:c>
      <x:c r="F5" s="26" t="str">
        <x:v>Infant</x:v>
      </x:c>
      <x:c r="G5" s="26" t="str">
        <x:v>Regulation and sensory orientation</x:v>
      </x:c>
      <x:c r="H5" s="26" t="str">
        <x:v>Learning Foundations</x:v>
      </x:c>
      <x:c r="I5" s="26" t="str">
        <x:v>Regulation</x:v>
      </x:c>
      <x:c r="J5" s="26" t="str">
        <x:v>State regulation</x:v>
      </x:c>
      <x:c r="K5" s="26" t="str">
        <x:v>Moving among sleep, distress, quiet alertness, and active alertness with caregiver support.</x:v>
      </x:c>
      <x:c r="L5" s="26" t="str">
        <x:v>Basic physiological stability and responsive care.</x:v>
      </x:c>
      <x:c r="M5" s="26" t="str">
        <x:v>FOUNDATION</x:v>
      </x:c>
      <x:c r="N5" s="26" t="str">
        <x:v>G1 — Regulated sensory event</x:v>
      </x:c>
      <x:c r="O5" s="26" t="str">
        <x:v>All domains: attention, memory, strategy choice, monitoring, retrieval, and transfer.</x:v>
      </x:c>
      <x:c r="P5" s="26" t="str">
        <x:v>Quiet-alert periods create the first usable windows for noticing, interaction, and memory.</x:v>
      </x:c>
      <x:c r="Q5" s="26" t="str">
        <x:v>S01-LEARN-02</x:v>
      </x:c>
      <x:c r="R5" s="26" t="str">
        <x:v>Briefly becomes calm or alert with familiar holding, voice, feeding, or routine.</x:v>
      </x:c>
      <x:c r="S5" s="26" t="str">
        <x:v>SRC02; SRC03; SRC04</x:v>
      </x:c>
      <x:c r="T5" s="26" t="str">
        <x:v>Development varies; use observed performance and appropriate supports rather than age alone.</x:v>
      </x:c>
      <x:c r="U5" s="26" t="str"/>
      <x:c r="V5" s="26" t="str"/>
      <x:c r="W5" s="38" t="str"/>
      <x:c r="X5" s="38" t="str"/>
    </x:row>
    <x:row r="6">
      <x:c r="A6" s="27" t="str">
        <x:v>S01-LEARN-02</x:v>
      </x:c>
      <x:c r="B6" s="37" t="n">
        <x:v>2</x:v>
      </x:c>
      <x:c r="C6" s="27" t="str">
        <x:v>S01</x:v>
      </x:c>
      <x:c r="D6" s="37" t="n">
        <x:v>1</x:v>
      </x:c>
      <x:c r="E6" s="27" t="str">
        <x:v>Birth–2 months</x:v>
      </x:c>
      <x:c r="F6" s="27" t="str">
        <x:v>Infant</x:v>
      </x:c>
      <x:c r="G6" s="27" t="str">
        <x:v>Regulation and sensory orientation</x:v>
      </x:c>
      <x:c r="H6" s="27" t="str">
        <x:v>Learning Foundations</x:v>
      </x:c>
      <x:c r="I6" s="27" t="str">
        <x:v>Attention</x:v>
      </x:c>
      <x:c r="J6" s="27" t="str">
        <x:v>Sensory orientation</x:v>
      </x:c>
      <x:c r="K6" s="27" t="str">
        <x:v>Turning eyes, head, or body toward changes in light, sound, touch, motion, smell, or body position.</x:v>
      </x:c>
      <x:c r="L6" s="27" t="str">
        <x:v>Wakeful state and functioning sensory pathways.</x:v>
      </x:c>
      <x:c r="M6" s="27" t="str">
        <x:v>S01-LEARN-01</x:v>
      </x:c>
      <x:c r="N6" s="27" t="str">
        <x:v>G1 — Regulated sensory event</x:v>
      </x:c>
      <x:c r="O6" s="27" t="str">
        <x:v>All domains: attention, memory, strategy choice, monitoring, retrieval, and transfer.</x:v>
      </x:c>
      <x:c r="P6" s="27" t="str">
        <x:v>Orientation is the entry action for sustained attention and later discrimination.</x:v>
      </x:c>
      <x:c r="Q6" s="27" t="str">
        <x:v>S02-LEARN-01</x:v>
      </x:c>
      <x:c r="R6" s="27" t="str">
        <x:v>Pauses, stills, looks, or turns toward a noticeable stimulus.</x:v>
      </x:c>
      <x:c r="S6" s="27" t="str">
        <x:v>SRC02; SRC03; SRC04</x:v>
      </x:c>
      <x:c r="T6" s="27" t="str">
        <x:v>Development varies; use observed performance and appropriate supports rather than age alone.</x:v>
      </x:c>
      <x:c r="U6" s="27" t="str"/>
      <x:c r="V6" s="27" t="str"/>
      <x:c r="W6" s="39" t="str"/>
      <x:c r="X6" s="39" t="str"/>
    </x:row>
    <x:row r="7">
      <x:c r="A7" s="27" t="str">
        <x:v>S01-SEL-01</x:v>
      </x:c>
      <x:c r="B7" s="37" t="n">
        <x:v>3</x:v>
      </x:c>
      <x:c r="C7" s="27" t="str">
        <x:v>S01</x:v>
      </x:c>
      <x:c r="D7" s="37" t="n">
        <x:v>1</x:v>
      </x:c>
      <x:c r="E7" s="27" t="str">
        <x:v>Birth–2 months</x:v>
      </x:c>
      <x:c r="F7" s="27" t="str">
        <x:v>Infant</x:v>
      </x:c>
      <x:c r="G7" s="27" t="str">
        <x:v>Regulation and sensory orientation</x:v>
      </x:c>
      <x:c r="H7" s="27" t="str">
        <x:v>Social-Emotional</x:v>
      </x:c>
      <x:c r="I7" s="27" t="str">
        <x:v>Relationships</x:v>
      </x:c>
      <x:c r="J7" s="27" t="str">
        <x:v>Co-regulation</x:v>
      </x:c>
      <x:c r="K7" s="27" t="str">
        <x:v>Using a responsive adult’s voice, touch, movement, and timing to return toward an organized emotional and bodily state.</x:v>
      </x:c>
      <x:c r="L7" s="27" t="str">
        <x:v>Consistent, responsive interaction.</x:v>
      </x:c>
      <x:c r="M7" s="27" t="str">
        <x:v>FOUNDATION</x:v>
      </x:c>
      <x:c r="N7" s="27" t="str">
        <x:v>G1 — Regulated sensory event</x:v>
      </x:c>
      <x:c r="O7" s="27" t="str">
        <x:v>Language and communication; health; collaboration in science, arts, civics, and projects; responsible digital/financial decisions.</x:v>
      </x:c>
      <x:c r="P7" s="27" t="str">
        <x:v>Repeated co-regulation supplies the pattern later used for self-regulation.</x:v>
      </x:c>
      <x:c r="Q7" s="27" t="str">
        <x:v>S01-SEL-02</x:v>
      </x:c>
      <x:c r="R7" s="27" t="str">
        <x:v>Settles more readily during predictable, responsive care.</x:v>
      </x:c>
      <x:c r="S7" s="27" t="str">
        <x:v>SRC02; SRC04; SRC05; SRC18</x:v>
      </x:c>
      <x:c r="T7" s="27" t="str">
        <x:v>Development varies; use observed performance and appropriate supports rather than age alone.</x:v>
      </x:c>
      <x:c r="U7" s="27" t="str"/>
      <x:c r="V7" s="27" t="str"/>
      <x:c r="W7" s="39" t="str"/>
      <x:c r="X7" s="39" t="str"/>
    </x:row>
    <x:row r="8">
      <x:c r="A8" s="27" t="str">
        <x:v>S01-SEL-02</x:v>
      </x:c>
      <x:c r="B8" s="37" t="n">
        <x:v>4</x:v>
      </x:c>
      <x:c r="C8" s="27" t="str">
        <x:v>S01</x:v>
      </x:c>
      <x:c r="D8" s="37" t="n">
        <x:v>1</x:v>
      </x:c>
      <x:c r="E8" s="27" t="str">
        <x:v>Birth–2 months</x:v>
      </x:c>
      <x:c r="F8" s="27" t="str">
        <x:v>Infant</x:v>
      </x:c>
      <x:c r="G8" s="27" t="str">
        <x:v>Regulation and sensory orientation</x:v>
      </x:c>
      <x:c r="H8" s="27" t="str">
        <x:v>Social-Emotional</x:v>
      </x:c>
      <x:c r="I8" s="27" t="str">
        <x:v>Social attention</x:v>
      </x:c>
      <x:c r="J8" s="27" t="str">
        <x:v>Face and voice preference</x:v>
      </x:c>
      <x:c r="K8" s="27" t="str">
        <x:v>Giving sustained attention to human faces and familiar voices during close interaction.</x:v>
      </x:c>
      <x:c r="L8" s="27" t="str">
        <x:v>Visual/auditory orientation and an alert state.</x:v>
      </x:c>
      <x:c r="M8" s="27" t="str">
        <x:v>S01-SEL-01</x:v>
      </x:c>
      <x:c r="N8" s="27" t="str">
        <x:v>G1 — Regulated sensory event</x:v>
      </x:c>
      <x:c r="O8" s="27" t="str">
        <x:v>Language and communication; health; collaboration in science, arts, civics, and projects; responsible digital/financial decisions.</x:v>
      </x:c>
      <x:c r="P8" s="27" t="str">
        <x:v>Social attention supports attachment, turn-taking, speech perception, and joint attention.</x:v>
      </x:c>
      <x:c r="Q8" s="27" t="str">
        <x:v>S02-SEL-01</x:v>
      </x:c>
      <x:c r="R8" s="27" t="str">
        <x:v>Looks at a caregiver’s face or quiets to a familiar voice for several seconds.</x:v>
      </x:c>
      <x:c r="S8" s="27" t="str">
        <x:v>SRC02; SRC03</x:v>
      </x:c>
      <x:c r="T8" s="27" t="str">
        <x:v>Development varies; use observed performance and appropriate supports rather than age alone.</x:v>
      </x:c>
      <x:c r="U8" s="27" t="str"/>
      <x:c r="V8" s="27" t="str"/>
      <x:c r="W8" s="39" t="str"/>
      <x:c r="X8" s="39" t="str"/>
    </x:row>
    <x:row r="9">
      <x:c r="A9" s="27" t="str">
        <x:v>S01-LANG-01</x:v>
      </x:c>
      <x:c r="B9" s="37" t="n">
        <x:v>5</x:v>
      </x:c>
      <x:c r="C9" s="27" t="str">
        <x:v>S01</x:v>
      </x:c>
      <x:c r="D9" s="37" t="n">
        <x:v>1</x:v>
      </x:c>
      <x:c r="E9" s="27" t="str">
        <x:v>Birth–2 months</x:v>
      </x:c>
      <x:c r="F9" s="27" t="str">
        <x:v>Infant</x:v>
      </x:c>
      <x:c r="G9" s="27" t="str">
        <x:v>Regulation and sensory orientation</x:v>
      </x:c>
      <x:c r="H9" s="27" t="str">
        <x:v>Language &amp; Communication</x:v>
      </x:c>
      <x:c r="I9" s="27" t="str">
        <x:v>Receptive language</x:v>
      </x:c>
      <x:c r="J9" s="27" t="str">
        <x:v>Speech-sound exposure</x:v>
      </x:c>
      <x:c r="K9" s="27" t="str">
        <x:v>Hearing the rhythm, stress, melody, and sound contrasts of the languages used around the child.</x:v>
      </x:c>
      <x:c r="L9" s="27" t="str">
        <x:v>Auditory access and responsive human speech.</x:v>
      </x:c>
      <x:c r="M9" s="27" t="str">
        <x:v>FOUNDATION</x:v>
      </x:c>
      <x:c r="N9" s="27" t="str">
        <x:v>G1 — Regulated sensory event</x:v>
      </x:c>
      <x:c r="O9" s="27" t="str">
        <x:v>Reading and writing; vocabulary for math/science/social studies; discussion, music prosody, and world-language learning.</x:v>
      </x:c>
      <x:c r="P9" s="27" t="str">
        <x:v>Repeated exposure builds the perceptual categories used in babbling, word recognition, and language learning.</x:v>
      </x:c>
      <x:c r="Q9" s="27" t="str">
        <x:v>S01-LANG-02</x:v>
      </x:c>
      <x:c r="R9" s="27" t="str">
        <x:v>Changes movement or attention during speech and familiar vocal patterns.</x:v>
      </x:c>
      <x:c r="S9" s="27" t="str">
        <x:v>SRC02; SRC03; SRC04</x:v>
      </x:c>
      <x:c r="T9" s="27" t="str">
        <x:v>Development varies; use observed performance and appropriate supports rather than age alone.</x:v>
      </x:c>
      <x:c r="U9" s="27" t="str"/>
      <x:c r="V9" s="27" t="str"/>
      <x:c r="W9" s="39" t="str"/>
      <x:c r="X9" s="39" t="str"/>
    </x:row>
    <x:row r="10">
      <x:c r="A10" s="27" t="str">
        <x:v>S01-LANG-02</x:v>
      </x:c>
      <x:c r="B10" s="37" t="n">
        <x:v>6</x:v>
      </x:c>
      <x:c r="C10" s="27" t="str">
        <x:v>S01</x:v>
      </x:c>
      <x:c r="D10" s="37" t="n">
        <x:v>1</x:v>
      </x:c>
      <x:c r="E10" s="27" t="str">
        <x:v>Birth–2 months</x:v>
      </x:c>
      <x:c r="F10" s="27" t="str">
        <x:v>Infant</x:v>
      </x:c>
      <x:c r="G10" s="27" t="str">
        <x:v>Regulation and sensory orientation</x:v>
      </x:c>
      <x:c r="H10" s="27" t="str">
        <x:v>Language &amp; Communication</x:v>
      </x:c>
      <x:c r="I10" s="27" t="str">
        <x:v>Expressive communication</x:v>
      </x:c>
      <x:c r="J10" s="27" t="str">
        <x:v>Reflexive vocal communication</x:v>
      </x:c>
      <x:c r="K10" s="27" t="str">
        <x:v>Crying, fussing, sighing, and early vowel-like sounds that signal state and invite response.</x:v>
      </x:c>
      <x:c r="L10" s="27" t="str">
        <x:v>Breathing, voice production, and interaction.</x:v>
      </x:c>
      <x:c r="M10" s="27" t="str">
        <x:v>S01-LANG-01</x:v>
      </x:c>
      <x:c r="N10" s="27" t="str">
        <x:v>G1 — Regulated sensory event</x:v>
      </x:c>
      <x:c r="O10" s="27" t="str">
        <x:v>Reading and writing; vocabulary for math/science/social studies; discussion, music prosody, and world-language learning.</x:v>
      </x:c>
      <x:c r="P10" s="27" t="str">
        <x:v>Adult responses turn early sounds into reciprocal communication.</x:v>
      </x:c>
      <x:c r="Q10" s="27" t="str">
        <x:v>S02-LANG-01</x:v>
      </x:c>
      <x:c r="R10" s="27" t="str">
        <x:v>Produces different vocal patterns across comfort, hunger, fatigue, or interaction.</x:v>
      </x:c>
      <x:c r="S10" s="27" t="str">
        <x:v>SRC02; SRC03</x:v>
      </x:c>
      <x:c r="T10" s="27" t="str">
        <x:v>Development varies; use observed performance and appropriate supports rather than age alone.</x:v>
      </x:c>
      <x:c r="U10" s="27" t="str"/>
      <x:c r="V10" s="27" t="str"/>
      <x:c r="W10" s="39" t="str"/>
      <x:c r="X10" s="39" t="str"/>
    </x:row>
    <x:row r="11">
      <x:c r="A11" s="27" t="str">
        <x:v>S01-MATH-01</x:v>
      </x:c>
      <x:c r="B11" s="37" t="n">
        <x:v>7</x:v>
      </x:c>
      <x:c r="C11" s="27" t="str">
        <x:v>S01</x:v>
      </x:c>
      <x:c r="D11" s="37" t="n">
        <x:v>1</x:v>
      </x:c>
      <x:c r="E11" s="27" t="str">
        <x:v>Birth–2 months</x:v>
      </x:c>
      <x:c r="F11" s="27" t="str">
        <x:v>Infant</x:v>
      </x:c>
      <x:c r="G11" s="27" t="str">
        <x:v>Regulation and sensory orientation</x:v>
      </x:c>
      <x:c r="H11" s="27" t="str">
        <x:v>Mathematics</x:v>
      </x:c>
      <x:c r="I11" s="27" t="str">
        <x:v>Pattern foundations</x:v>
      </x:c>
      <x:c r="J11" s="27" t="str">
        <x:v>Temporal regularity</x:v>
      </x:c>
      <x:c r="K11" s="27" t="str">
        <x:v>Experiencing recurring intervals and sequences in feeding, rocking, speech, and sleep routines.</x:v>
      </x:c>
      <x:c r="L11" s="27" t="str">
        <x:v>Sensory orientation and repeated experience.</x:v>
      </x:c>
      <x:c r="M11" s="27" t="str">
        <x:v>FOUNDATION</x:v>
      </x:c>
      <x:c r="N11" s="27" t="str">
        <x:v>G1 — Regulated sensory event</x:v>
      </x:c>
      <x:c r="O11" s="27" t="str">
        <x:v>Physical quantity and spatial action; science measurement/models; computing/algorithms; finance; music rhythm/pattern; geographic data.</x:v>
      </x:c>
      <x:c r="P11" s="27" t="str">
        <x:v>Prediction from repetition is a foundation for sequence, rhythm, and pattern recognition.</x:v>
      </x:c>
      <x:c r="Q11" s="27" t="str">
        <x:v>S02-MATH-01</x:v>
      </x:c>
      <x:c r="R11" s="27" t="str">
        <x:v>Shows anticipation or settling during a familiar repeated routine.</x:v>
      </x:c>
      <x:c r="S11" s="27" t="str">
        <x:v>SRC02; SRC04; SRC07</x:v>
      </x:c>
      <x:c r="T11" s="27" t="str">
        <x:v>Development varies; use observed performance and appropriate supports rather than age alone.</x:v>
      </x:c>
      <x:c r="U11" s="27" t="str"/>
      <x:c r="V11" s="27" t="str"/>
      <x:c r="W11" s="39" t="str"/>
      <x:c r="X11" s="39" t="str"/>
    </x:row>
    <x:row r="12">
      <x:c r="A12" s="27" t="str">
        <x:v>S01-SCI-01</x:v>
      </x:c>
      <x:c r="B12" s="37" t="n">
        <x:v>8</x:v>
      </x:c>
      <x:c r="C12" s="27" t="str">
        <x:v>S01</x:v>
      </x:c>
      <x:c r="D12" s="37" t="n">
        <x:v>1</x:v>
      </x:c>
      <x:c r="E12" s="27" t="str">
        <x:v>Birth–2 months</x:v>
      </x:c>
      <x:c r="F12" s="27" t="str">
        <x:v>Infant</x:v>
      </x:c>
      <x:c r="G12" s="27" t="str">
        <x:v>Regulation and sensory orientation</x:v>
      </x:c>
      <x:c r="H12" s="27" t="str">
        <x:v>Science &amp; Engineering</x:v>
      </x:c>
      <x:c r="I12" s="27" t="str">
        <x:v>Observation</x:v>
      </x:c>
      <x:c r="J12" s="27" t="str">
        <x:v>Change detection</x:v>
      </x:c>
      <x:c r="K12" s="27" t="str">
        <x:v>Responding when a sensory condition begins, ends, grows stronger, or shifts location.</x:v>
      </x:c>
      <x:c r="L12" s="27" t="str">
        <x:v>Sensory orientation.</x:v>
      </x:c>
      <x:c r="M12" s="27" t="str">
        <x:v>FOUNDATION</x:v>
      </x:c>
      <x:c r="N12" s="27" t="str">
        <x:v>G1 — Regulated sensory event</x:v>
      </x:c>
      <x:c r="O12" s="27" t="str">
        <x:v>Sensory observation and action; mathematics/data; reading/writing evidence; computing/models; health and environmental/civic decisions.</x:v>
      </x:c>
      <x:c r="P12" s="27" t="str">
        <x:v>Detecting change precedes comparison, cause–effect learning, and controlled observation.</x:v>
      </x:c>
      <x:c r="Q12" s="27" t="str">
        <x:v>S02-SCI-01</x:v>
      </x:c>
      <x:c r="R12" s="27" t="str">
        <x:v>Changes gaze, movement, or arousal when a stimulus changes.</x:v>
      </x:c>
      <x:c r="S12" s="27" t="str">
        <x:v>SRC02; SRC04; SRC11</x:v>
      </x:c>
      <x:c r="T12" s="27" t="str">
        <x:v>Development varies; use observed performance and appropriate supports rather than age alone.</x:v>
      </x:c>
      <x:c r="U12" s="27" t="str"/>
      <x:c r="V12" s="27" t="str"/>
      <x:c r="W12" s="39" t="str"/>
      <x:c r="X12" s="39" t="str"/>
    </x:row>
    <x:row r="13">
      <x:c r="A13" s="27" t="str">
        <x:v>S01-ARTS-01</x:v>
      </x:c>
      <x:c r="B13" s="37" t="n">
        <x:v>9</x:v>
      </x:c>
      <x:c r="C13" s="27" t="str">
        <x:v>S01</x:v>
      </x:c>
      <x:c r="D13" s="37" t="n">
        <x:v>1</x:v>
      </x:c>
      <x:c r="E13" s="27" t="str">
        <x:v>Birth–2 months</x:v>
      </x:c>
      <x:c r="F13" s="27" t="str">
        <x:v>Infant</x:v>
      </x:c>
      <x:c r="G13" s="27" t="str">
        <x:v>Regulation and sensory orientation</x:v>
      </x:c>
      <x:c r="H13" s="27" t="str">
        <x:v>Music &amp; Arts</x:v>
      </x:c>
      <x:c r="I13" s="27" t="str">
        <x:v>Auditory foundations</x:v>
      </x:c>
      <x:c r="J13" s="27" t="str">
        <x:v>Sound contour</x:v>
      </x:c>
      <x:c r="K13" s="27" t="str">
        <x:v>Experiencing differences in loudness, pitch direction, duration, timbre, and rhythmic contour.</x:v>
      </x:c>
      <x:c r="L13" s="27" t="str">
        <x:v>Auditory access and alertness.</x:v>
      </x:c>
      <x:c r="M13" s="27" t="str">
        <x:v>FOUNDATION</x:v>
      </x:c>
      <x:c r="N13" s="27" t="str">
        <x:v>G1 — Regulated sensory event</x:v>
      </x:c>
      <x:c r="O13" s="27" t="str">
        <x:v>Sensory discrimination; motor timing; language/prosody; mathematics/pattern; history/culture; emotion, design, and technology.</x:v>
      </x:c>
      <x:c r="P13" s="27" t="str">
        <x:v>Sound contours later support speech prosody, beat, melody, and musical response.</x:v>
      </x:c>
      <x:c r="Q13" s="27" t="str">
        <x:v>S02-ARTS-01</x:v>
      </x:c>
      <x:c r="R13" s="27" t="str">
        <x:v>Stills, startles, relaxes, or moves differently to contrasting sounds.</x:v>
      </x:c>
      <x:c r="S13" s="27" t="str">
        <x:v>SRC02; SRC13</x:v>
      </x:c>
      <x:c r="T13" s="27" t="str">
        <x:v>Development varies; use observed performance and appropriate supports rather than age alone.</x:v>
      </x:c>
      <x:c r="U13" s="27" t="str"/>
      <x:c r="V13" s="27" t="str"/>
      <x:c r="W13" s="39" t="str"/>
      <x:c r="X13" s="39" t="str"/>
    </x:row>
    <x:row r="14">
      <x:c r="A14" s="27" t="str">
        <x:v>S01-HLTH-01</x:v>
      </x:c>
      <x:c r="B14" s="37" t="n">
        <x:v>10</x:v>
      </x:c>
      <x:c r="C14" s="27" t="str">
        <x:v>S01</x:v>
      </x:c>
      <x:c r="D14" s="37" t="n">
        <x:v>1</x:v>
      </x:c>
      <x:c r="E14" s="27" t="str">
        <x:v>Birth–2 months</x:v>
      </x:c>
      <x:c r="F14" s="27" t="str">
        <x:v>Infant</x:v>
      </x:c>
      <x:c r="G14" s="27" t="str">
        <x:v>Regulation and sensory orientation</x:v>
      </x:c>
      <x:c r="H14" s="27" t="str">
        <x:v>Physical &amp; Health</x:v>
      </x:c>
      <x:c r="I14" s="27" t="str">
        <x:v>Motor foundations</x:v>
      </x:c>
      <x:c r="J14" s="27" t="str">
        <x:v>Head and limb activation</x:v>
      </x:c>
      <x:c r="K14" s="27" t="str">
        <x:v>Briefly lifting or turning the head and moving both arms and legs during safe floor and caregiving experiences.</x:v>
      </x:c>
      <x:c r="L14" s="27" t="str">
        <x:v>Physiological stability and safe movement opportunity.</x:v>
      </x:c>
      <x:c r="M14" s="27" t="str">
        <x:v>FOUNDATION</x:v>
      </x:c>
      <x:c r="N14" s="27" t="str">
        <x:v>G1 — Regulated sensory event</x:v>
      </x:c>
      <x:c r="O14" s="27" t="str">
        <x:v>Motor/sensory development; life science; measurement/data; SEL/self-management; communication, safety, and decision-making.</x:v>
      </x:c>
      <x:c r="P14" s="27" t="str">
        <x:v>Head control and symmetrical movement increase visual exploration and intentional reaching.</x:v>
      </x:c>
      <x:c r="Q14" s="27" t="str">
        <x:v>S02-HLTH-01</x:v>
      </x:c>
      <x:c r="R14" s="27" t="str">
        <x:v>Turns or briefly holds the head and moves limbs on both sides.</x:v>
      </x:c>
      <x:c r="S14" s="27" t="str">
        <x:v>SRC02; SRC03; SRC14</x:v>
      </x:c>
      <x:c r="T14" s="27" t="str">
        <x:v>Development varies; use observed performance and appropriate supports rather than age alone.</x:v>
      </x:c>
      <x:c r="U14" s="27" t="str"/>
      <x:c r="V14" s="27" t="str"/>
      <x:c r="W14" s="39" t="str"/>
      <x:c r="X14" s="39" t="str"/>
    </x:row>
    <x:row r="15">
      <x:c r="A15" s="27" t="str">
        <x:v>S02-LEARN-01</x:v>
      </x:c>
      <x:c r="B15" s="37" t="n">
        <x:v>11</x:v>
      </x:c>
      <x:c r="C15" s="27" t="str">
        <x:v>S02</x:v>
      </x:c>
      <x:c r="D15" s="37" t="n">
        <x:v>2</x:v>
      </x:c>
      <x:c r="E15" s="27" t="str">
        <x:v>2–4 months</x:v>
      </x:c>
      <x:c r="F15" s="27" t="str">
        <x:v>Infant</x:v>
      </x:c>
      <x:c r="G15" s="27" t="str">
        <x:v>Social attention and repeated patterns</x:v>
      </x:c>
      <x:c r="H15" s="27" t="str">
        <x:v>Learning Foundations</x:v>
      </x:c>
      <x:c r="I15" s="27" t="str">
        <x:v>Attention</x:v>
      </x:c>
      <x:c r="J15" s="27" t="str">
        <x:v>Sustained visual tracking</x:v>
      </x:c>
      <x:c r="K15" s="27" t="str">
        <x:v>Following a slowly moving person or object with the eyes and increasingly with the head.</x:v>
      </x:c>
      <x:c r="L15" s="27" t="str">
        <x:v>Sensory orientation and improving head control.</x:v>
      </x:c>
      <x:c r="M15" s="27" t="str">
        <x:v>S01-LEARN-02</x:v>
      </x:c>
      <x:c r="N15" s="27" t="str">
        <x:v>G1 — Regulated sensory event</x:v>
      </x:c>
      <x:c r="O15" s="27" t="str">
        <x:v>All domains: attention, memory, strategy choice, monitoring, retrieval, and transfer.</x:v>
      </x:c>
      <x:c r="P15" s="27" t="str">
        <x:v>Tracking supports object continuity, reaching, shared attention, and visual scanning for reading.</x:v>
      </x:c>
      <x:c r="Q15" s="27" t="str">
        <x:v>S02-LEARN-02</x:v>
      </x:c>
      <x:c r="R15" s="27" t="str">
        <x:v>Follows a face or object across part of the visual field.</x:v>
      </x:c>
      <x:c r="S15" s="27" t="str">
        <x:v>SRC02; SRC03</x:v>
      </x:c>
      <x:c r="T15" s="27" t="str">
        <x:v>Development varies; use observed performance and appropriate supports rather than age alone.</x:v>
      </x:c>
      <x:c r="U15" s="27" t="str"/>
      <x:c r="V15" s="27" t="str"/>
      <x:c r="W15" s="39" t="str"/>
      <x:c r="X15" s="39" t="str"/>
    </x:row>
    <x:row r="16">
      <x:c r="A16" s="27" t="str">
        <x:v>S02-LEARN-02</x:v>
      </x:c>
      <x:c r="B16" s="37" t="n">
        <x:v>12</x:v>
      </x:c>
      <x:c r="C16" s="27" t="str">
        <x:v>S02</x:v>
      </x:c>
      <x:c r="D16" s="37" t="n">
        <x:v>2</x:v>
      </x:c>
      <x:c r="E16" s="27" t="str">
        <x:v>2–4 months</x:v>
      </x:c>
      <x:c r="F16" s="27" t="str">
        <x:v>Infant</x:v>
      </x:c>
      <x:c r="G16" s="27" t="str">
        <x:v>Social attention and repeated patterns</x:v>
      </x:c>
      <x:c r="H16" s="27" t="str">
        <x:v>Learning Foundations</x:v>
      </x:c>
      <x:c r="I16" s="27" t="str">
        <x:v>Memory</x:v>
      </x:c>
      <x:c r="J16" s="27" t="str">
        <x:v>Familiarity recognition</x:v>
      </x:c>
      <x:c r="K16" s="27" t="str">
        <x:v>Responding differently to familiar people, voices, routines, or frequently seen objects.</x:v>
      </x:c>
      <x:c r="L16" s="27" t="str">
        <x:v>Repeated sensory exposure.</x:v>
      </x:c>
      <x:c r="M16" s="27" t="str">
        <x:v>S02-LEARN-01</x:v>
      </x:c>
      <x:c r="N16" s="27" t="str">
        <x:v>G1 — Regulated sensory event</x:v>
      </x:c>
      <x:c r="O16" s="27" t="str">
        <x:v>All domains: attention, memory, strategy choice, monitoring, retrieval, and transfer.</x:v>
      </x:c>
      <x:c r="P16" s="27" t="str">
        <x:v>Recognition memory supports prediction, category formation, and secure participation.</x:v>
      </x:c>
      <x:c r="Q16" s="27" t="str">
        <x:v>S03-LEARN-01</x:v>
      </x:c>
      <x:c r="R16" s="27" t="str">
        <x:v>Shows longer attention, calming, or anticipation with a familiar person or routine.</x:v>
      </x:c>
      <x:c r="S16" s="27" t="str">
        <x:v>SRC02; SRC04</x:v>
      </x:c>
      <x:c r="T16" s="27" t="str">
        <x:v>Development varies; use observed performance and appropriate supports rather than age alone.</x:v>
      </x:c>
      <x:c r="U16" s="27" t="str"/>
      <x:c r="V16" s="27" t="str"/>
      <x:c r="W16" s="39" t="str"/>
      <x:c r="X16" s="39" t="str"/>
    </x:row>
    <x:row r="17">
      <x:c r="A17" s="27" t="str">
        <x:v>S02-SEL-01</x:v>
      </x:c>
      <x:c r="B17" s="37" t="n">
        <x:v>13</x:v>
      </x:c>
      <x:c r="C17" s="27" t="str">
        <x:v>S02</x:v>
      </x:c>
      <x:c r="D17" s="37" t="n">
        <x:v>2</x:v>
      </x:c>
      <x:c r="E17" s="27" t="str">
        <x:v>2–4 months</x:v>
      </x:c>
      <x:c r="F17" s="27" t="str">
        <x:v>Infant</x:v>
      </x:c>
      <x:c r="G17" s="27" t="str">
        <x:v>Social attention and repeated patterns</x:v>
      </x:c>
      <x:c r="H17" s="27" t="str">
        <x:v>Social-Emotional</x:v>
      </x:c>
      <x:c r="I17" s="27" t="str">
        <x:v>Reciprocity</x:v>
      </x:c>
      <x:c r="J17" s="27" t="str">
        <x:v>Social smiling</x:v>
      </x:c>
      <x:c r="K17" s="27" t="str">
        <x:v>Smiling in response to another person’s face, voice, or smile during a reciprocal exchange.</x:v>
      </x:c>
      <x:c r="L17" s="27" t="str">
        <x:v>Social attention and regulated alertness.</x:v>
      </x:c>
      <x:c r="M17" s="27" t="str">
        <x:v>S01-SEL-02</x:v>
      </x:c>
      <x:c r="N17" s="27" t="str">
        <x:v>G1 — Regulated sensory event</x:v>
      </x:c>
      <x:c r="O17" s="27" t="str">
        <x:v>Language and communication; health; collaboration in science, arts, civics, and projects; responsible digital/financial decisions.</x:v>
      </x:c>
      <x:c r="P17" s="27" t="str">
        <x:v>Contingent smiling establishes repeated social turn-taking.</x:v>
      </x:c>
      <x:c r="Q17" s="27" t="str">
        <x:v>S03-SEL-01</x:v>
      </x:c>
      <x:c r="R17" s="27" t="str">
        <x:v>Smiles after a caregiver approaches, talks, or smiles.</x:v>
      </x:c>
      <x:c r="S17" s="27" t="str">
        <x:v>SRC02; SRC03; SRC18</x:v>
      </x:c>
      <x:c r="T17" s="27" t="str">
        <x:v>Development varies; use observed performance and appropriate supports rather than age alone.</x:v>
      </x:c>
      <x:c r="U17" s="27" t="str"/>
      <x:c r="V17" s="27" t="str"/>
      <x:c r="W17" s="39" t="str"/>
      <x:c r="X17" s="39" t="str"/>
    </x:row>
    <x:row r="18">
      <x:c r="A18" s="27" t="str">
        <x:v>S02-LANG-01</x:v>
      </x:c>
      <x:c r="B18" s="37" t="n">
        <x:v>14</x:v>
      </x:c>
      <x:c r="C18" s="27" t="str">
        <x:v>S02</x:v>
      </x:c>
      <x:c r="D18" s="37" t="n">
        <x:v>2</x:v>
      </x:c>
      <x:c r="E18" s="27" t="str">
        <x:v>2–4 months</x:v>
      </x:c>
      <x:c r="F18" s="27" t="str">
        <x:v>Infant</x:v>
      </x:c>
      <x:c r="G18" s="27" t="str">
        <x:v>Social attention and repeated patterns</x:v>
      </x:c>
      <x:c r="H18" s="27" t="str">
        <x:v>Language &amp; Communication</x:v>
      </x:c>
      <x:c r="I18" s="27" t="str">
        <x:v>Conversation foundations</x:v>
      </x:c>
      <x:c r="J18" s="27" t="str">
        <x:v>Vocal turn-taking</x:v>
      </x:c>
      <x:c r="K18" s="27" t="str">
        <x:v>Producing coos or other sounds, pausing, and responding within a back-and-forth exchange.</x:v>
      </x:c>
      <x:c r="L18" s="27" t="str">
        <x:v>Speech exposure, social attention, and adult response.</x:v>
      </x:c>
      <x:c r="M18" s="27" t="str">
        <x:v>S01-LANG-02</x:v>
      </x:c>
      <x:c r="N18" s="27" t="str">
        <x:v>G1 — Regulated sensory event</x:v>
      </x:c>
      <x:c r="O18" s="27" t="str">
        <x:v>Reading and writing; vocabulary for math/science/social studies; discussion, music prosody, and world-language learning.</x:v>
      </x:c>
      <x:c r="P18" s="27" t="str">
        <x:v>Alternating vocal turns becomes the timing structure for conversation.</x:v>
      </x:c>
      <x:c r="Q18" s="27" t="str">
        <x:v>S02-LANG-02</x:v>
      </x:c>
      <x:c r="R18" s="27" t="str">
        <x:v>Makes a sound after an adult vocalizes and pauses for a response.</x:v>
      </x:c>
      <x:c r="S18" s="27" t="str">
        <x:v>SRC02; SRC03</x:v>
      </x:c>
      <x:c r="T18" s="27" t="str">
        <x:v>Development varies; use observed performance and appropriate supports rather than age alone.</x:v>
      </x:c>
      <x:c r="U18" s="27" t="str"/>
      <x:c r="V18" s="27" t="str"/>
      <x:c r="W18" s="39" t="str"/>
      <x:c r="X18" s="39" t="str"/>
    </x:row>
    <x:row r="19">
      <x:c r="A19" s="27" t="str">
        <x:v>S02-LANG-02</x:v>
      </x:c>
      <x:c r="B19" s="37" t="n">
        <x:v>15</x:v>
      </x:c>
      <x:c r="C19" s="27" t="str">
        <x:v>S02</x:v>
      </x:c>
      <x:c r="D19" s="37" t="n">
        <x:v>2</x:v>
      </x:c>
      <x:c r="E19" s="27" t="str">
        <x:v>2–4 months</x:v>
      </x:c>
      <x:c r="F19" s="27" t="str">
        <x:v>Infant</x:v>
      </x:c>
      <x:c r="G19" s="27" t="str">
        <x:v>Social attention and repeated patterns</x:v>
      </x:c>
      <x:c r="H19" s="27" t="str">
        <x:v>Language &amp; Communication</x:v>
      </x:c>
      <x:c r="I19" s="27" t="str">
        <x:v>Expressive language</x:v>
      </x:c>
      <x:c r="J19" s="27" t="str">
        <x:v>Cooing and vowel play</x:v>
      </x:c>
      <x:c r="K19" s="27" t="str">
        <x:v>Producing sustained vowel-like sounds and experimenting with voice quality.</x:v>
      </x:c>
      <x:c r="L19" s="27" t="str">
        <x:v>Voice production and reciprocal interaction.</x:v>
      </x:c>
      <x:c r="M19" s="27" t="str">
        <x:v>S02-LANG-01</x:v>
      </x:c>
      <x:c r="N19" s="27" t="str">
        <x:v>G1 — Regulated sensory event</x:v>
      </x:c>
      <x:c r="O19" s="27" t="str">
        <x:v>Reading and writing; vocabulary for math/science/social studies; discussion, music prosody, and world-language learning.</x:v>
      </x:c>
      <x:c r="P19" s="27" t="str">
        <x:v>Voluntary vocal play prepares more varied babbling and speech-motor control.</x:v>
      </x:c>
      <x:c r="Q19" s="27" t="str">
        <x:v>S03-LANG-01</x:v>
      </x:c>
      <x:c r="R19" s="27" t="str">
        <x:v>Produces repeated coos or changes pitch and loudness during interaction.</x:v>
      </x:c>
      <x:c r="S19" s="27" t="str">
        <x:v>SRC02; SRC03</x:v>
      </x:c>
      <x:c r="T19" s="27" t="str">
        <x:v>Development varies; use observed performance and appropriate supports rather than age alone.</x:v>
      </x:c>
      <x:c r="U19" s="27" t="str"/>
      <x:c r="V19" s="27" t="str"/>
      <x:c r="W19" s="39" t="str"/>
      <x:c r="X19" s="39" t="str"/>
    </x:row>
    <x:row r="20">
      <x:c r="A20" s="27" t="str">
        <x:v>S02-MATH-01</x:v>
      </x:c>
      <x:c r="B20" s="37" t="n">
        <x:v>16</x:v>
      </x:c>
      <x:c r="C20" s="27" t="str">
        <x:v>S02</x:v>
      </x:c>
      <x:c r="D20" s="37" t="n">
        <x:v>2</x:v>
      </x:c>
      <x:c r="E20" s="27" t="str">
        <x:v>2–4 months</x:v>
      </x:c>
      <x:c r="F20" s="27" t="str">
        <x:v>Infant</x:v>
      </x:c>
      <x:c r="G20" s="27" t="str">
        <x:v>Social attention and repeated patterns</x:v>
      </x:c>
      <x:c r="H20" s="27" t="str">
        <x:v>Mathematics</x:v>
      </x:c>
      <x:c r="I20" s="27" t="str">
        <x:v>Comparison foundations</x:v>
      </x:c>
      <x:c r="J20" s="27" t="str">
        <x:v>Visual contrast discrimination</x:v>
      </x:c>
      <x:c r="K20" s="27" t="str">
        <x:v>Noticing differences in size, brightness, orientation, pattern, or amount when contrasts are sufficiently clear.</x:v>
      </x:c>
      <x:c r="L20" s="27" t="str">
        <x:v>Visual attention and change detection.</x:v>
      </x:c>
      <x:c r="M20" s="27" t="str">
        <x:v>S01-MATH-01</x:v>
      </x:c>
      <x:c r="N20" s="27" t="str">
        <x:v>G1 — Regulated sensory event</x:v>
      </x:c>
      <x:c r="O20" s="27" t="str">
        <x:v>Physical quantity and spatial action; science measurement/models; computing/algorithms; finance; music rhythm/pattern; geographic data.</x:v>
      </x:c>
      <x:c r="P20" s="27" t="str">
        <x:v>Discrimination is used later in matching, sorting, shape recognition, and magnitude comparison.</x:v>
      </x:c>
      <x:c r="Q20" s="27" t="str">
        <x:v>S03-MATH-01</x:v>
      </x:c>
      <x:c r="R20" s="27" t="str">
        <x:v>Looks longer or changes attention when a familiar display changes.</x:v>
      </x:c>
      <x:c r="S20" s="27" t="str">
        <x:v>SRC02; SRC04; SRC07</x:v>
      </x:c>
      <x:c r="T20" s="27" t="str">
        <x:v>Development varies; use observed performance and appropriate supports rather than age alone.</x:v>
      </x:c>
      <x:c r="U20" s="27" t="str"/>
      <x:c r="V20" s="27" t="str"/>
      <x:c r="W20" s="39" t="str"/>
      <x:c r="X20" s="39" t="str"/>
    </x:row>
    <x:row r="21">
      <x:c r="A21" s="27" t="str">
        <x:v>S02-SCI-01</x:v>
      </x:c>
      <x:c r="B21" s="37" t="n">
        <x:v>17</x:v>
      </x:c>
      <x:c r="C21" s="27" t="str">
        <x:v>S02</x:v>
      </x:c>
      <x:c r="D21" s="37" t="n">
        <x:v>2</x:v>
      </x:c>
      <x:c r="E21" s="27" t="str">
        <x:v>2–4 months</x:v>
      </x:c>
      <x:c r="F21" s="27" t="str">
        <x:v>Infant</x:v>
      </x:c>
      <x:c r="G21" s="27" t="str">
        <x:v>Social attention and repeated patterns</x:v>
      </x:c>
      <x:c r="H21" s="27" t="str">
        <x:v>Science &amp; Engineering</x:v>
      </x:c>
      <x:c r="I21" s="27" t="str">
        <x:v>Cause and effect</x:v>
      </x:c>
      <x:c r="J21" s="27" t="str">
        <x:v>Contingency detection</x:v>
      </x:c>
      <x:c r="K21" s="27" t="str">
        <x:v>Beginning to notice that an immediate event reliably follows a movement, sound, or social signal.</x:v>
      </x:c>
      <x:c r="L21" s="27" t="str">
        <x:v>Repetition and short-term memory.</x:v>
      </x:c>
      <x:c r="M21" s="27" t="str">
        <x:v>S01-SCI-01</x:v>
      </x:c>
      <x:c r="N21" s="27" t="str">
        <x:v>G1 — Regulated sensory event</x:v>
      </x:c>
      <x:c r="O21" s="27" t="str">
        <x:v>Sensory observation and action; mathematics/data; reading/writing evidence; computing/models; health and environmental/civic decisions.</x:v>
      </x:c>
      <x:c r="P21" s="27" t="str">
        <x:v>Contingency detection motivates intentional experimentation.</x:v>
      </x:c>
      <x:c r="Q21" s="27" t="str">
        <x:v>S03-SCI-01</x:v>
      </x:c>
      <x:c r="R21" s="27" t="str">
        <x:v>Repeats or intensifies an action that recently produced an interesting result.</x:v>
      </x:c>
      <x:c r="S21" s="27" t="str">
        <x:v>SRC02; SRC04; SRC11</x:v>
      </x:c>
      <x:c r="T21" s="27" t="str">
        <x:v>Development varies; use observed performance and appropriate supports rather than age alone.</x:v>
      </x:c>
      <x:c r="U21" s="27" t="str"/>
      <x:c r="V21" s="27" t="str"/>
      <x:c r="W21" s="39" t="str"/>
      <x:c r="X21" s="39" t="str"/>
    </x:row>
    <x:row r="22">
      <x:c r="A22" s="27" t="str">
        <x:v>S02-ARTS-01</x:v>
      </x:c>
      <x:c r="B22" s="37" t="n">
        <x:v>18</x:v>
      </x:c>
      <x:c r="C22" s="27" t="str">
        <x:v>S02</x:v>
      </x:c>
      <x:c r="D22" s="37" t="n">
        <x:v>2</x:v>
      </x:c>
      <x:c r="E22" s="27" t="str">
        <x:v>2–4 months</x:v>
      </x:c>
      <x:c r="F22" s="27" t="str">
        <x:v>Infant</x:v>
      </x:c>
      <x:c r="G22" s="27" t="str">
        <x:v>Social attention and repeated patterns</x:v>
      </x:c>
      <x:c r="H22" s="27" t="str">
        <x:v>Music &amp; Arts</x:v>
      </x:c>
      <x:c r="I22" s="27" t="str">
        <x:v>Music response</x:v>
      </x:c>
      <x:c r="J22" s="27" t="str">
        <x:v>Voice and rhythm engagement</x:v>
      </x:c>
      <x:c r="K22" s="27" t="str">
        <x:v>Attending, calming, smiling, or moving during songs, chants, and patterned speech.</x:v>
      </x:c>
      <x:c r="L22" s="27" t="str">
        <x:v>Auditory contour and social attention.</x:v>
      </x:c>
      <x:c r="M22" s="27" t="str">
        <x:v>S01-ARTS-01</x:v>
      </x:c>
      <x:c r="N22" s="27" t="str">
        <x:v>G1 — Regulated sensory event</x:v>
      </x:c>
      <x:c r="O22" s="27" t="str">
        <x:v>Sensory discrimination; motor timing; language/prosody; mathematics/pattern; history/culture; emotion, design, and technology.</x:v>
      </x:c>
      <x:c r="P22" s="27" t="str">
        <x:v>Enjoyable repetition connects beat, language rhythm, memory, and relationship.</x:v>
      </x:c>
      <x:c r="Q22" s="27" t="str">
        <x:v>S03-ARTS-01</x:v>
      </x:c>
      <x:c r="R22" s="27" t="str">
        <x:v>Shows a repeatable response during a familiar song or chant.</x:v>
      </x:c>
      <x:c r="S22" s="27" t="str">
        <x:v>SRC02; SRC13</x:v>
      </x:c>
      <x:c r="T22" s="27" t="str">
        <x:v>Development varies; use observed performance and appropriate supports rather than age alone.</x:v>
      </x:c>
      <x:c r="U22" s="27" t="str"/>
      <x:c r="V22" s="27" t="str"/>
      <x:c r="W22" s="39" t="str"/>
      <x:c r="X22" s="39" t="str"/>
    </x:row>
    <x:row r="23">
      <x:c r="A23" s="27" t="str">
        <x:v>S02-HLTH-01</x:v>
      </x:c>
      <x:c r="B23" s="37" t="n">
        <x:v>19</x:v>
      </x:c>
      <x:c r="C23" s="27" t="str">
        <x:v>S02</x:v>
      </x:c>
      <x:c r="D23" s="37" t="n">
        <x:v>2</x:v>
      </x:c>
      <x:c r="E23" s="27" t="str">
        <x:v>2–4 months</x:v>
      </x:c>
      <x:c r="F23" s="27" t="str">
        <x:v>Infant</x:v>
      </x:c>
      <x:c r="G23" s="27" t="str">
        <x:v>Social attention and repeated patterns</x:v>
      </x:c>
      <x:c r="H23" s="27" t="str">
        <x:v>Physical &amp; Health</x:v>
      </x:c>
      <x:c r="I23" s="27" t="str">
        <x:v>Gross motor</x:v>
      </x:c>
      <x:c r="J23" s="27" t="str">
        <x:v>Early head control</x:v>
      </x:c>
      <x:c r="K23" s="27" t="str">
        <x:v>Holding the head steadier when supported and lifting it higher during supervised prone play.</x:v>
      </x:c>
      <x:c r="L23" s="27" t="str">
        <x:v>Neck/trunk activation and movement opportunity.</x:v>
      </x:c>
      <x:c r="M23" s="27" t="str">
        <x:v>S01-HLTH-01</x:v>
      </x:c>
      <x:c r="N23" s="27" t="str">
        <x:v>G1 — Regulated sensory event</x:v>
      </x:c>
      <x:c r="O23" s="27" t="str">
        <x:v>Motor/sensory development; life science; measurement/data; SEL/self-management; communication, safety, and decision-making.</x:v>
      </x:c>
      <x:c r="P23" s="27" t="str">
        <x:v>Head stability frees vision and arms for coordinated exploration.</x:v>
      </x:c>
      <x:c r="Q23" s="27" t="str">
        <x:v>S02-HLTH-02</x:v>
      </x:c>
      <x:c r="R23" s="27" t="str">
        <x:v>Holds the head centered briefly or lifts it during tummy time.</x:v>
      </x:c>
      <x:c r="S23" s="27" t="str">
        <x:v>SRC03; SRC14</x:v>
      </x:c>
      <x:c r="T23" s="27" t="str">
        <x:v>Development varies; use observed performance and appropriate supports rather than age alone.</x:v>
      </x:c>
      <x:c r="U23" s="27" t="str"/>
      <x:c r="V23" s="27" t="str"/>
      <x:c r="W23" s="39" t="str"/>
      <x:c r="X23" s="39" t="str"/>
    </x:row>
    <x:row r="24">
      <x:c r="A24" s="27" t="str">
        <x:v>S02-HLTH-02</x:v>
      </x:c>
      <x:c r="B24" s="37" t="n">
        <x:v>20</x:v>
      </x:c>
      <x:c r="C24" s="27" t="str">
        <x:v>S02</x:v>
      </x:c>
      <x:c r="D24" s="37" t="n">
        <x:v>2</x:v>
      </x:c>
      <x:c r="E24" s="27" t="str">
        <x:v>2–4 months</x:v>
      </x:c>
      <x:c r="F24" s="27" t="str">
        <x:v>Infant</x:v>
      </x:c>
      <x:c r="G24" s="27" t="str">
        <x:v>Social attention and repeated patterns</x:v>
      </x:c>
      <x:c r="H24" s="27" t="str">
        <x:v>Physical &amp; Health</x:v>
      </x:c>
      <x:c r="I24" s="27" t="str">
        <x:v>Fine motor</x:v>
      </x:c>
      <x:c r="J24" s="27" t="str">
        <x:v>Hand opening and contact</x:v>
      </x:c>
      <x:c r="K24" s="27" t="str">
        <x:v>Opening hands more often and bringing hands toward the mouth, body, or nearby objects.</x:v>
      </x:c>
      <x:c r="L24" s="27" t="str">
        <x:v>Arm movement and tactile feedback.</x:v>
      </x:c>
      <x:c r="M24" s="27" t="str">
        <x:v>S02-HLTH-01</x:v>
      </x:c>
      <x:c r="N24" s="27" t="str">
        <x:v>G1 — Regulated sensory event</x:v>
      </x:c>
      <x:c r="O24" s="27" t="str">
        <x:v>Motor/sensory development; life science; measurement/data; SEL/self-management; communication, safety, and decision-making.</x:v>
      </x:c>
      <x:c r="P24" s="27" t="str">
        <x:v>Hand contact precedes grasping, object manipulation, tool use, and writing.</x:v>
      </x:c>
      <x:c r="Q24" s="27" t="str">
        <x:v>S03-HLTH-01</x:v>
      </x:c>
      <x:c r="R24" s="27" t="str">
        <x:v>Touches hands together, brings a hand to the mouth, or contacts a nearby object.</x:v>
      </x:c>
      <x:c r="S24" s="27" t="str">
        <x:v>SRC02; SRC03; SRC14</x:v>
      </x:c>
      <x:c r="T24" s="27" t="str">
        <x:v>Development varies; use observed performance and appropriate supports rather than age alone.</x:v>
      </x:c>
      <x:c r="U24" s="27" t="str"/>
      <x:c r="V24" s="27" t="str"/>
      <x:c r="W24" s="39" t="str"/>
      <x:c r="X24" s="39" t="str"/>
    </x:row>
    <x:row r="25">
      <x:c r="A25" s="27" t="str">
        <x:v>S03-LEARN-01</x:v>
      </x:c>
      <x:c r="B25" s="37" t="n">
        <x:v>21</x:v>
      </x:c>
      <x:c r="C25" s="27" t="str">
        <x:v>S03</x:v>
      </x:c>
      <x:c r="D25" s="37" t="n">
        <x:v>3</x:v>
      </x:c>
      <x:c r="E25" s="27" t="str">
        <x:v>4–6 months</x:v>
      </x:c>
      <x:c r="F25" s="27" t="str">
        <x:v>Infant</x:v>
      </x:c>
      <x:c r="G25" s="27" t="str">
        <x:v>Intentional reaching and cause–effect</x:v>
      </x:c>
      <x:c r="H25" s="27" t="str">
        <x:v>Learning Foundations</x:v>
      </x:c>
      <x:c r="I25" s="27" t="str">
        <x:v>Exploration</x:v>
      </x:c>
      <x:c r="J25" s="27" t="str">
        <x:v>Intentional repetition</x:v>
      </x:c>
      <x:c r="K25" s="27" t="str">
        <x:v>Repeating a movement because its result is interesting, such as kicking, shaking, or vocalizing.</x:v>
      </x:c>
      <x:c r="L25" s="27" t="str">
        <x:v>Contingency detection and motor access.</x:v>
      </x:c>
      <x:c r="M25" s="27" t="str">
        <x:v>S02-LEARN-02</x:v>
      </x:c>
      <x:c r="N25" s="27" t="str">
        <x:v>G1 — Regulated sensory event</x:v>
      </x:c>
      <x:c r="O25" s="27" t="str">
        <x:v>All domains: attention, memory, strategy choice, monitoring, retrieval, and transfer.</x:v>
      </x:c>
      <x:c r="P25" s="27" t="str">
        <x:v>Intentional repetition is the first experiment cycle: act, observe, repeat, vary.</x:v>
      </x:c>
      <x:c r="Q25" s="27" t="str">
        <x:v>S03-LEARN-02</x:v>
      </x:c>
      <x:c r="R25" s="27" t="str">
        <x:v>Repeats an action after its effect stops.</x:v>
      </x:c>
      <x:c r="S25" s="27" t="str">
        <x:v>SRC02; SRC04; SRC11</x:v>
      </x:c>
      <x:c r="T25" s="27" t="str">
        <x:v>Development varies; use observed performance and appropriate supports rather than age alone.</x:v>
      </x:c>
      <x:c r="U25" s="27" t="str"/>
      <x:c r="V25" s="27" t="str"/>
      <x:c r="W25" s="39" t="str"/>
      <x:c r="X25" s="39" t="str"/>
    </x:row>
    <x:row r="26">
      <x:c r="A26" s="27" t="str">
        <x:v>S03-LEARN-02</x:v>
      </x:c>
      <x:c r="B26" s="37" t="n">
        <x:v>22</x:v>
      </x:c>
      <x:c r="C26" s="27" t="str">
        <x:v>S03</x:v>
      </x:c>
      <x:c r="D26" s="37" t="n">
        <x:v>3</x:v>
      </x:c>
      <x:c r="E26" s="27" t="str">
        <x:v>4–6 months</x:v>
      </x:c>
      <x:c r="F26" s="27" t="str">
        <x:v>Infant</x:v>
      </x:c>
      <x:c r="G26" s="27" t="str">
        <x:v>Intentional reaching and cause–effect</x:v>
      </x:c>
      <x:c r="H26" s="27" t="str">
        <x:v>Learning Foundations</x:v>
      </x:c>
      <x:c r="I26" s="27" t="str">
        <x:v>Working memory</x:v>
      </x:c>
      <x:c r="J26" s="27" t="str">
        <x:v>Brief expectation</x:v>
      </x:c>
      <x:c r="K26" s="27" t="str">
        <x:v>Holding a familiar action-result pattern long enough to anticipate what comes next.</x:v>
      </x:c>
      <x:c r="L26" s="27" t="str">
        <x:v>Recognition memory and repeated routines.</x:v>
      </x:c>
      <x:c r="M26" s="27" t="str">
        <x:v>S03-LEARN-01</x:v>
      </x:c>
      <x:c r="N26" s="27" t="str">
        <x:v>G1 — Regulated sensory event</x:v>
      </x:c>
      <x:c r="O26" s="27" t="str">
        <x:v>All domains: attention, memory, strategy choice, monitoring, retrieval, and transfer.</x:v>
      </x:c>
      <x:c r="P26" s="27" t="str">
        <x:v>Short expectations support sequence learning and object search.</x:v>
      </x:c>
      <x:c r="Q26" s="27" t="str">
        <x:v>S04-LEARN-01</x:v>
      </x:c>
      <x:c r="R26" s="27" t="str">
        <x:v>Shows anticipation before a repeated bounce, sound, or game event.</x:v>
      </x:c>
      <x:c r="S26" s="27" t="str">
        <x:v>SRC02; SRC05</x:v>
      </x:c>
      <x:c r="T26" s="27" t="str">
        <x:v>Development varies; use observed performance and appropriate supports rather than age alone.</x:v>
      </x:c>
      <x:c r="U26" s="27" t="str"/>
      <x:c r="V26" s="27" t="str"/>
      <x:c r="W26" s="39" t="str"/>
      <x:c r="X26" s="39" t="str"/>
    </x:row>
    <x:row r="27">
      <x:c r="A27" s="27" t="str">
        <x:v>S03-SEL-01</x:v>
      </x:c>
      <x:c r="B27" s="37" t="n">
        <x:v>23</x:v>
      </x:c>
      <x:c r="C27" s="27" t="str">
        <x:v>S03</x:v>
      </x:c>
      <x:c r="D27" s="37" t="n">
        <x:v>3</x:v>
      </x:c>
      <x:c r="E27" s="27" t="str">
        <x:v>4–6 months</x:v>
      </x:c>
      <x:c r="F27" s="27" t="str">
        <x:v>Infant</x:v>
      </x:c>
      <x:c r="G27" s="27" t="str">
        <x:v>Intentional reaching and cause–effect</x:v>
      </x:c>
      <x:c r="H27" s="27" t="str">
        <x:v>Social-Emotional</x:v>
      </x:c>
      <x:c r="I27" s="27" t="str">
        <x:v>Emotion</x:v>
      </x:c>
      <x:c r="J27" s="27" t="str">
        <x:v>Emotion differentiation</x:v>
      </x:c>
      <x:c r="K27" s="27" t="str">
        <x:v>Expressing and responding to increasingly distinct states such as pleasure, frustration, interest, and caution.</x:v>
      </x:c>
      <x:c r="L27" s="27" t="str">
        <x:v>Co-regulation and social reciprocity.</x:v>
      </x:c>
      <x:c r="M27" s="27" t="str">
        <x:v>S02-SEL-01</x:v>
      </x:c>
      <x:c r="N27" s="27" t="str">
        <x:v>G1 — Regulated sensory event</x:v>
      </x:c>
      <x:c r="O27" s="27" t="str">
        <x:v>Language and communication; health; collaboration in science, arts, civics, and projects; responsible digital/financial decisions.</x:v>
      </x:c>
      <x:c r="P27" s="27" t="str">
        <x:v>Distinct emotions can later be labeled, managed, and interpreted in others.</x:v>
      </x:c>
      <x:c r="Q27" s="27" t="str">
        <x:v>S04-SEL-01</x:v>
      </x:c>
      <x:c r="R27" s="27" t="str">
        <x:v>Uses differing facial, vocal, and body signals across situations.</x:v>
      </x:c>
      <x:c r="S27" s="27" t="str">
        <x:v>SRC02; SRC03; SRC18</x:v>
      </x:c>
      <x:c r="T27" s="27" t="str">
        <x:v>Development varies; use observed performance and appropriate supports rather than age alone.</x:v>
      </x:c>
      <x:c r="U27" s="27" t="str"/>
      <x:c r="V27" s="27" t="str"/>
      <x:c r="W27" s="39" t="str"/>
      <x:c r="X27" s="39" t="str"/>
    </x:row>
    <x:row r="28">
      <x:c r="A28" s="27" t="str">
        <x:v>S03-LANG-01</x:v>
      </x:c>
      <x:c r="B28" s="37" t="n">
        <x:v>24</x:v>
      </x:c>
      <x:c r="C28" s="27" t="str">
        <x:v>S03</x:v>
      </x:c>
      <x:c r="D28" s="37" t="n">
        <x:v>3</x:v>
      </x:c>
      <x:c r="E28" s="27" t="str">
        <x:v>4–6 months</x:v>
      </x:c>
      <x:c r="F28" s="27" t="str">
        <x:v>Infant</x:v>
      </x:c>
      <x:c r="G28" s="27" t="str">
        <x:v>Intentional reaching and cause–effect</x:v>
      </x:c>
      <x:c r="H28" s="27" t="str">
        <x:v>Language &amp; Communication</x:v>
      </x:c>
      <x:c r="I28" s="27" t="str">
        <x:v>Speech perception</x:v>
      </x:c>
      <x:c r="J28" s="27" t="str">
        <x:v>Name and tone attention</x:v>
      </x:c>
      <x:c r="K28" s="27" t="str">
        <x:v>Orienting to a frequently heard name or to clear changes in a speaker’s emotional tone.</x:v>
      </x:c>
      <x:c r="L28" s="27" t="str">
        <x:v>Speech exposure and familiarity recognition.</x:v>
      </x:c>
      <x:c r="M28" s="27" t="str">
        <x:v>S02-LANG-02</x:v>
      </x:c>
      <x:c r="N28" s="27" t="str">
        <x:v>G1 — Regulated sensory event</x:v>
      </x:c>
      <x:c r="O28" s="27" t="str">
        <x:v>Reading and writing; vocabulary for math/science/social studies; discussion, music prosody, and world-language learning.</x:v>
      </x:c>
      <x:c r="P28" s="27" t="str">
        <x:v>Stable sound patterns begin to link to social meaning and reference.</x:v>
      </x:c>
      <x:c r="Q28" s="27" t="str">
        <x:v>S03-LANG-02</x:v>
      </x:c>
      <x:c r="R28" s="27" t="str">
        <x:v>Looks, stills, or vocalizes when a familiar name or tone is used.</x:v>
      </x:c>
      <x:c r="S28" s="27" t="str">
        <x:v>SRC02; SRC03</x:v>
      </x:c>
      <x:c r="T28" s="27" t="str">
        <x:v>Development varies; use observed performance and appropriate supports rather than age alone.</x:v>
      </x:c>
      <x:c r="U28" s="27" t="str"/>
      <x:c r="V28" s="27" t="str"/>
      <x:c r="W28" s="39" t="str"/>
      <x:c r="X28" s="39" t="str"/>
    </x:row>
    <x:row r="29">
      <x:c r="A29" s="27" t="str">
        <x:v>S03-LANG-02</x:v>
      </x:c>
      <x:c r="B29" s="37" t="n">
        <x:v>25</x:v>
      </x:c>
      <x:c r="C29" s="27" t="str">
        <x:v>S03</x:v>
      </x:c>
      <x:c r="D29" s="37" t="n">
        <x:v>3</x:v>
      </x:c>
      <x:c r="E29" s="27" t="str">
        <x:v>4–6 months</x:v>
      </x:c>
      <x:c r="F29" s="27" t="str">
        <x:v>Infant</x:v>
      </x:c>
      <x:c r="G29" s="27" t="str">
        <x:v>Intentional reaching and cause–effect</x:v>
      </x:c>
      <x:c r="H29" s="27" t="str">
        <x:v>Language &amp; Communication</x:v>
      </x:c>
      <x:c r="I29" s="27" t="str">
        <x:v>Expressive language</x:v>
      </x:c>
      <x:c r="J29" s="27" t="str">
        <x:v>Consonant-like sound play</x:v>
      </x:c>
      <x:c r="K29" s="27" t="str">
        <x:v>Adding squeals, growls, raspberries, and early consonant-like closures to vocal play.</x:v>
      </x:c>
      <x:c r="L29" s="27" t="str">
        <x:v>Cooing and voluntary voice control.</x:v>
      </x:c>
      <x:c r="M29" s="27" t="str">
        <x:v>S03-LANG-01</x:v>
      </x:c>
      <x:c r="N29" s="27" t="str">
        <x:v>G1 — Regulated sensory event</x:v>
      </x:c>
      <x:c r="O29" s="27" t="str">
        <x:v>Reading and writing; vocabulary for math/science/social studies; discussion, music prosody, and world-language learning.</x:v>
      </x:c>
      <x:c r="P29" s="27" t="str">
        <x:v>Varied vocal gestures prepare canonical babbling and speech imitation.</x:v>
      </x:c>
      <x:c r="Q29" s="27" t="str">
        <x:v>S04-LANG-01</x:v>
      </x:c>
      <x:c r="R29" s="27" t="str">
        <x:v>Experiments with several sound types during play.</x:v>
      </x:c>
      <x:c r="S29" s="27" t="str">
        <x:v>SRC02; SRC03</x:v>
      </x:c>
      <x:c r="T29" s="27" t="str">
        <x:v>Development varies; use observed performance and appropriate supports rather than age alone.</x:v>
      </x:c>
      <x:c r="U29" s="27" t="str"/>
      <x:c r="V29" s="27" t="str"/>
      <x:c r="W29" s="39" t="str"/>
      <x:c r="X29" s="39" t="str"/>
    </x:row>
    <x:row r="30">
      <x:c r="A30" s="27" t="str">
        <x:v>S03-MATH-01</x:v>
      </x:c>
      <x:c r="B30" s="37" t="n">
        <x:v>26</x:v>
      </x:c>
      <x:c r="C30" s="27" t="str">
        <x:v>S03</x:v>
      </x:c>
      <x:c r="D30" s="37" t="n">
        <x:v>3</x:v>
      </x:c>
      <x:c r="E30" s="27" t="str">
        <x:v>4–6 months</x:v>
      </x:c>
      <x:c r="F30" s="27" t="str">
        <x:v>Infant</x:v>
      </x:c>
      <x:c r="G30" s="27" t="str">
        <x:v>Intentional reaching and cause–effect</x:v>
      </x:c>
      <x:c r="H30" s="27" t="str">
        <x:v>Mathematics</x:v>
      </x:c>
      <x:c r="I30" s="27" t="str">
        <x:v>Spatial foundations</x:v>
      </x:c>
      <x:c r="J30" s="27" t="str">
        <x:v>Reach-distance coordination</x:v>
      </x:c>
      <x:c r="K30" s="27" t="str">
        <x:v>Judging whether an object is within reach and adjusting the arm or body toward it.</x:v>
      </x:c>
      <x:c r="L30" s="27" t="str">
        <x:v>Tracking, head control, and emerging grasp.</x:v>
      </x:c>
      <x:c r="M30" s="27" t="str">
        <x:v>S02-MATH-01</x:v>
      </x:c>
      <x:c r="N30" s="27" t="str">
        <x:v>G1 — Regulated sensory event</x:v>
      </x:c>
      <x:c r="O30" s="27" t="str">
        <x:v>Physical quantity and spatial action; science measurement/models; computing/algorithms; finance; music rhythm/pattern; geographic data.</x:v>
      </x:c>
      <x:c r="P30" s="27" t="str">
        <x:v>Coordinating space with action supports distance, direction, geometry, and measurement.</x:v>
      </x:c>
      <x:c r="Q30" s="27" t="str">
        <x:v>S03-MATH-02</x:v>
      </x:c>
      <x:c r="R30" s="27" t="str">
        <x:v>Reaches more accurately for objects at different positions.</x:v>
      </x:c>
      <x:c r="S30" s="27" t="str">
        <x:v>SRC02; SRC07</x:v>
      </x:c>
      <x:c r="T30" s="27" t="str">
        <x:v>Development varies; use observed performance and appropriate supports rather than age alone.</x:v>
      </x:c>
      <x:c r="U30" s="27" t="str"/>
      <x:c r="V30" s="27" t="str"/>
      <x:c r="W30" s="39" t="str"/>
      <x:c r="X30" s="39" t="str"/>
    </x:row>
    <x:row r="31">
      <x:c r="A31" s="27" t="str">
        <x:v>S03-MATH-02</x:v>
      </x:c>
      <x:c r="B31" s="37" t="n">
        <x:v>27</x:v>
      </x:c>
      <x:c r="C31" s="27" t="str">
        <x:v>S03</x:v>
      </x:c>
      <x:c r="D31" s="37" t="n">
        <x:v>3</x:v>
      </x:c>
      <x:c r="E31" s="27" t="str">
        <x:v>4–6 months</x:v>
      </x:c>
      <x:c r="F31" s="27" t="str">
        <x:v>Infant</x:v>
      </x:c>
      <x:c r="G31" s="27" t="str">
        <x:v>Intentional reaching and cause–effect</x:v>
      </x:c>
      <x:c r="H31" s="27" t="str">
        <x:v>Mathematics</x:v>
      </x:c>
      <x:c r="I31" s="27" t="str">
        <x:v>Quantity foundations</x:v>
      </x:c>
      <x:c r="J31" s="27" t="str">
        <x:v>Small-set sensitivity</x:v>
      </x:c>
      <x:c r="K31" s="27" t="str">
        <x:v>Perceiving a clear difference between small or substantially different collections without using number words.</x:v>
      </x:c>
      <x:c r="L31" s="27" t="str">
        <x:v>Visual discrimination and attention.</x:v>
      </x:c>
      <x:c r="M31" s="27" t="str">
        <x:v>S03-MATH-01</x:v>
      </x:c>
      <x:c r="N31" s="27" t="str">
        <x:v>G1 — Regulated sensory event</x:v>
      </x:c>
      <x:c r="O31" s="27" t="str">
        <x:v>Physical quantity and spatial action; science measurement/models; computing/algorithms; finance; music rhythm/pattern; geographic data.</x:v>
      </x:c>
      <x:c r="P31" s="27" t="str">
        <x:v>Nonverbal quantity sensitivity is connected later to comparison, subitizing, and counting.</x:v>
      </x:c>
      <x:c r="Q31" s="27" t="str">
        <x:v>S04-MATH-01</x:v>
      </x:c>
      <x:c r="R31" s="27" t="str">
        <x:v>Shows renewed attention when a repeated collection changes markedly in amount.</x:v>
      </x:c>
      <x:c r="S31" s="27" t="str">
        <x:v>SRC04; SRC07</x:v>
      </x:c>
      <x:c r="T31" s="27" t="str">
        <x:v>Laboratory quantity responses depend on task conditions; treat this as perceptual preparation for later number learning.</x:v>
      </x:c>
      <x:c r="U31" s="27" t="str"/>
      <x:c r="V31" s="27" t="str"/>
      <x:c r="W31" s="39" t="str"/>
      <x:c r="X31" s="39" t="str"/>
    </x:row>
    <x:row r="32">
      <x:c r="A32" s="27" t="str">
        <x:v>S03-SCI-01</x:v>
      </x:c>
      <x:c r="B32" s="37" t="n">
        <x:v>28</x:v>
      </x:c>
      <x:c r="C32" s="27" t="str">
        <x:v>S03</x:v>
      </x:c>
      <x:c r="D32" s="37" t="n">
        <x:v>3</x:v>
      </x:c>
      <x:c r="E32" s="27" t="str">
        <x:v>4–6 months</x:v>
      </x:c>
      <x:c r="F32" s="27" t="str">
        <x:v>Infant</x:v>
      </x:c>
      <x:c r="G32" s="27" t="str">
        <x:v>Intentional reaching and cause–effect</x:v>
      </x:c>
      <x:c r="H32" s="27" t="str">
        <x:v>Science &amp; Engineering</x:v>
      </x:c>
      <x:c r="I32" s="27" t="str">
        <x:v>Properties of matter</x:v>
      </x:c>
      <x:c r="J32" s="27" t="str">
        <x:v>Mouth-hand comparison</x:v>
      </x:c>
      <x:c r="K32" s="27" t="str">
        <x:v>Exploring safe objects through looking, mouthing, touching, banging, and turning to gather information about texture, hardness, sound, and shape.</x:v>
      </x:c>
      <x:c r="L32" s="27" t="str">
        <x:v>Grasping and sensory exploration.</x:v>
      </x:c>
      <x:c r="M32" s="27" t="str">
        <x:v>S02-SCI-01</x:v>
      </x:c>
      <x:c r="N32" s="27" t="str">
        <x:v>G1 — Regulated sensory event</x:v>
      </x:c>
      <x:c r="O32" s="27" t="str">
        <x:v>Sensory observation and action; mathematics/data; reading/writing evidence; computing/models; health and environmental/civic decisions.</x:v>
      </x:c>
      <x:c r="P32" s="27" t="str">
        <x:v>Using multiple senses on one object builds the concept that objects have stable properties.</x:v>
      </x:c>
      <x:c r="Q32" s="27" t="str">
        <x:v>S04-SCI-01</x:v>
      </x:c>
      <x:c r="R32" s="27" t="str">
        <x:v>Explores the same object in more than one way.</x:v>
      </x:c>
      <x:c r="S32" s="27" t="str">
        <x:v>SRC02; SRC04; SRC11</x:v>
      </x:c>
      <x:c r="T32" s="27" t="str">
        <x:v>Development varies; use observed performance and appropriate supports rather than age alone.</x:v>
      </x:c>
      <x:c r="U32" s="27" t="str"/>
      <x:c r="V32" s="27" t="str"/>
      <x:c r="W32" s="39" t="str"/>
      <x:c r="X32" s="39" t="str"/>
    </x:row>
    <x:row r="33">
      <x:c r="A33" s="27" t="str">
        <x:v>S03-ARTS-01</x:v>
      </x:c>
      <x:c r="B33" s="37" t="n">
        <x:v>29</x:v>
      </x:c>
      <x:c r="C33" s="27" t="str">
        <x:v>S03</x:v>
      </x:c>
      <x:c r="D33" s="37" t="n">
        <x:v>3</x:v>
      </x:c>
      <x:c r="E33" s="27" t="str">
        <x:v>4–6 months</x:v>
      </x:c>
      <x:c r="F33" s="27" t="str">
        <x:v>Infant</x:v>
      </x:c>
      <x:c r="G33" s="27" t="str">
        <x:v>Intentional reaching and cause–effect</x:v>
      </x:c>
      <x:c r="H33" s="27" t="str">
        <x:v>Music &amp; Arts</x:v>
      </x:c>
      <x:c r="I33" s="27" t="str">
        <x:v>Rhythm</x:v>
      </x:c>
      <x:c r="J33" s="27" t="str">
        <x:v>Pulse through movement</x:v>
      </x:c>
      <x:c r="K33" s="27" t="str">
        <x:v>Experiencing a regular pulse through bouncing, rocking, clapping assistance, or repeated sound.</x:v>
      </x:c>
      <x:c r="L33" s="27" t="str">
        <x:v>Temporal regularity and body movement.</x:v>
      </x:c>
      <x:c r="M33" s="27" t="str">
        <x:v>S02-ARTS-01</x:v>
      </x:c>
      <x:c r="N33" s="27" t="str">
        <x:v>G1 — Regulated sensory event</x:v>
      </x:c>
      <x:c r="O33" s="27" t="str">
        <x:v>Sensory discrimination; motor timing; language/prosody; mathematics/pattern; history/culture; emotion, design, and technology.</x:v>
      </x:c>
      <x:c r="P33" s="27" t="str">
        <x:v>A felt pulse precedes independent beat synchronization.</x:v>
      </x:c>
      <x:c r="Q33" s="27" t="str">
        <x:v>S04-ARTS-01</x:v>
      </x:c>
      <x:c r="R33" s="27" t="str">
        <x:v>Anticipates or moves during a repeated pulse pattern.</x:v>
      </x:c>
      <x:c r="S33" s="27" t="str">
        <x:v>SRC02; SRC13</x:v>
      </x:c>
      <x:c r="T33" s="27" t="str">
        <x:v>Development varies; use observed performance and appropriate supports rather than age alone.</x:v>
      </x:c>
      <x:c r="U33" s="27" t="str"/>
      <x:c r="V33" s="27" t="str"/>
      <x:c r="W33" s="39" t="str"/>
      <x:c r="X33" s="39" t="str"/>
    </x:row>
    <x:row r="34">
      <x:c r="A34" s="27" t="str">
        <x:v>S03-HLTH-01</x:v>
      </x:c>
      <x:c r="B34" s="37" t="n">
        <x:v>30</x:v>
      </x:c>
      <x:c r="C34" s="27" t="str">
        <x:v>S03</x:v>
      </x:c>
      <x:c r="D34" s="37" t="n">
        <x:v>3</x:v>
      </x:c>
      <x:c r="E34" s="27" t="str">
        <x:v>4–6 months</x:v>
      </x:c>
      <x:c r="F34" s="27" t="str">
        <x:v>Infant</x:v>
      </x:c>
      <x:c r="G34" s="27" t="str">
        <x:v>Intentional reaching and cause–effect</x:v>
      </x:c>
      <x:c r="H34" s="27" t="str">
        <x:v>Physical &amp; Health</x:v>
      </x:c>
      <x:c r="I34" s="27" t="str">
        <x:v>Fine motor</x:v>
      </x:c>
      <x:c r="J34" s="27" t="str">
        <x:v>Purposeful grasp</x:v>
      </x:c>
      <x:c r="K34" s="27" t="str">
        <x:v>Closing the hand around a reachable object and bringing it toward the body for exploration.</x:v>
      </x:c>
      <x:c r="L34" s="27" t="str">
        <x:v>Hand opening, tracking, and reach-distance coordination.</x:v>
      </x:c>
      <x:c r="M34" s="27" t="str">
        <x:v>S02-HLTH-02</x:v>
      </x:c>
      <x:c r="N34" s="27" t="str">
        <x:v>G1 — Regulated sensory event</x:v>
      </x:c>
      <x:c r="O34" s="27" t="str">
        <x:v>Motor/sensory development; life science; measurement/data; SEL/self-management; communication, safety, and decision-making.</x:v>
      </x:c>
      <x:c r="P34" s="27" t="str">
        <x:v>Grasping enables comparison, transfer, construction, tools, and mark-making.</x:v>
      </x:c>
      <x:c r="Q34" s="27" t="str">
        <x:v>S04-HLTH-01</x:v>
      </x:c>
      <x:c r="R34" s="27" t="str">
        <x:v>Reaches for, grasps, and holds a safe object.</x:v>
      </x:c>
      <x:c r="S34" s="27" t="str">
        <x:v>SRC02; SRC03; SRC14</x:v>
      </x:c>
      <x:c r="T34" s="27" t="str">
        <x:v>Development varies; use observed performance and appropriate supports rather than age alone.</x:v>
      </x:c>
      <x:c r="U34" s="27" t="str"/>
      <x:c r="V34" s="27" t="str"/>
      <x:c r="W34" s="39" t="str"/>
      <x:c r="X34" s="39" t="str"/>
    </x:row>
    <x:row r="35">
      <x:c r="A35" s="27" t="str">
        <x:v>S04-LEARN-01</x:v>
      </x:c>
      <x:c r="B35" s="37" t="n">
        <x:v>31</x:v>
      </x:c>
      <x:c r="C35" s="27" t="str">
        <x:v>S04</x:v>
      </x:c>
      <x:c r="D35" s="37" t="n">
        <x:v>4</x:v>
      </x:c>
      <x:c r="E35" s="27" t="str">
        <x:v>6–9 months</x:v>
      </x:c>
      <x:c r="F35" s="27" t="str">
        <x:v>Infant</x:v>
      </x:c>
      <x:c r="G35" s="27" t="str">
        <x:v>Object exploration and joint attention</x:v>
      </x:c>
      <x:c r="H35" s="27" t="str">
        <x:v>Learning Foundations</x:v>
      </x:c>
      <x:c r="I35" s="27" t="str">
        <x:v>Joint attention</x:v>
      </x:c>
      <x:c r="J35" s="27" t="str">
        <x:v>Following another’s attention</x:v>
      </x:c>
      <x:c r="K35" s="27" t="str">
        <x:v>Shifting gaze between an adult and an object or event that the adult looks at, points to, or discusses.</x:v>
      </x:c>
      <x:c r="L35" s="27" t="str">
        <x:v>Social attention, tracking, and stable sitting/support.</x:v>
      </x:c>
      <x:c r="M35" s="27" t="str">
        <x:v>S03-LEARN-02</x:v>
      </x:c>
      <x:c r="N35" s="27" t="str">
        <x:v>G2 — Intentional action–result</x:v>
      </x:c>
      <x:c r="O35" s="27" t="str">
        <x:v>All domains: attention, memory, strategy choice, monitoring, retrieval, and transfer.</x:v>
      </x:c>
      <x:c r="P35" s="27" t="str">
        <x:v>Joint attention lets another person teach what words and symbols refer to.</x:v>
      </x:c>
      <x:c r="Q35" s="27" t="str">
        <x:v>S04-LEARN-02</x:v>
      </x:c>
      <x:c r="R35" s="27" t="str">
        <x:v>Looks toward an object indicated by another person and back toward the person.</x:v>
      </x:c>
      <x:c r="S35" s="27" t="str">
        <x:v>SRC02; SRC03; SRC04</x:v>
      </x:c>
      <x:c r="T35" s="27" t="str">
        <x:v>Development varies; use observed performance and appropriate supports rather than age alone.</x:v>
      </x:c>
      <x:c r="U35" s="27" t="str"/>
      <x:c r="V35" s="27" t="str"/>
      <x:c r="W35" s="39" t="str"/>
      <x:c r="X35" s="39" t="str"/>
    </x:row>
    <x:row r="36">
      <x:c r="A36" s="27" t="str">
        <x:v>S04-LEARN-02</x:v>
      </x:c>
      <x:c r="B36" s="37" t="n">
        <x:v>32</x:v>
      </x:c>
      <x:c r="C36" s="27" t="str">
        <x:v>S04</x:v>
      </x:c>
      <x:c r="D36" s="37" t="n">
        <x:v>4</x:v>
      </x:c>
      <x:c r="E36" s="27" t="str">
        <x:v>6–9 months</x:v>
      </x:c>
      <x:c r="F36" s="27" t="str">
        <x:v>Infant</x:v>
      </x:c>
      <x:c r="G36" s="27" t="str">
        <x:v>Object exploration and joint attention</x:v>
      </x:c>
      <x:c r="H36" s="27" t="str">
        <x:v>Learning Foundations</x:v>
      </x:c>
      <x:c r="I36" s="27" t="str">
        <x:v>Problem-solving</x:v>
      </x:c>
      <x:c r="J36" s="27" t="str">
        <x:v>Means–end action</x:v>
      </x:c>
      <x:c r="K36" s="27" t="str">
        <x:v>Using one action as a means to reach a goal, such as pulling a cloth to bring a toy closer.</x:v>
      </x:c>
      <x:c r="L36" s="27" t="str">
        <x:v>Intentional repetition, reach, and working memory.</x:v>
      </x:c>
      <x:c r="M36" s="27" t="str">
        <x:v>S04-LEARN-01</x:v>
      </x:c>
      <x:c r="N36" s="27" t="str">
        <x:v>G2 — Intentional action–result</x:v>
      </x:c>
      <x:c r="O36" s="27" t="str">
        <x:v>All domains: attention, memory, strategy choice, monitoring, retrieval, and transfer.</x:v>
      </x:c>
      <x:c r="P36" s="27" t="str">
        <x:v>Means–end reasoning precedes tool use, planning, algorithms, and engineering.</x:v>
      </x:c>
      <x:c r="Q36" s="27" t="str">
        <x:v>S05-LEARN-01</x:v>
      </x:c>
      <x:c r="R36" s="27" t="str">
        <x:v>Performs an intermediate action that makes a desired result possible.</x:v>
      </x:c>
      <x:c r="S36" s="27" t="str">
        <x:v>SRC02; SRC04; SRC11</x:v>
      </x:c>
      <x:c r="T36" s="27" t="str">
        <x:v>Development varies; use observed performance and appropriate supports rather than age alone.</x:v>
      </x:c>
      <x:c r="U36" s="27" t="str"/>
      <x:c r="V36" s="27" t="str"/>
      <x:c r="W36" s="39" t="str"/>
      <x:c r="X36" s="39" t="str"/>
    </x:row>
    <x:row r="37">
      <x:c r="A37" s="27" t="str">
        <x:v>S04-SEL-01</x:v>
      </x:c>
      <x:c r="B37" s="37" t="n">
        <x:v>33</x:v>
      </x:c>
      <x:c r="C37" s="27" t="str">
        <x:v>S04</x:v>
      </x:c>
      <x:c r="D37" s="37" t="n">
        <x:v>4</x:v>
      </x:c>
      <x:c r="E37" s="27" t="str">
        <x:v>6–9 months</x:v>
      </x:c>
      <x:c r="F37" s="27" t="str">
        <x:v>Infant</x:v>
      </x:c>
      <x:c r="G37" s="27" t="str">
        <x:v>Object exploration and joint attention</x:v>
      </x:c>
      <x:c r="H37" s="27" t="str">
        <x:v>Social-Emotional</x:v>
      </x:c>
      <x:c r="I37" s="27" t="str">
        <x:v>Relationships</x:v>
      </x:c>
      <x:c r="J37" s="27" t="str">
        <x:v>Familiar–unfamiliar distinction</x:v>
      </x:c>
      <x:c r="K37" s="27" t="str">
        <x:v>Showing different responses to familiar caregivers and unfamiliar people while using the caregiver as a secure reference.</x:v>
      </x:c>
      <x:c r="L37" s="27" t="str">
        <x:v>Recognition memory and attachment.</x:v>
      </x:c>
      <x:c r="M37" s="27" t="str">
        <x:v>S03-SEL-01</x:v>
      </x:c>
      <x:c r="N37" s="27" t="str">
        <x:v>G2 — Intentional action–result</x:v>
      </x:c>
      <x:c r="O37" s="27" t="str">
        <x:v>Language and communication; health; collaboration in science, arts, civics, and projects; responsible digital/financial decisions.</x:v>
      </x:c>
      <x:c r="P37" s="27" t="str">
        <x:v>Social differentiation supports safety, communication, and later perspective-taking.</x:v>
      </x:c>
      <x:c r="Q37" s="27" t="str">
        <x:v>S05-SEL-01</x:v>
      </x:c>
      <x:c r="R37" s="27" t="str">
        <x:v>Checks a familiar adult or responds cautiously during an unfamiliar encounter.</x:v>
      </x:c>
      <x:c r="S37" s="27" t="str">
        <x:v>SRC02; SRC03; SRC18</x:v>
      </x:c>
      <x:c r="T37" s="27" t="str">
        <x:v>Development varies; use observed performance and appropriate supports rather than age alone.</x:v>
      </x:c>
      <x:c r="U37" s="27" t="str"/>
      <x:c r="V37" s="27" t="str"/>
      <x:c r="W37" s="39" t="str"/>
      <x:c r="X37" s="39" t="str"/>
    </x:row>
    <x:row r="38">
      <x:c r="A38" s="27" t="str">
        <x:v>S04-LANG-01</x:v>
      </x:c>
      <x:c r="B38" s="37" t="n">
        <x:v>34</x:v>
      </x:c>
      <x:c r="C38" s="27" t="str">
        <x:v>S04</x:v>
      </x:c>
      <x:c r="D38" s="37" t="n">
        <x:v>4</x:v>
      </x:c>
      <x:c r="E38" s="27" t="str">
        <x:v>6–9 months</x:v>
      </x:c>
      <x:c r="F38" s="27" t="str">
        <x:v>Infant</x:v>
      </x:c>
      <x:c r="G38" s="27" t="str">
        <x:v>Object exploration and joint attention</x:v>
      </x:c>
      <x:c r="H38" s="27" t="str">
        <x:v>Language &amp; Communication</x:v>
      </x:c>
      <x:c r="I38" s="27" t="str">
        <x:v>Receptive language</x:v>
      </x:c>
      <x:c r="J38" s="27" t="str">
        <x:v>Routine-word comprehension</x:v>
      </x:c>
      <x:c r="K38" s="27" t="str">
        <x:v>Responding to familiar words embedded in repeated routines, such as a name, greeting, feeding word, or action cue.</x:v>
      </x:c>
      <x:c r="L38" s="27" t="str">
        <x:v>Joint attention and repeated speech-event pairings.</x:v>
      </x:c>
      <x:c r="M38" s="27" t="str">
        <x:v>S03-LANG-02</x:v>
      </x:c>
      <x:c r="N38" s="27" t="str">
        <x:v>G2 — Intentional action–result</x:v>
      </x:c>
      <x:c r="O38" s="27" t="str">
        <x:v>Reading and writing; vocabulary for math/science/social studies; discussion, music prosody, and world-language learning.</x:v>
      </x:c>
      <x:c r="P38" s="27" t="str">
        <x:v>Comprehending stable word meanings precedes productive vocabulary.</x:v>
      </x:c>
      <x:c r="Q38" s="27" t="str">
        <x:v>S04-LANG-02</x:v>
      </x:c>
      <x:c r="R38" s="27" t="str">
        <x:v>Responds appropriately to a familiar routine word without needing the full routine.</x:v>
      </x:c>
      <x:c r="S38" s="27" t="str">
        <x:v>SRC02; SRC03</x:v>
      </x:c>
      <x:c r="T38" s="27" t="str">
        <x:v>Development varies; use observed performance and appropriate supports rather than age alone.</x:v>
      </x:c>
      <x:c r="U38" s="27" t="str"/>
      <x:c r="V38" s="27" t="str"/>
      <x:c r="W38" s="39" t="str"/>
      <x:c r="X38" s="39" t="str"/>
    </x:row>
    <x:row r="39">
      <x:c r="A39" s="27" t="str">
        <x:v>S04-LANG-02</x:v>
      </x:c>
      <x:c r="B39" s="37" t="n">
        <x:v>35</x:v>
      </x:c>
      <x:c r="C39" s="27" t="str">
        <x:v>S04</x:v>
      </x:c>
      <x:c r="D39" s="37" t="n">
        <x:v>4</x:v>
      </x:c>
      <x:c r="E39" s="27" t="str">
        <x:v>6–9 months</x:v>
      </x:c>
      <x:c r="F39" s="27" t="str">
        <x:v>Infant</x:v>
      </x:c>
      <x:c r="G39" s="27" t="str">
        <x:v>Object exploration and joint attention</x:v>
      </x:c>
      <x:c r="H39" s="27" t="str">
        <x:v>Language &amp; Communication</x:v>
      </x:c>
      <x:c r="I39" s="27" t="str">
        <x:v>Expressive language</x:v>
      </x:c>
      <x:c r="J39" s="27" t="str">
        <x:v>Canonical babbling</x:v>
      </x:c>
      <x:c r="K39" s="27" t="str">
        <x:v>Producing repeated consonant-vowel syllables such as bababa or dadada with speech-like timing.</x:v>
      </x:c>
      <x:c r="L39" s="27" t="str">
        <x:v>Varied vocal play and auditory feedback.</x:v>
      </x:c>
      <x:c r="M39" s="27" t="str">
        <x:v>S04-LANG-01</x:v>
      </x:c>
      <x:c r="N39" s="27" t="str">
        <x:v>G2 — Intentional action–result</x:v>
      </x:c>
      <x:c r="O39" s="27" t="str">
        <x:v>Reading and writing; vocabulary for math/science/social studies; discussion, music prosody, and world-language learning.</x:v>
      </x:c>
      <x:c r="P39" s="27" t="str">
        <x:v>Canonical syllables supply controllable units for word imitation.</x:v>
      </x:c>
      <x:c r="Q39" s="27" t="str">
        <x:v>S05-LANG-01</x:v>
      </x:c>
      <x:c r="R39" s="27" t="str">
        <x:v>Produces repeated or varied consonant-vowel syllables during interaction.</x:v>
      </x:c>
      <x:c r="S39" s="27" t="str">
        <x:v>SRC02; SRC03</x:v>
      </x:c>
      <x:c r="T39" s="27" t="str">
        <x:v>Development varies; use observed performance and appropriate supports rather than age alone.</x:v>
      </x:c>
      <x:c r="U39" s="27" t="str"/>
      <x:c r="V39" s="27" t="str"/>
      <x:c r="W39" s="39" t="str"/>
      <x:c r="X39" s="39" t="str"/>
    </x:row>
    <x:row r="40">
      <x:c r="A40" s="27" t="str">
        <x:v>S04-MATH-01</x:v>
      </x:c>
      <x:c r="B40" s="37" t="n">
        <x:v>36</x:v>
      </x:c>
      <x:c r="C40" s="27" t="str">
        <x:v>S04</x:v>
      </x:c>
      <x:c r="D40" s="37" t="n">
        <x:v>4</x:v>
      </x:c>
      <x:c r="E40" s="27" t="str">
        <x:v>6–9 months</x:v>
      </x:c>
      <x:c r="F40" s="27" t="str">
        <x:v>Infant</x:v>
      </x:c>
      <x:c r="G40" s="27" t="str">
        <x:v>Object exploration and joint attention</x:v>
      </x:c>
      <x:c r="H40" s="27" t="str">
        <x:v>Mathematics</x:v>
      </x:c>
      <x:c r="I40" s="27" t="str">
        <x:v>Classification foundations</x:v>
      </x:c>
      <x:c r="J40" s="27" t="str">
        <x:v>Same-object recognition across views</x:v>
      </x:c>
      <x:c r="K40" s="27" t="str">
        <x:v>Recognizing an object when its orientation, distance, partial visibility, or sensory presentation changes.</x:v>
      </x:c>
      <x:c r="L40" s="27" t="str">
        <x:v>Multi-sensory object exploration and memory.</x:v>
      </x:c>
      <x:c r="M40" s="27" t="str">
        <x:v>S03-MATH-02</x:v>
      </x:c>
      <x:c r="N40" s="27" t="str">
        <x:v>G2 — Intentional action–result</x:v>
      </x:c>
      <x:c r="O40" s="27" t="str">
        <x:v>Physical quantity and spatial action; science measurement/models; computing/algorithms; finance; music rhythm/pattern; geographic data.</x:v>
      </x:c>
      <x:c r="P40" s="27" t="str">
        <x:v>Object constancy supports matching, category membership, shape constancy, and symbol reference.</x:v>
      </x:c>
      <x:c r="Q40" s="27" t="str">
        <x:v>S04-MATH-02</x:v>
      </x:c>
      <x:c r="R40" s="27" t="str">
        <x:v>Searches for or reaches toward the same object after it is turned or partly covered.</x:v>
      </x:c>
      <x:c r="S40" s="27" t="str">
        <x:v>SRC02; SRC04; SRC07</x:v>
      </x:c>
      <x:c r="T40" s="27" t="str">
        <x:v>Development varies; use observed performance and appropriate supports rather than age alone.</x:v>
      </x:c>
      <x:c r="U40" s="27" t="str"/>
      <x:c r="V40" s="27" t="str"/>
      <x:c r="W40" s="39" t="str"/>
      <x:c r="X40" s="39" t="str"/>
    </x:row>
    <x:row r="41">
      <x:c r="A41" s="27" t="str">
        <x:v>S04-MATH-02</x:v>
      </x:c>
      <x:c r="B41" s="37" t="n">
        <x:v>37</x:v>
      </x:c>
      <x:c r="C41" s="27" t="str">
        <x:v>S04</x:v>
      </x:c>
      <x:c r="D41" s="37" t="n">
        <x:v>4</x:v>
      </x:c>
      <x:c r="E41" s="27" t="str">
        <x:v>6–9 months</x:v>
      </x:c>
      <x:c r="F41" s="27" t="str">
        <x:v>Infant</x:v>
      </x:c>
      <x:c r="G41" s="27" t="str">
        <x:v>Object exploration and joint attention</x:v>
      </x:c>
      <x:c r="H41" s="27" t="str">
        <x:v>Mathematics</x:v>
      </x:c>
      <x:c r="I41" s="27" t="str">
        <x:v>Spatial relations</x:v>
      </x:c>
      <x:c r="J41" s="27" t="str">
        <x:v>In, out, over, under through action</x:v>
      </x:c>
      <x:c r="K41" s="27" t="str">
        <x:v>Experiencing containment, support, occlusion, and direction by putting, dropping, covering, and retrieving objects.</x:v>
      </x:c>
      <x:c r="L41" s="27" t="str">
        <x:v>Grasp release and object exploration.</x:v>
      </x:c>
      <x:c r="M41" s="27" t="str">
        <x:v>S04-MATH-01</x:v>
      </x:c>
      <x:c r="N41" s="27" t="str">
        <x:v>G2 — Intentional action–result</x:v>
      </x:c>
      <x:c r="O41" s="27" t="str">
        <x:v>Physical quantity and spatial action; science measurement/models; computing/algorithms; finance; music rhythm/pattern; geographic data.</x:v>
      </x:c>
      <x:c r="P41" s="27" t="str">
        <x:v>Action-based spatial relations later become words, diagrams, geometry, and measurement.</x:v>
      </x:c>
      <x:c r="Q41" s="27" t="str">
        <x:v>S05-MATH-01</x:v>
      </x:c>
      <x:c r="R41" s="27" t="str">
        <x:v>Places or retrieves objects from containers and explores covering or dropping.</x:v>
      </x:c>
      <x:c r="S41" s="27" t="str">
        <x:v>SRC02; SRC07</x:v>
      </x:c>
      <x:c r="T41" s="27" t="str">
        <x:v>Development varies; use observed performance and appropriate supports rather than age alone.</x:v>
      </x:c>
      <x:c r="U41" s="27" t="str"/>
      <x:c r="V41" s="27" t="str"/>
      <x:c r="W41" s="39" t="str"/>
      <x:c r="X41" s="39" t="str"/>
    </x:row>
    <x:row r="42">
      <x:c r="A42" s="27" t="str">
        <x:v>S04-SCI-01</x:v>
      </x:c>
      <x:c r="B42" s="37" t="n">
        <x:v>38</x:v>
      </x:c>
      <x:c r="C42" s="27" t="str">
        <x:v>S04</x:v>
      </x:c>
      <x:c r="D42" s="37" t="n">
        <x:v>4</x:v>
      </x:c>
      <x:c r="E42" s="27" t="str">
        <x:v>6–9 months</x:v>
      </x:c>
      <x:c r="F42" s="27" t="str">
        <x:v>Infant</x:v>
      </x:c>
      <x:c r="G42" s="27" t="str">
        <x:v>Object exploration and joint attention</x:v>
      </x:c>
      <x:c r="H42" s="27" t="str">
        <x:v>Science &amp; Engineering</x:v>
      </x:c>
      <x:c r="I42" s="27" t="str">
        <x:v>Investigation</x:v>
      </x:c>
      <x:c r="J42" s="27" t="str">
        <x:v>Variation of action</x:v>
      </x:c>
      <x:c r="K42" s="27" t="str">
        <x:v>Changing force, direction, object, or surface to compare the effect produced.</x:v>
      </x:c>
      <x:c r="L42" s="27" t="str">
        <x:v>Intentional repetition and object properties.</x:v>
      </x:c>
      <x:c r="M42" s="27" t="str">
        <x:v>S03-SCI-01</x:v>
      </x:c>
      <x:c r="N42" s="27" t="str">
        <x:v>G2 — Intentional action–result</x:v>
      </x:c>
      <x:c r="O42" s="27" t="str">
        <x:v>Sensory observation and action; mathematics/data; reading/writing evidence; computing/models; health and environmental/civic decisions.</x:v>
      </x:c>
      <x:c r="P42" s="27" t="str">
        <x:v>Systematic variation is an early form of testing variables.</x:v>
      </x:c>
      <x:c r="Q42" s="27" t="str">
        <x:v>S05-SCI-01</x:v>
      </x:c>
      <x:c r="R42" s="27" t="str">
        <x:v>Bangs, drops, squeezes, or shakes objects in differing ways and attends to results.</x:v>
      </x:c>
      <x:c r="S42" s="27" t="str">
        <x:v>SRC02; SRC11</x:v>
      </x:c>
      <x:c r="T42" s="27" t="str">
        <x:v>Development varies; use observed performance and appropriate supports rather than age alone.</x:v>
      </x:c>
      <x:c r="U42" s="27" t="str"/>
      <x:c r="V42" s="27" t="str"/>
      <x:c r="W42" s="39" t="str"/>
      <x:c r="X42" s="39" t="str"/>
    </x:row>
    <x:row r="43">
      <x:c r="A43" s="27" t="str">
        <x:v>S04-ARTS-01</x:v>
      </x:c>
      <x:c r="B43" s="37" t="n">
        <x:v>39</x:v>
      </x:c>
      <x:c r="C43" s="27" t="str">
        <x:v>S04</x:v>
      </x:c>
      <x:c r="D43" s="37" t="n">
        <x:v>4</x:v>
      </x:c>
      <x:c r="E43" s="27" t="str">
        <x:v>6–9 months</x:v>
      </x:c>
      <x:c r="F43" s="27" t="str">
        <x:v>Infant</x:v>
      </x:c>
      <x:c r="G43" s="27" t="str">
        <x:v>Object exploration and joint attention</x:v>
      </x:c>
      <x:c r="H43" s="27" t="str">
        <x:v>Music &amp; Arts</x:v>
      </x:c>
      <x:c r="I43" s="27" t="str">
        <x:v>Sound production</x:v>
      </x:c>
      <x:c r="J43" s="27" t="str">
        <x:v>Object-sound exploration</x:v>
      </x:c>
      <x:c r="K43" s="27" t="str">
        <x:v>Producing sounds by shaking, tapping, scraping, or striking safe objects.</x:v>
      </x:c>
      <x:c r="L43" s="27" t="str">
        <x:v>Purposeful grasp and action variation.</x:v>
      </x:c>
      <x:c r="M43" s="27" t="str">
        <x:v>S03-ARTS-01</x:v>
      </x:c>
      <x:c r="N43" s="27" t="str">
        <x:v>G2 — Intentional action–result</x:v>
      </x:c>
      <x:c r="O43" s="27" t="str">
        <x:v>Sensory discrimination; motor timing; language/prosody; mathematics/pattern; history/culture; emotion, design, and technology.</x:v>
      </x:c>
      <x:c r="P43" s="27" t="str">
        <x:v>Instrumental exploration links gesture, material, loudness, timbre, and rhythm.</x:v>
      </x:c>
      <x:c r="Q43" s="27" t="str">
        <x:v>S06-ARTS-01</x:v>
      </x:c>
      <x:c r="R43" s="27" t="str">
        <x:v>Produces and repeats contrasting sounds with objects.</x:v>
      </x:c>
      <x:c r="S43" s="27" t="str">
        <x:v>SRC02; SRC13</x:v>
      </x:c>
      <x:c r="T43" s="27" t="str">
        <x:v>Development varies; use observed performance and appropriate supports rather than age alone.</x:v>
      </x:c>
      <x:c r="U43" s="27" t="str"/>
      <x:c r="V43" s="27" t="str"/>
      <x:c r="W43" s="39" t="str"/>
      <x:c r="X43" s="39" t="str"/>
    </x:row>
    <x:row r="44">
      <x:c r="A44" s="27" t="str">
        <x:v>S04-HLTH-01</x:v>
      </x:c>
      <x:c r="B44" s="37" t="n">
        <x:v>40</x:v>
      </x:c>
      <x:c r="C44" s="27" t="str">
        <x:v>S04</x:v>
      </x:c>
      <x:c r="D44" s="37" t="n">
        <x:v>4</x:v>
      </x:c>
      <x:c r="E44" s="27" t="str">
        <x:v>6–9 months</x:v>
      </x:c>
      <x:c r="F44" s="27" t="str">
        <x:v>Infant</x:v>
      </x:c>
      <x:c r="G44" s="27" t="str">
        <x:v>Object exploration and joint attention</x:v>
      </x:c>
      <x:c r="H44" s="27" t="str">
        <x:v>Physical &amp; Health</x:v>
      </x:c>
      <x:c r="I44" s="27" t="str">
        <x:v>Postural control</x:v>
      </x:c>
      <x:c r="J44" s="27" t="str">
        <x:v>Independent sitting and body rotation</x:v>
      </x:c>
      <x:c r="K44" s="27" t="str">
        <x:v>Maintaining a seated position and rotating or shifting weight to explore nearby space when developmentally ready.</x:v>
      </x:c>
      <x:c r="L44" s="27" t="str">
        <x:v>Head/trunk control and balance reactions.</x:v>
      </x:c>
      <x:c r="M44" s="27" t="str">
        <x:v>S03-HLTH-01</x:v>
      </x:c>
      <x:c r="N44" s="27" t="str">
        <x:v>G2 — Intentional action–result</x:v>
      </x:c>
      <x:c r="O44" s="27" t="str">
        <x:v>Motor/sensory development; life science; measurement/data; SEL/self-management; communication, safety, and decision-making.</x:v>
      </x:c>
      <x:c r="P44" s="27" t="str">
        <x:v>Postural stability frees both hands for sustained manipulation and shared play.</x:v>
      </x:c>
      <x:c r="Q44" s="27" t="str">
        <x:v>S05-HLTH-01</x:v>
      </x:c>
      <x:c r="R44" s="27" t="str">
        <x:v>Sits with appropriate support level and reaches or turns without immediate collapse.</x:v>
      </x:c>
      <x:c r="S44" s="27" t="str">
        <x:v>SRC03; SRC14</x:v>
      </x:c>
      <x:c r="T44" s="27" t="str">
        <x:v>Development varies; use observed performance and appropriate supports rather than age alone.</x:v>
      </x:c>
      <x:c r="U44" s="27" t="str"/>
      <x:c r="V44" s="27" t="str"/>
      <x:c r="W44" s="39" t="str"/>
      <x:c r="X44" s="39" t="str"/>
    </x:row>
    <x:row r="45">
      <x:c r="A45" s="27" t="str">
        <x:v>S05-LEARN-01</x:v>
      </x:c>
      <x:c r="B45" s="37" t="n">
        <x:v>41</x:v>
      </x:c>
      <x:c r="C45" s="27" t="str">
        <x:v>S05</x:v>
      </x:c>
      <x:c r="D45" s="37" t="n">
        <x:v>5</x:v>
      </x:c>
      <x:c r="E45" s="27" t="str">
        <x:v>9–12 months</x:v>
      </x:c>
      <x:c r="F45" s="27" t="str">
        <x:v>Infant</x:v>
      </x:c>
      <x:c r="G45" s="27" t="str">
        <x:v>Gestures, imitation, and object permanence</x:v>
      </x:c>
      <x:c r="H45" s="27" t="str">
        <x:v>Learning Foundations</x:v>
      </x:c>
      <x:c r="I45" s="27" t="str">
        <x:v>Memory</x:v>
      </x:c>
      <x:c r="J45" s="27" t="str">
        <x:v>Object permanence</x:v>
      </x:c>
      <x:c r="K45" s="27" t="str">
        <x:v>Understanding increasingly that an object or person continues to exist when fully or partly out of sight.</x:v>
      </x:c>
      <x:c r="L45" s="27" t="str">
        <x:v>Recognition memory, occlusion experience, and intentional search.</x:v>
      </x:c>
      <x:c r="M45" s="27" t="str">
        <x:v>S04-LEARN-02</x:v>
      </x:c>
      <x:c r="N45" s="27" t="str">
        <x:v>G2 — Intentional action–result</x:v>
      </x:c>
      <x:c r="O45" s="27" t="str">
        <x:v>All domains: attention, memory, strategy choice, monitoring, retrieval, and transfer.</x:v>
      </x:c>
      <x:c r="P45" s="27" t="str">
        <x:v>Stable mental representation supports hidden-object search, symbolic thought, and deferred planning.</x:v>
      </x:c>
      <x:c r="Q45" s="27" t="str">
        <x:v>S05-LEARN-02</x:v>
      </x:c>
      <x:c r="R45" s="27" t="str">
        <x:v>Searches in a likely location for a hidden desired object.</x:v>
      </x:c>
      <x:c r="S45" s="27" t="str">
        <x:v>SRC02; SRC03; SRC04</x:v>
      </x:c>
      <x:c r="T45" s="27" t="str">
        <x:v>Development varies; use observed performance and appropriate supports rather than age alone.</x:v>
      </x:c>
      <x:c r="U45" s="27" t="str"/>
      <x:c r="V45" s="27" t="str"/>
      <x:c r="W45" s="39" t="str"/>
      <x:c r="X45" s="39" t="str"/>
    </x:row>
    <x:row r="46">
      <x:c r="A46" s="27" t="str">
        <x:v>S05-LEARN-02</x:v>
      </x:c>
      <x:c r="B46" s="37" t="n">
        <x:v>42</x:v>
      </x:c>
      <x:c r="C46" s="27" t="str">
        <x:v>S05</x:v>
      </x:c>
      <x:c r="D46" s="37" t="n">
        <x:v>5</x:v>
      </x:c>
      <x:c r="E46" s="27" t="str">
        <x:v>9–12 months</x:v>
      </x:c>
      <x:c r="F46" s="27" t="str">
        <x:v>Infant</x:v>
      </x:c>
      <x:c r="G46" s="27" t="str">
        <x:v>Gestures, imitation, and object permanence</x:v>
      </x:c>
      <x:c r="H46" s="27" t="str">
        <x:v>Learning Foundations</x:v>
      </x:c>
      <x:c r="I46" s="27" t="str">
        <x:v>Imitation</x:v>
      </x:c>
      <x:c r="J46" s="27" t="str">
        <x:v>Immediate action imitation</x:v>
      </x:c>
      <x:c r="K46" s="27" t="str">
        <x:v>Copying a visible gesture, sound, or simple action with an object.</x:v>
      </x:c>
      <x:c r="L46" s="27" t="str">
        <x:v>Joint attention, motor control, and memory.</x:v>
      </x:c>
      <x:c r="M46" s="27" t="str">
        <x:v>S05-LEARN-01</x:v>
      </x:c>
      <x:c r="N46" s="27" t="str">
        <x:v>G2 — Intentional action–result</x:v>
      </x:c>
      <x:c r="O46" s="27" t="str">
        <x:v>All domains: attention, memory, strategy choice, monitoring, retrieval, and transfer.</x:v>
      </x:c>
      <x:c r="P46" s="27" t="str">
        <x:v>Imitation is a high-speed pathway for language, tool use, social convention, music, and academic modeling.</x:v>
      </x:c>
      <x:c r="Q46" s="27" t="str">
        <x:v>S06-LEARN-01</x:v>
      </x:c>
      <x:c r="R46" s="27" t="str">
        <x:v>Copies clapping, waving, a syllable, or a demonstrated object action.</x:v>
      </x:c>
      <x:c r="S46" s="27" t="str">
        <x:v>SRC02; SRC03</x:v>
      </x:c>
      <x:c r="T46" s="27" t="str">
        <x:v>Development varies; use observed performance and appropriate supports rather than age alone.</x:v>
      </x:c>
      <x:c r="U46" s="27" t="str"/>
      <x:c r="V46" s="27" t="str"/>
      <x:c r="W46" s="39" t="str"/>
      <x:c r="X46" s="39" t="str"/>
    </x:row>
    <x:row r="47">
      <x:c r="A47" s="27" t="str">
        <x:v>S05-SEL-01</x:v>
      </x:c>
      <x:c r="B47" s="37" t="n">
        <x:v>43</x:v>
      </x:c>
      <x:c r="C47" s="27" t="str">
        <x:v>S05</x:v>
      </x:c>
      <x:c r="D47" s="37" t="n">
        <x:v>5</x:v>
      </x:c>
      <x:c r="E47" s="27" t="str">
        <x:v>9–12 months</x:v>
      </x:c>
      <x:c r="F47" s="27" t="str">
        <x:v>Infant</x:v>
      </x:c>
      <x:c r="G47" s="27" t="str">
        <x:v>Gestures, imitation, and object permanence</x:v>
      </x:c>
      <x:c r="H47" s="27" t="str">
        <x:v>Social-Emotional</x:v>
      </x:c>
      <x:c r="I47" s="27" t="str">
        <x:v>Communication</x:v>
      </x:c>
      <x:c r="J47" s="27" t="str">
        <x:v>Intentional social referencing</x:v>
      </x:c>
      <x:c r="K47" s="27" t="str">
        <x:v>Checking another person’s expression or response when an event is uncertain.</x:v>
      </x:c>
      <x:c r="L47" s="27" t="str">
        <x:v>Joint attention and familiar–unfamiliar distinction.</x:v>
      </x:c>
      <x:c r="M47" s="27" t="str">
        <x:v>S04-SEL-01</x:v>
      </x:c>
      <x:c r="N47" s="27" t="str">
        <x:v>G2 — Intentional action–result</x:v>
      </x:c>
      <x:c r="O47" s="27" t="str">
        <x:v>Language and communication; health; collaboration in science, arts, civics, and projects; responsible digital/financial decisions.</x:v>
      </x:c>
      <x:c r="P47" s="27" t="str">
        <x:v>Social referencing integrates emotion, safety information, and decision-making.</x:v>
      </x:c>
      <x:c r="Q47" s="27" t="str">
        <x:v>S06-SEL-01</x:v>
      </x:c>
      <x:c r="R47" s="27" t="str">
        <x:v>Looks to a caregiver before approaching or continuing an uncertain activity.</x:v>
      </x:c>
      <x:c r="S47" s="27" t="str">
        <x:v>SRC02; SRC03; SRC18</x:v>
      </x:c>
      <x:c r="T47" s="27" t="str">
        <x:v>Development varies; use observed performance and appropriate supports rather than age alone.</x:v>
      </x:c>
      <x:c r="U47" s="27" t="str"/>
      <x:c r="V47" s="27" t="str"/>
      <x:c r="W47" s="39" t="str"/>
      <x:c r="X47" s="39" t="str"/>
    </x:row>
    <x:row r="48">
      <x:c r="A48" s="27" t="str">
        <x:v>S05-LANG-01</x:v>
      </x:c>
      <x:c r="B48" s="37" t="n">
        <x:v>44</x:v>
      </x:c>
      <x:c r="C48" s="27" t="str">
        <x:v>S05</x:v>
      </x:c>
      <x:c r="D48" s="37" t="n">
        <x:v>5</x:v>
      </x:c>
      <x:c r="E48" s="27" t="str">
        <x:v>9–12 months</x:v>
      </x:c>
      <x:c r="F48" s="27" t="str">
        <x:v>Infant</x:v>
      </x:c>
      <x:c r="G48" s="27" t="str">
        <x:v>Gestures, imitation, and object permanence</x:v>
      </x:c>
      <x:c r="H48" s="27" t="str">
        <x:v>Language &amp; Communication</x:v>
      </x:c>
      <x:c r="I48" s="27" t="str">
        <x:v>Gesture</x:v>
      </x:c>
      <x:c r="J48" s="27" t="str">
        <x:v>Deictic gestures</x:v>
      </x:c>
      <x:c r="K48" s="27" t="str">
        <x:v>Using pointing, showing, giving, reaching, or looking to direct another person’s attention or request action.</x:v>
      </x:c>
      <x:c r="L48" s="27" t="str">
        <x:v>Joint attention and intentional communication.</x:v>
      </x:c>
      <x:c r="M48" s="27" t="str">
        <x:v>S04-LANG-02</x:v>
      </x:c>
      <x:c r="N48" s="27" t="str">
        <x:v>G2 — Intentional action–result</x:v>
      </x:c>
      <x:c r="O48" s="27" t="str">
        <x:v>Reading and writing; vocabulary for math/science/social studies; discussion, music prosody, and world-language learning.</x:v>
      </x:c>
      <x:c r="P48" s="27" t="str">
        <x:v>Gestures establish reference and communicative intent before and alongside words.</x:v>
      </x:c>
      <x:c r="Q48" s="27" t="str">
        <x:v>S05-LANG-02</x:v>
      </x:c>
      <x:c r="R48" s="27" t="str">
        <x:v>Points, shows, gives, or reaches while checking another person.</x:v>
      </x:c>
      <x:c r="S48" s="27" t="str">
        <x:v>SRC02; SRC03</x:v>
      </x:c>
      <x:c r="T48" s="27" t="str">
        <x:v>Development varies; use observed performance and appropriate supports rather than age alone.</x:v>
      </x:c>
      <x:c r="U48" s="27" t="str"/>
      <x:c r="V48" s="27" t="str"/>
      <x:c r="W48" s="39" t="str"/>
      <x:c r="X48" s="39" t="str"/>
    </x:row>
    <x:row r="49">
      <x:c r="A49" s="27" t="str">
        <x:v>S05-LANG-02</x:v>
      </x:c>
      <x:c r="B49" s="37" t="n">
        <x:v>45</x:v>
      </x:c>
      <x:c r="C49" s="27" t="str">
        <x:v>S05</x:v>
      </x:c>
      <x:c r="D49" s="37" t="n">
        <x:v>5</x:v>
      </x:c>
      <x:c r="E49" s="27" t="str">
        <x:v>9–12 months</x:v>
      </x:c>
      <x:c r="F49" s="27" t="str">
        <x:v>Infant</x:v>
      </x:c>
      <x:c r="G49" s="27" t="str">
        <x:v>Gestures, imitation, and object permanence</x:v>
      </x:c>
      <x:c r="H49" s="27" t="str">
        <x:v>Language &amp; Communication</x:v>
      </x:c>
      <x:c r="I49" s="27" t="str">
        <x:v>Receptive language</x:v>
      </x:c>
      <x:c r="J49" s="27" t="str">
        <x:v>Simple direction comprehension</x:v>
      </x:c>
      <x:c r="K49" s="27" t="str">
        <x:v>Responding to a familiar one-step request supported by context or gesture.</x:v>
      </x:c>
      <x:c r="L49" s="27" t="str">
        <x:v>Routine-word comprehension and joint attention.</x:v>
      </x:c>
      <x:c r="M49" s="27" t="str">
        <x:v>S05-LANG-01</x:v>
      </x:c>
      <x:c r="N49" s="27" t="str">
        <x:v>G2 — Intentional action–result</x:v>
      </x:c>
      <x:c r="O49" s="27" t="str">
        <x:v>Reading and writing; vocabulary for math/science/social studies; discussion, music prosody, and world-language learning.</x:v>
      </x:c>
      <x:c r="P49" s="27" t="str">
        <x:v>Following one relation at a time prepares multi-step directions and sentence comprehension.</x:v>
      </x:c>
      <x:c r="Q49" s="27" t="str">
        <x:v>S05-LANG-03</x:v>
      </x:c>
      <x:c r="R49" s="27" t="str">
        <x:v>Carries out a familiar action such as give, come, or put with contextual support.</x:v>
      </x:c>
      <x:c r="S49" s="27" t="str">
        <x:v>SRC02; SRC03</x:v>
      </x:c>
      <x:c r="T49" s="27" t="str">
        <x:v>Development varies; use observed performance and appropriate supports rather than age alone.</x:v>
      </x:c>
      <x:c r="U49" s="27" t="str"/>
      <x:c r="V49" s="27" t="str"/>
      <x:c r="W49" s="39" t="str"/>
      <x:c r="X49" s="39" t="str"/>
    </x:row>
    <x:row r="50">
      <x:c r="A50" s="27" t="str">
        <x:v>S05-LANG-03</x:v>
      </x:c>
      <x:c r="B50" s="37" t="n">
        <x:v>46</x:v>
      </x:c>
      <x:c r="C50" s="27" t="str">
        <x:v>S05</x:v>
      </x:c>
      <x:c r="D50" s="37" t="n">
        <x:v>5</x:v>
      </x:c>
      <x:c r="E50" s="27" t="str">
        <x:v>9–12 months</x:v>
      </x:c>
      <x:c r="F50" s="27" t="str">
        <x:v>Infant</x:v>
      </x:c>
      <x:c r="G50" s="27" t="str">
        <x:v>Gestures, imitation, and object permanence</x:v>
      </x:c>
      <x:c r="H50" s="27" t="str">
        <x:v>Language &amp; Communication</x:v>
      </x:c>
      <x:c r="I50" s="27" t="str">
        <x:v>Expressive language</x:v>
      </x:c>
      <x:c r="J50" s="27" t="str">
        <x:v>Meaningful sound or first word</x:v>
      </x:c>
      <x:c r="K50" s="27" t="str">
        <x:v>Using a consistent spoken, signed, or augmentative form to refer, request, greet, protest, or label.</x:v>
      </x:c>
      <x:c r="L50" s="27" t="str">
        <x:v>Intentional gesture, babbling, and word comprehension.</x:v>
      </x:c>
      <x:c r="M50" s="27" t="str">
        <x:v>S05-LANG-02</x:v>
      </x:c>
      <x:c r="N50" s="27" t="str">
        <x:v>G2 — Intentional action–result</x:v>
      </x:c>
      <x:c r="O50" s="27" t="str">
        <x:v>Reading and writing; vocabulary for math/science/social studies; discussion, music prosody, and world-language learning.</x:v>
      </x:c>
      <x:c r="P50" s="27" t="str">
        <x:v>A stable symbol-to-meaning link is the base unit for vocabulary and combinations.</x:v>
      </x:c>
      <x:c r="Q50" s="27" t="str">
        <x:v>S06-LANG-01</x:v>
      </x:c>
      <x:c r="R50" s="27" t="str">
        <x:v>Uses the same form across occasions with a recognizable meaning.</x:v>
      </x:c>
      <x:c r="S50" s="27" t="str">
        <x:v>SRC02; SRC03</x:v>
      </x:c>
      <x:c r="T50" s="27" t="str">
        <x:v>Development varies; use observed performance and appropriate supports rather than age alone.</x:v>
      </x:c>
      <x:c r="U50" s="27" t="str"/>
      <x:c r="V50" s="27" t="str"/>
      <x:c r="W50" s="39" t="str"/>
      <x:c r="X50" s="39" t="str"/>
    </x:row>
    <x:row r="51">
      <x:c r="A51" s="27" t="str">
        <x:v>S05-MATH-01</x:v>
      </x:c>
      <x:c r="B51" s="37" t="n">
        <x:v>47</x:v>
      </x:c>
      <x:c r="C51" s="27" t="str">
        <x:v>S05</x:v>
      </x:c>
      <x:c r="D51" s="37" t="n">
        <x:v>5</x:v>
      </x:c>
      <x:c r="E51" s="27" t="str">
        <x:v>9–12 months</x:v>
      </x:c>
      <x:c r="F51" s="27" t="str">
        <x:v>Infant</x:v>
      </x:c>
      <x:c r="G51" s="27" t="str">
        <x:v>Gestures, imitation, and object permanence</x:v>
      </x:c>
      <x:c r="H51" s="27" t="str">
        <x:v>Mathematics</x:v>
      </x:c>
      <x:c r="I51" s="27" t="str">
        <x:v>Matching foundations</x:v>
      </x:c>
      <x:c r="J51" s="27" t="str">
        <x:v>One-to-one correspondence through action</x:v>
      </x:c>
      <x:c r="K51" s="27" t="str">
        <x:v>Coordinating one object with one location, container opening, hand, or person during play and routines.</x:v>
      </x:c>
      <x:c r="L51" s="27" t="str">
        <x:v>Purposeful grasp/release and object permanence.</x:v>
      </x:c>
      <x:c r="M51" s="27" t="str">
        <x:v>S04-MATH-02</x:v>
      </x:c>
      <x:c r="N51" s="27" t="str">
        <x:v>G2 — Intentional action–result</x:v>
      </x:c>
      <x:c r="O51" s="27" t="str">
        <x:v>Physical quantity and spatial action; science measurement/models; computing/algorithms; finance; music rhythm/pattern; geographic data.</x:v>
      </x:c>
      <x:c r="P51" s="27" t="str">
        <x:v>One-for-one mapping later organizes counting, distribution, tables, and functions.</x:v>
      </x:c>
      <x:c r="Q51" s="27" t="str">
        <x:v>S05-MATH-02</x:v>
      </x:c>
      <x:c r="R51" s="27" t="str">
        <x:v>Places one item in each of several available locations with help or through imitation.</x:v>
      </x:c>
      <x:c r="S51" s="27" t="str">
        <x:v>SRC02; SRC07</x:v>
      </x:c>
      <x:c r="T51" s="27" t="str">
        <x:v>Development varies; use observed performance and appropriate supports rather than age alone.</x:v>
      </x:c>
      <x:c r="U51" s="27" t="str"/>
      <x:c r="V51" s="27" t="str"/>
      <x:c r="W51" s="39" t="str"/>
      <x:c r="X51" s="39" t="str"/>
    </x:row>
    <x:row r="52">
      <x:c r="A52" s="27" t="str">
        <x:v>S05-MATH-02</x:v>
      </x:c>
      <x:c r="B52" s="37" t="n">
        <x:v>48</x:v>
      </x:c>
      <x:c r="C52" s="27" t="str">
        <x:v>S05</x:v>
      </x:c>
      <x:c r="D52" s="37" t="n">
        <x:v>5</x:v>
      </x:c>
      <x:c r="E52" s="27" t="str">
        <x:v>9–12 months</x:v>
      </x:c>
      <x:c r="F52" s="27" t="str">
        <x:v>Infant</x:v>
      </x:c>
      <x:c r="G52" s="27" t="str">
        <x:v>Gestures, imitation, and object permanence</x:v>
      </x:c>
      <x:c r="H52" s="27" t="str">
        <x:v>Mathematics</x:v>
      </x:c>
      <x:c r="I52" s="27" t="str">
        <x:v>Sequence</x:v>
      </x:c>
      <x:c r="J52" s="27" t="str">
        <x:v>Action sequence imitation</x:v>
      </x:c>
      <x:c r="K52" s="27" t="str">
        <x:v>Copying two connected actions in the demonstrated order.</x:v>
      </x:c>
      <x:c r="L52" s="27" t="str">
        <x:v>Immediate imitation and working memory.</x:v>
      </x:c>
      <x:c r="M52" s="27" t="str">
        <x:v>S05-MATH-01</x:v>
      </x:c>
      <x:c r="N52" s="27" t="str">
        <x:v>G2 — Intentional action–result</x:v>
      </x:c>
      <x:c r="O52" s="27" t="str">
        <x:v>Physical quantity and spatial action; science measurement/models; computing/algorithms; finance; music rhythm/pattern; geographic data.</x:v>
      </x:c>
      <x:c r="P52" s="27" t="str">
        <x:v>Ordered action chains prepare routines, narratives, procedures, and algorithms.</x:v>
      </x:c>
      <x:c r="Q52" s="27" t="str">
        <x:v>S06-MATH-01</x:v>
      </x:c>
      <x:c r="R52" s="27" t="str">
        <x:v>Copies a short sequence such as put in then shake, or clap then tap.</x:v>
      </x:c>
      <x:c r="S52" s="27" t="str">
        <x:v>SRC02; SRC05; SRC07</x:v>
      </x:c>
      <x:c r="T52" s="27" t="str">
        <x:v>Development varies; use observed performance and appropriate supports rather than age alone.</x:v>
      </x:c>
      <x:c r="U52" s="27" t="str"/>
      <x:c r="V52" s="27" t="str"/>
      <x:c r="W52" s="39" t="str"/>
      <x:c r="X52" s="39" t="str"/>
    </x:row>
    <x:row r="53">
      <x:c r="A53" s="27" t="str">
        <x:v>S05-SCI-01</x:v>
      </x:c>
      <x:c r="B53" s="37" t="n">
        <x:v>49</x:v>
      </x:c>
      <x:c r="C53" s="27" t="str">
        <x:v>S05</x:v>
      </x:c>
      <x:c r="D53" s="37" t="n">
        <x:v>5</x:v>
      </x:c>
      <x:c r="E53" s="27" t="str">
        <x:v>9–12 months</x:v>
      </x:c>
      <x:c r="F53" s="27" t="str">
        <x:v>Infant</x:v>
      </x:c>
      <x:c r="G53" s="27" t="str">
        <x:v>Gestures, imitation, and object permanence</x:v>
      </x:c>
      <x:c r="H53" s="27" t="str">
        <x:v>Science &amp; Engineering</x:v>
      </x:c>
      <x:c r="I53" s="27" t="str">
        <x:v>Mechanisms</x:v>
      </x:c>
      <x:c r="J53" s="27" t="str">
        <x:v>Simple tool relation</x:v>
      </x:c>
      <x:c r="K53" s="27" t="str">
        <x:v>Using an accessible handle, string, lid, switch, or support to change an object or obtain a result.</x:v>
      </x:c>
      <x:c r="L53" s="27" t="str">
        <x:v>Means–end action and imitation.</x:v>
      </x:c>
      <x:c r="M53" s="27" t="str">
        <x:v>S04-SCI-01</x:v>
      </x:c>
      <x:c r="N53" s="27" t="str">
        <x:v>G2 — Intentional action–result</x:v>
      </x:c>
      <x:c r="O53" s="27" t="str">
        <x:v>Sensory observation and action; mathematics/data; reading/writing evidence; computing/models; health and environmental/civic decisions.</x:v>
      </x:c>
      <x:c r="P53" s="27" t="str">
        <x:v>Tool relations make mechanisms and designed solutions visible.</x:v>
      </x:c>
      <x:c r="Q53" s="27" t="str">
        <x:v>S06-SCI-01</x:v>
      </x:c>
      <x:c r="R53" s="27" t="str">
        <x:v>Pulls, pushes, opens, or activates a simple feature to achieve a goal.</x:v>
      </x:c>
      <x:c r="S53" s="27" t="str">
        <x:v>SRC02; SRC11</x:v>
      </x:c>
      <x:c r="T53" s="27" t="str">
        <x:v>Development varies; use observed performance and appropriate supports rather than age alone.</x:v>
      </x:c>
      <x:c r="U53" s="27" t="str"/>
      <x:c r="V53" s="27" t="str"/>
      <x:c r="W53" s="39" t="str"/>
      <x:c r="X53" s="39" t="str"/>
    </x:row>
    <x:row r="54">
      <x:c r="A54" s="27" t="str">
        <x:v>S05-HLTH-01</x:v>
      </x:c>
      <x:c r="B54" s="37" t="n">
        <x:v>50</x:v>
      </x:c>
      <x:c r="C54" s="27" t="str">
        <x:v>S05</x:v>
      </x:c>
      <x:c r="D54" s="37" t="n">
        <x:v>5</x:v>
      </x:c>
      <x:c r="E54" s="27" t="str">
        <x:v>9–12 months</x:v>
      </x:c>
      <x:c r="F54" s="27" t="str">
        <x:v>Infant</x:v>
      </x:c>
      <x:c r="G54" s="27" t="str">
        <x:v>Gestures, imitation, and object permanence</x:v>
      </x:c>
      <x:c r="H54" s="27" t="str">
        <x:v>Physical &amp; Health</x:v>
      </x:c>
      <x:c r="I54" s="27" t="str">
        <x:v>Mobility</x:v>
      </x:c>
      <x:c r="J54" s="27" t="str">
        <x:v>Self-directed locomotion</x:v>
      </x:c>
      <x:c r="K54" s="27" t="str">
        <x:v>Moving intentionally through space by crawling, cruising, walking with support, or another accessible mobility method.</x:v>
      </x:c>
      <x:c r="L54" s="27" t="str">
        <x:v>Postural control, balance, and motivation.</x:v>
      </x:c>
      <x:c r="M54" s="27" t="str">
        <x:v>S04-HLTH-01</x:v>
      </x:c>
      <x:c r="N54" s="27" t="str">
        <x:v>G2 — Intentional action–result</x:v>
      </x:c>
      <x:c r="O54" s="27" t="str">
        <x:v>Motor/sensory development; life science; measurement/data; SEL/self-management; communication, safety, and decision-making.</x:v>
      </x:c>
      <x:c r="P54" s="27" t="str">
        <x:v>Independent mobility expands spatial mapping, exploration, social choice, and safety learning.</x:v>
      </x:c>
      <x:c r="Q54" s="27" t="str">
        <x:v>S06-HLTH-01</x:v>
      </x:c>
      <x:c r="R54" s="27" t="str">
        <x:v>Moves toward a chosen person, object, or location using an effective method.</x:v>
      </x:c>
      <x:c r="S54" s="27" t="str">
        <x:v>SRC02; SRC03; SRC14</x:v>
      </x:c>
      <x:c r="T54" s="27" t="str">
        <x:v>Development varies; use observed performance and appropriate supports rather than age alone.</x:v>
      </x:c>
      <x:c r="U54" s="27" t="str"/>
      <x:c r="V54" s="27" t="str"/>
      <x:c r="W54" s="39" t="str"/>
      <x:c r="X54" s="39" t="str"/>
    </x:row>
    <x:row r="55">
      <x:c r="A55" s="27" t="str">
        <x:v>S06-LEARN-01</x:v>
      </x:c>
      <x:c r="B55" s="37" t="n">
        <x:v>51</x:v>
      </x:c>
      <x:c r="C55" s="27" t="str">
        <x:v>S06</x:v>
      </x:c>
      <x:c r="D55" s="37" t="n">
        <x:v>6</x:v>
      </x:c>
      <x:c r="E55" s="27" t="str">
        <x:v>12–18 months</x:v>
      </x:c>
      <x:c r="F55" s="27" t="str">
        <x:v>Toddler</x:v>
      </x:c>
      <x:c r="G55" s="27" t="str">
        <x:v>First symbols, words, and functional categories</x:v>
      </x:c>
      <x:c r="H55" s="27" t="str">
        <x:v>Learning Foundations</x:v>
      </x:c>
      <x:c r="I55" s="27" t="str">
        <x:v>Symbolic representation</x:v>
      </x:c>
      <x:c r="J55" s="27" t="str">
        <x:v>Object-to-function knowledge</x:v>
      </x:c>
      <x:c r="K55" s="27" t="str">
        <x:v>Using common objects in ways connected to their purpose, such as cup for drinking or brush for hair.</x:v>
      </x:c>
      <x:c r="L55" s="27" t="str">
        <x:v>Object permanence, imitation, and repeated routines.</x:v>
      </x:c>
      <x:c r="M55" s="27" t="str">
        <x:v>S05-LEARN-02</x:v>
      </x:c>
      <x:c r="N55" s="27" t="str">
        <x:v>G2 — Intentional action–result</x:v>
      </x:c>
      <x:c r="O55" s="27" t="str">
        <x:v>All domains: attention, memory, strategy choice, monitoring, retrieval, and transfer.</x:v>
      </x:c>
      <x:c r="P55" s="27" t="str">
        <x:v>Stable function knowledge supports categories, pretend play, tools, and semantic memory.</x:v>
      </x:c>
      <x:c r="Q55" s="27" t="str">
        <x:v>S06-LEARN-02</x:v>
      </x:c>
      <x:c r="R55" s="27" t="str">
        <x:v>Selects or uses a familiar object appropriately within a routine.</x:v>
      </x:c>
      <x:c r="S55" s="27" t="str">
        <x:v>SRC02; SRC03; SRC04</x:v>
      </x:c>
      <x:c r="T55" s="27" t="str">
        <x:v>Development varies; use observed performance and appropriate supports rather than age alone.</x:v>
      </x:c>
      <x:c r="U55" s="27" t="str"/>
      <x:c r="V55" s="27" t="str"/>
      <x:c r="W55" s="39" t="str"/>
      <x:c r="X55" s="39" t="str"/>
    </x:row>
    <x:row r="56">
      <x:c r="A56" s="27" t="str">
        <x:v>S06-LEARN-02</x:v>
      </x:c>
      <x:c r="B56" s="37" t="n">
        <x:v>52</x:v>
      </x:c>
      <x:c r="C56" s="27" t="str">
        <x:v>S06</x:v>
      </x:c>
      <x:c r="D56" s="37" t="n">
        <x:v>6</x:v>
      </x:c>
      <x:c r="E56" s="27" t="str">
        <x:v>12–18 months</x:v>
      </x:c>
      <x:c r="F56" s="27" t="str">
        <x:v>Toddler</x:v>
      </x:c>
      <x:c r="G56" s="27" t="str">
        <x:v>First symbols, words, and functional categories</x:v>
      </x:c>
      <x:c r="H56" s="27" t="str">
        <x:v>Learning Foundations</x:v>
      </x:c>
      <x:c r="I56" s="27" t="str">
        <x:v>Memory</x:v>
      </x:c>
      <x:c r="J56" s="27" t="str">
        <x:v>Deferred imitation</x:v>
      </x:c>
      <x:c r="K56" s="27" t="str">
        <x:v>Reproducing a previously observed action after the model and event are no longer present.</x:v>
      </x:c>
      <x:c r="L56" s="27" t="str">
        <x:v>Immediate imitation and stronger mental representation.</x:v>
      </x:c>
      <x:c r="M56" s="27" t="str">
        <x:v>S06-LEARN-01</x:v>
      </x:c>
      <x:c r="N56" s="27" t="str">
        <x:v>G2 — Intentional action–result</x:v>
      </x:c>
      <x:c r="O56" s="27" t="str">
        <x:v>All domains: attention, memory, strategy choice, monitoring, retrieval, and transfer.</x:v>
      </x:c>
      <x:c r="P56" s="27" t="str">
        <x:v>Deferred imitation shows that actions can be stored, recalled, and generalized.</x:v>
      </x:c>
      <x:c r="Q56" s="27" t="str">
        <x:v>S07-LEARN-01</x:v>
      </x:c>
      <x:c r="R56" s="27" t="str">
        <x:v>Later repeats a demonstrated gesture, sound, or object use.</x:v>
      </x:c>
      <x:c r="S56" s="27" t="str">
        <x:v>SRC02; SRC04; SRC05</x:v>
      </x:c>
      <x:c r="T56" s="27" t="str">
        <x:v>Development varies; use observed performance and appropriate supports rather than age alone.</x:v>
      </x:c>
      <x:c r="U56" s="27" t="str"/>
      <x:c r="V56" s="27" t="str"/>
      <x:c r="W56" s="39" t="str"/>
      <x:c r="X56" s="39" t="str"/>
    </x:row>
    <x:row r="57">
      <x:c r="A57" s="27" t="str">
        <x:v>S06-SEL-01</x:v>
      </x:c>
      <x:c r="B57" s="37" t="n">
        <x:v>53</x:v>
      </x:c>
      <x:c r="C57" s="27" t="str">
        <x:v>S06</x:v>
      </x:c>
      <x:c r="D57" s="37" t="n">
        <x:v>6</x:v>
      </x:c>
      <x:c r="E57" s="27" t="str">
        <x:v>12–18 months</x:v>
      </x:c>
      <x:c r="F57" s="27" t="str">
        <x:v>Toddler</x:v>
      </x:c>
      <x:c r="G57" s="27" t="str">
        <x:v>First symbols, words, and functional categories</x:v>
      </x:c>
      <x:c r="H57" s="27" t="str">
        <x:v>Social-Emotional</x:v>
      </x:c>
      <x:c r="I57" s="27" t="str">
        <x:v>Self-awareness</x:v>
      </x:c>
      <x:c r="J57" s="27" t="str">
        <x:v>Agency and preference</x:v>
      </x:c>
      <x:c r="K57" s="27" t="str">
        <x:v>Expressing choices, refusal, ownership, help-seeking, and satisfaction with independent action.</x:v>
      </x:c>
      <x:c r="L57" s="27" t="str">
        <x:v>Intentional communication and mobility.</x:v>
      </x:c>
      <x:c r="M57" s="27" t="str">
        <x:v>S05-SEL-01</x:v>
      </x:c>
      <x:c r="N57" s="27" t="str">
        <x:v>G2 — Intentional action–result</x:v>
      </x:c>
      <x:c r="O57" s="27" t="str">
        <x:v>Language and communication; health; collaboration in science, arts, civics, and projects; responsible digital/financial decisions.</x:v>
      </x:c>
      <x:c r="P57" s="27" t="str">
        <x:v>Agency motivates persistence and provides material for self-regulation and responsible choice.</x:v>
      </x:c>
      <x:c r="Q57" s="27" t="str">
        <x:v>S06-SEL-02</x:v>
      </x:c>
      <x:c r="R57" s="27" t="str">
        <x:v>Clearly selects, rejects, requests help, or attempts a task independently.</x:v>
      </x:c>
      <x:c r="S57" s="27" t="str">
        <x:v>SRC02; SRC03; SRC18</x:v>
      </x:c>
      <x:c r="T57" s="27" t="str">
        <x:v>Development varies; use observed performance and appropriate supports rather than age alone.</x:v>
      </x:c>
      <x:c r="U57" s="27" t="str"/>
      <x:c r="V57" s="27" t="str"/>
      <x:c r="W57" s="39" t="str"/>
      <x:c r="X57" s="39" t="str"/>
    </x:row>
    <x:row r="58">
      <x:c r="A58" s="27" t="str">
        <x:v>S06-SEL-02</x:v>
      </x:c>
      <x:c r="B58" s="37" t="n">
        <x:v>54</x:v>
      </x:c>
      <x:c r="C58" s="27" t="str">
        <x:v>S06</x:v>
      </x:c>
      <x:c r="D58" s="37" t="n">
        <x:v>6</x:v>
      </x:c>
      <x:c r="E58" s="27" t="str">
        <x:v>12–18 months</x:v>
      </x:c>
      <x:c r="F58" s="27" t="str">
        <x:v>Toddler</x:v>
      </x:c>
      <x:c r="G58" s="27" t="str">
        <x:v>First symbols, words, and functional categories</x:v>
      </x:c>
      <x:c r="H58" s="27" t="str">
        <x:v>Social-Emotional</x:v>
      </x:c>
      <x:c r="I58" s="27" t="str">
        <x:v>Relationships</x:v>
      </x:c>
      <x:c r="J58" s="27" t="str">
        <x:v>Parallel social engagement</x:v>
      </x:c>
      <x:c r="K58" s="27" t="str">
        <x:v>Playing near another child while observing, imitating, exchanging materials, or participating in a shared routine.</x:v>
      </x:c>
      <x:c r="L58" s="27" t="str">
        <x:v>Social referencing and object play.</x:v>
      </x:c>
      <x:c r="M58" s="27" t="str">
        <x:v>S06-SEL-01</x:v>
      </x:c>
      <x:c r="N58" s="27" t="str">
        <x:v>G2 — Intentional action–result</x:v>
      </x:c>
      <x:c r="O58" s="27" t="str">
        <x:v>Language and communication; health; collaboration in science, arts, civics, and projects; responsible digital/financial decisions.</x:v>
      </x:c>
      <x:c r="P58" s="27" t="str">
        <x:v>Parallel engagement develops shared space, turn awareness, and later cooperative play.</x:v>
      </x:c>
      <x:c r="Q58" s="27" t="str">
        <x:v>S07-SEL-01</x:v>
      </x:c>
      <x:c r="R58" s="27" t="str">
        <x:v>Maintains play near another child with occasional coordinated attention or exchange.</x:v>
      </x:c>
      <x:c r="S58" s="27" t="str">
        <x:v>SRC02; SRC18</x:v>
      </x:c>
      <x:c r="T58" s="27" t="str">
        <x:v>Development varies; use observed performance and appropriate supports rather than age alone.</x:v>
      </x:c>
      <x:c r="U58" s="27" t="str"/>
      <x:c r="V58" s="27" t="str"/>
      <x:c r="W58" s="39" t="str"/>
      <x:c r="X58" s="39" t="str"/>
    </x:row>
    <x:row r="59">
      <x:c r="A59" s="27" t="str">
        <x:v>S06-LANG-01</x:v>
      </x:c>
      <x:c r="B59" s="37" t="n">
        <x:v>55</x:v>
      </x:c>
      <x:c r="C59" s="27" t="str">
        <x:v>S06</x:v>
      </x:c>
      <x:c r="D59" s="37" t="n">
        <x:v>6</x:v>
      </x:c>
      <x:c r="E59" s="27" t="str">
        <x:v>12–18 months</x:v>
      </x:c>
      <x:c r="F59" s="27" t="str">
        <x:v>Toddler</x:v>
      </x:c>
      <x:c r="G59" s="27" t="str">
        <x:v>First symbols, words, and functional categories</x:v>
      </x:c>
      <x:c r="H59" s="27" t="str">
        <x:v>Language &amp; Communication</x:v>
      </x:c>
      <x:c r="I59" s="27" t="str">
        <x:v>Receptive vocabulary</x:v>
      </x:c>
      <x:c r="J59" s="27" t="str">
        <x:v>Familiar word recognition</x:v>
      </x:c>
      <x:c r="K59" s="27" t="str">
        <x:v>Understanding an expanding set of names for people, objects, actions, body parts, and routine events.</x:v>
      </x:c>
      <x:c r="L59" s="27" t="str">
        <x:v>Stable symbol-meaning links and joint attention.</x:v>
      </x:c>
      <x:c r="M59" s="27" t="str">
        <x:v>S05-LANG-03</x:v>
      </x:c>
      <x:c r="N59" s="27" t="str">
        <x:v>G2 — Intentional action–result</x:v>
      </x:c>
      <x:c r="O59" s="27" t="str">
        <x:v>Reading and writing; vocabulary for math/science/social studies; discussion, music prosody, and world-language learning.</x:v>
      </x:c>
      <x:c r="P59" s="27" t="str">
        <x:v>Receptive vocabulary supplies meanings before expressive use and supports directions.</x:v>
      </x:c>
      <x:c r="Q59" s="27" t="str">
        <x:v>S06-LANG-02</x:v>
      </x:c>
      <x:c r="R59" s="27" t="str">
        <x:v>Looks at, touches, or retrieves a named familiar referent among alternatives.</x:v>
      </x:c>
      <x:c r="S59" s="27" t="str">
        <x:v>SRC02; SRC03</x:v>
      </x:c>
      <x:c r="T59" s="27" t="str">
        <x:v>Development varies; use observed performance and appropriate supports rather than age alone.</x:v>
      </x:c>
      <x:c r="U59" s="27" t="str"/>
      <x:c r="V59" s="27" t="str"/>
      <x:c r="W59" s="39" t="str"/>
      <x:c r="X59" s="39" t="str"/>
    </x:row>
    <x:row r="60">
      <x:c r="A60" s="27" t="str">
        <x:v>S06-LANG-02</x:v>
      </x:c>
      <x:c r="B60" s="37" t="n">
        <x:v>56</x:v>
      </x:c>
      <x:c r="C60" s="27" t="str">
        <x:v>S06</x:v>
      </x:c>
      <x:c r="D60" s="37" t="n">
        <x:v>6</x:v>
      </x:c>
      <x:c r="E60" s="27" t="str">
        <x:v>12–18 months</x:v>
      </x:c>
      <x:c r="F60" s="27" t="str">
        <x:v>Toddler</x:v>
      </x:c>
      <x:c r="G60" s="27" t="str">
        <x:v>First symbols, words, and functional categories</x:v>
      </x:c>
      <x:c r="H60" s="27" t="str">
        <x:v>Language &amp; Communication</x:v>
      </x:c>
      <x:c r="I60" s="27" t="str">
        <x:v>Expressive vocabulary</x:v>
      </x:c>
      <x:c r="J60" s="27" t="str">
        <x:v>Single-word communication</x:v>
      </x:c>
      <x:c r="K60" s="27" t="str">
        <x:v>Using individual spoken, signed, or augmentative words across several purposes: label, request, protest, greet, answer, or comment.</x:v>
      </x:c>
      <x:c r="L60" s="27" t="str">
        <x:v>Meaningful first symbols and receptive vocabulary.</x:v>
      </x:c>
      <x:c r="M60" s="27" t="str">
        <x:v>S06-LANG-01</x:v>
      </x:c>
      <x:c r="N60" s="27" t="str">
        <x:v>G2 — Intentional action–result</x:v>
      </x:c>
      <x:c r="O60" s="27" t="str">
        <x:v>Reading and writing; vocabulary for math/science/social studies; discussion, music prosody, and world-language learning.</x:v>
      </x:c>
      <x:c r="P60" s="27" t="str">
        <x:v>A flexible word inventory can be combined to express relations.</x:v>
      </x:c>
      <x:c r="Q60" s="27" t="str">
        <x:v>S07-LANG-01</x:v>
      </x:c>
      <x:c r="R60" s="27" t="str">
        <x:v>Uses words consistently for more than one communicative purpose.</x:v>
      </x:c>
      <x:c r="S60" s="27" t="str">
        <x:v>SRC02; SRC03</x:v>
      </x:c>
      <x:c r="T60" s="27" t="str">
        <x:v>Development varies; use observed performance and appropriate supports rather than age alone.</x:v>
      </x:c>
      <x:c r="U60" s="27" t="str"/>
      <x:c r="V60" s="27" t="str"/>
      <x:c r="W60" s="39" t="str"/>
      <x:c r="X60" s="39" t="str"/>
    </x:row>
    <x:row r="61">
      <x:c r="A61" s="27" t="str">
        <x:v>S06-MATH-01</x:v>
      </x:c>
      <x:c r="B61" s="37" t="n">
        <x:v>57</x:v>
      </x:c>
      <x:c r="C61" s="27" t="str">
        <x:v>S06</x:v>
      </x:c>
      <x:c r="D61" s="37" t="n">
        <x:v>6</x:v>
      </x:c>
      <x:c r="E61" s="27" t="str">
        <x:v>12–18 months</x:v>
      </x:c>
      <x:c r="F61" s="27" t="str">
        <x:v>Toddler</x:v>
      </x:c>
      <x:c r="G61" s="27" t="str">
        <x:v>First symbols, words, and functional categories</x:v>
      </x:c>
      <x:c r="H61" s="27" t="str">
        <x:v>Mathematics</x:v>
      </x:c>
      <x:c r="I61" s="27" t="str">
        <x:v>Classification</x:v>
      </x:c>
      <x:c r="J61" s="27" t="str">
        <x:v>Functional grouping</x:v>
      </x:c>
      <x:c r="K61" s="27" t="str">
        <x:v>Grouping or selecting objects by common use or familiar category, such as things to eat with or animals.</x:v>
      </x:c>
      <x:c r="L61" s="27" t="str">
        <x:v>Object-to-function knowledge and matching.</x:v>
      </x:c>
      <x:c r="M61" s="27" t="str">
        <x:v>S05-MATH-02</x:v>
      </x:c>
      <x:c r="N61" s="27" t="str">
        <x:v>G2 — Intentional action–result</x:v>
      </x:c>
      <x:c r="O61" s="27" t="str">
        <x:v>Physical quantity and spatial action; science measurement/models; computing/algorithms; finance; music rhythm/pattern; geographic data.</x:v>
      </x:c>
      <x:c r="P61" s="27" t="str">
        <x:v>Category formation reduces memory load and prepares sorting by explicit attributes.</x:v>
      </x:c>
      <x:c r="Q61" s="27" t="str">
        <x:v>S06-MATH-02</x:v>
      </x:c>
      <x:c r="R61" s="27" t="str">
        <x:v>Puts related familiar items together or chooses a requested category member.</x:v>
      </x:c>
      <x:c r="S61" s="27" t="str">
        <x:v>SRC02; SRC07</x:v>
      </x:c>
      <x:c r="T61" s="27" t="str">
        <x:v>Development varies; use observed performance and appropriate supports rather than age alone.</x:v>
      </x:c>
      <x:c r="U61" s="27" t="str"/>
      <x:c r="V61" s="27" t="str"/>
      <x:c r="W61" s="39" t="str"/>
      <x:c r="X61" s="39" t="str"/>
    </x:row>
    <x:row r="62">
      <x:c r="A62" s="27" t="str">
        <x:v>S06-MATH-02</x:v>
      </x:c>
      <x:c r="B62" s="37" t="n">
        <x:v>58</x:v>
      </x:c>
      <x:c r="C62" s="27" t="str">
        <x:v>S06</x:v>
      </x:c>
      <x:c r="D62" s="37" t="n">
        <x:v>6</x:v>
      </x:c>
      <x:c r="E62" s="27" t="str">
        <x:v>12–18 months</x:v>
      </x:c>
      <x:c r="F62" s="27" t="str">
        <x:v>Toddler</x:v>
      </x:c>
      <x:c r="G62" s="27" t="str">
        <x:v>First symbols, words, and functional categories</x:v>
      </x:c>
      <x:c r="H62" s="27" t="str">
        <x:v>Mathematics</x:v>
      </x:c>
      <x:c r="I62" s="27" t="str">
        <x:v>Quantity language</x:v>
      </x:c>
      <x:c r="J62" s="27" t="str">
        <x:v>More, all gone, one</x:v>
      </x:c>
      <x:c r="K62" s="27" t="str">
        <x:v>Connecting early quantity words or gestures to change in a small collection.</x:v>
      </x:c>
      <x:c r="L62" s="27" t="str">
        <x:v>One-to-one action and stable word meanings.</x:v>
      </x:c>
      <x:c r="M62" s="27" t="str">
        <x:v>S06-MATH-01</x:v>
      </x:c>
      <x:c r="N62" s="27" t="str">
        <x:v>G2 — Intentional action–result</x:v>
      </x:c>
      <x:c r="O62" s="27" t="str">
        <x:v>Physical quantity and spatial action; science measurement/models; computing/algorithms; finance; music rhythm/pattern; geographic data.</x:v>
      </x:c>
      <x:c r="P62" s="27" t="str">
        <x:v>Quantity language links perceptual amount to explicit concepts later used in counting and operations.</x:v>
      </x:c>
      <x:c r="Q62" s="27" t="str">
        <x:v>S07-MATH-01</x:v>
      </x:c>
      <x:c r="R62" s="27" t="str">
        <x:v>Uses or responds to more, one, or all gone appropriately in a routine.</x:v>
      </x:c>
      <x:c r="S62" s="27" t="str">
        <x:v>SRC02; SRC07</x:v>
      </x:c>
      <x:c r="T62" s="27" t="str">
        <x:v>Development varies; use observed performance and appropriate supports rather than age alone.</x:v>
      </x:c>
      <x:c r="U62" s="27" t="str"/>
      <x:c r="V62" s="27" t="str"/>
      <x:c r="W62" s="39" t="str"/>
      <x:c r="X62" s="39" t="str"/>
    </x:row>
    <x:row r="63">
      <x:c r="A63" s="27" t="str">
        <x:v>S06-SCI-01</x:v>
      </x:c>
      <x:c r="B63" s="37" t="n">
        <x:v>59</x:v>
      </x:c>
      <x:c r="C63" s="27" t="str">
        <x:v>S06</x:v>
      </x:c>
      <x:c r="D63" s="37" t="n">
        <x:v>6</x:v>
      </x:c>
      <x:c r="E63" s="27" t="str">
        <x:v>12–18 months</x:v>
      </x:c>
      <x:c r="F63" s="27" t="str">
        <x:v>Toddler</x:v>
      </x:c>
      <x:c r="G63" s="27" t="str">
        <x:v>First symbols, words, and functional categories</x:v>
      </x:c>
      <x:c r="H63" s="27" t="str">
        <x:v>Science &amp; Engineering</x:v>
      </x:c>
      <x:c r="I63" s="27" t="str">
        <x:v>Prediction</x:v>
      </x:c>
      <x:c r="J63" s="27" t="str">
        <x:v>Routine outcome prediction</x:v>
      </x:c>
      <x:c r="K63" s="27" t="str">
        <x:v>Anticipating the next event in a familiar physical or social sequence.</x:v>
      </x:c>
      <x:c r="L63" s="27" t="str">
        <x:v>Brief expectation, memory, and action sequences.</x:v>
      </x:c>
      <x:c r="M63" s="27" t="str">
        <x:v>S05-SCI-01</x:v>
      </x:c>
      <x:c r="N63" s="27" t="str">
        <x:v>G2 — Intentional action–result</x:v>
      </x:c>
      <x:c r="O63" s="27" t="str">
        <x:v>Sensory observation and action; mathematics/data; reading/writing evidence; computing/models; health and environmental/civic decisions.</x:v>
      </x:c>
      <x:c r="P63" s="27" t="str">
        <x:v>Prediction converts remembered patterns into testable expectations.</x:v>
      </x:c>
      <x:c r="Q63" s="27" t="str">
        <x:v>S07-SCI-01</x:v>
      </x:c>
      <x:c r="R63" s="27" t="str">
        <x:v>Signals or prepares for the next step before it occurs.</x:v>
      </x:c>
      <x:c r="S63" s="27" t="str">
        <x:v>SRC02; SRC11</x:v>
      </x:c>
      <x:c r="T63" s="27" t="str">
        <x:v>Development varies; use observed performance and appropriate supports rather than age alone.</x:v>
      </x:c>
      <x:c r="U63" s="27" t="str"/>
      <x:c r="V63" s="27" t="str"/>
      <x:c r="W63" s="39" t="str"/>
      <x:c r="X63" s="39" t="str"/>
    </x:row>
    <x:row r="64">
      <x:c r="A64" s="27" t="str">
        <x:v>S06-ARTS-01</x:v>
      </x:c>
      <x:c r="B64" s="37" t="n">
        <x:v>60</x:v>
      </x:c>
      <x:c r="C64" s="27" t="str">
        <x:v>S06</x:v>
      </x:c>
      <x:c r="D64" s="37" t="n">
        <x:v>6</x:v>
      </x:c>
      <x:c r="E64" s="27" t="str">
        <x:v>12–18 months</x:v>
      </x:c>
      <x:c r="F64" s="27" t="str">
        <x:v>Toddler</x:v>
      </x:c>
      <x:c r="G64" s="27" t="str">
        <x:v>First symbols, words, and functional categories</x:v>
      </x:c>
      <x:c r="H64" s="27" t="str">
        <x:v>Music &amp; Arts</x:v>
      </x:c>
      <x:c r="I64" s="27" t="str">
        <x:v>Representation</x:v>
      </x:c>
      <x:c r="J64" s="27" t="str">
        <x:v>Imitative mark and sound making</x:v>
      </x:c>
      <x:c r="K64" s="27" t="str">
        <x:v>Copying a simple mark, motion, beat, or sound with an available tool or body action.</x:v>
      </x:c>
      <x:c r="L64" s="27" t="str">
        <x:v>Deferred imitation, grasp, and action control.</x:v>
      </x:c>
      <x:c r="M64" s="27" t="str">
        <x:v>S04-ARTS-01</x:v>
      </x:c>
      <x:c r="N64" s="27" t="str">
        <x:v>G2 — Intentional action–result</x:v>
      </x:c>
      <x:c r="O64" s="27" t="str">
        <x:v>Sensory discrimination; motor timing; language/prosody; mathematics/pattern; history/culture; emotion, design, and technology.</x:v>
      </x:c>
      <x:c r="P64" s="27" t="str">
        <x:v>Intentional representation leads toward drawing, writing, instrumental performance, and notation.</x:v>
      </x:c>
      <x:c r="Q64" s="27" t="str">
        <x:v>S07-ARTS-01</x:v>
      </x:c>
      <x:c r="R64" s="27" t="str">
        <x:v>Attempts a demonstrated scribble direction, tap pattern, or vocal contour.</x:v>
      </x:c>
      <x:c r="S64" s="27" t="str">
        <x:v>SRC02; SRC13</x:v>
      </x:c>
      <x:c r="T64" s="27" t="str">
        <x:v>Development varies; use observed performance and appropriate supports rather than age alone.</x:v>
      </x:c>
      <x:c r="U64" s="27" t="str"/>
      <x:c r="V64" s="27" t="str"/>
      <x:c r="W64" s="39" t="str"/>
      <x:c r="X64" s="39" t="str"/>
    </x:row>
    <x:row r="65">
      <x:c r="A65" s="27" t="str">
        <x:v>S06-HLTH-01</x:v>
      </x:c>
      <x:c r="B65" s="37" t="n">
        <x:v>61</x:v>
      </x:c>
      <x:c r="C65" s="27" t="str">
        <x:v>S06</x:v>
      </x:c>
      <x:c r="D65" s="37" t="n">
        <x:v>6</x:v>
      </x:c>
      <x:c r="E65" s="27" t="str">
        <x:v>12–18 months</x:v>
      </x:c>
      <x:c r="F65" s="27" t="str">
        <x:v>Toddler</x:v>
      </x:c>
      <x:c r="G65" s="27" t="str">
        <x:v>First symbols, words, and functional categories</x:v>
      </x:c>
      <x:c r="H65" s="27" t="str">
        <x:v>Physical &amp; Health</x:v>
      </x:c>
      <x:c r="I65" s="27" t="str">
        <x:v>Fine motor</x:v>
      </x:c>
      <x:c r="J65" s="27" t="str">
        <x:v>Release and placement</x:v>
      </x:c>
      <x:c r="K65" s="27" t="str">
        <x:v>Releasing objects deliberately into containers, onto surfaces, or into simple fittings.</x:v>
      </x:c>
      <x:c r="L65" s="27" t="str">
        <x:v>Purposeful grasp and hand-eye coordination.</x:v>
      </x:c>
      <x:c r="M65" s="27" t="str">
        <x:v>S05-HLTH-01</x:v>
      </x:c>
      <x:c r="N65" s="27" t="str">
        <x:v>G2 — Intentional action–result</x:v>
      </x:c>
      <x:c r="O65" s="27" t="str">
        <x:v>Motor/sensory development; life science; measurement/data; SEL/self-management; communication, safety, and decision-making.</x:v>
      </x:c>
      <x:c r="P65" s="27" t="str">
        <x:v>Controlled placement supports puzzles, construction, self-care, art, and writing tools.</x:v>
      </x:c>
      <x:c r="Q65" s="27" t="str">
        <x:v>S07-HLTH-01</x:v>
      </x:c>
      <x:c r="R65" s="27" t="str">
        <x:v>Places, drops, stacks, or fits objects with increasing accuracy.</x:v>
      </x:c>
      <x:c r="S65" s="27" t="str">
        <x:v>SRC02; SRC03; SRC14</x:v>
      </x:c>
      <x:c r="T65" s="27" t="str">
        <x:v>Development varies; use observed performance and appropriate supports rather than age alone.</x:v>
      </x:c>
      <x:c r="U65" s="27" t="str"/>
      <x:c r="V65" s="27" t="str"/>
      <x:c r="W65" s="39" t="str"/>
      <x:c r="X65" s="39" t="str"/>
    </x:row>
    <x:row r="66">
      <x:c r="A66" s="27" t="str">
        <x:v>S07-LEARN-01</x:v>
      </x:c>
      <x:c r="B66" s="37" t="n">
        <x:v>62</x:v>
      </x:c>
      <x:c r="C66" s="27" t="str">
        <x:v>S07</x:v>
      </x:c>
      <x:c r="D66" s="37" t="n">
        <x:v>7</x:v>
      </x:c>
      <x:c r="E66" s="27" t="str">
        <x:v>18–24 months</x:v>
      </x:c>
      <x:c r="F66" s="27" t="str">
        <x:v>Toddler</x:v>
      </x:c>
      <x:c r="G66" s="27" t="str">
        <x:v>Two-word relations and pretend representation</x:v>
      </x:c>
      <x:c r="H66" s="27" t="str">
        <x:v>Learning Foundations</x:v>
      </x:c>
      <x:c r="I66" s="27" t="str">
        <x:v>Symbolic play</x:v>
      </x:c>
      <x:c r="J66" s="27" t="str">
        <x:v>Simple pretend substitution</x:v>
      </x:c>
      <x:c r="K66" s="27" t="str">
        <x:v>Using an object, gesture, or action to stand for something absent or different, such as feeding a doll or using a block as a phone.</x:v>
      </x:c>
      <x:c r="L66" s="27" t="str">
        <x:v>Object function, deferred imitation, and mental representation.</x:v>
      </x:c>
      <x:c r="M66" s="27" t="str">
        <x:v>S06-LEARN-02</x:v>
      </x:c>
      <x:c r="N66" s="27" t="str">
        <x:v>G3 — Shared reference and symbol</x:v>
      </x:c>
      <x:c r="O66" s="27" t="str">
        <x:v>All domains: attention, memory, strategy choice, monitoring, retrieval, and transfer.</x:v>
      </x:c>
      <x:c r="P66" s="27" t="str">
        <x:v>Pretend substitution is the same representational move later used by words, numerals, maps, and algebraic symbols.</x:v>
      </x:c>
      <x:c r="Q66" s="27" t="str">
        <x:v>S07-LEARN-02</x:v>
      </x:c>
      <x:c r="R66" s="27" t="str">
        <x:v>Carries out a recognizable pretend action without the real event occurring.</x:v>
      </x:c>
      <x:c r="S66" s="27" t="str">
        <x:v>SRC02; SRC03; SRC04</x:v>
      </x:c>
      <x:c r="T66" s="27" t="str">
        <x:v>Development varies; use observed performance and appropriate supports rather than age alone.</x:v>
      </x:c>
      <x:c r="U66" s="27" t="str"/>
      <x:c r="V66" s="27" t="str"/>
      <x:c r="W66" s="39" t="str"/>
      <x:c r="X66" s="39" t="str"/>
    </x:row>
    <x:row r="67">
      <x:c r="A67" s="27" t="str">
        <x:v>S07-LEARN-02</x:v>
      </x:c>
      <x:c r="B67" s="37" t="n">
        <x:v>63</x:v>
      </x:c>
      <x:c r="C67" s="27" t="str">
        <x:v>S07</x:v>
      </x:c>
      <x:c r="D67" s="37" t="n">
        <x:v>7</x:v>
      </x:c>
      <x:c r="E67" s="27" t="str">
        <x:v>18–24 months</x:v>
      </x:c>
      <x:c r="F67" s="27" t="str">
        <x:v>Toddler</x:v>
      </x:c>
      <x:c r="G67" s="27" t="str">
        <x:v>Two-word relations and pretend representation</x:v>
      </x:c>
      <x:c r="H67" s="27" t="str">
        <x:v>Learning Foundations</x:v>
      </x:c>
      <x:c r="I67" s="27" t="str">
        <x:v>Executive function</x:v>
      </x:c>
      <x:c r="J67" s="27" t="str">
        <x:v>One-rule inhibition</x:v>
      </x:c>
      <x:c r="K67" s="27" t="str">
        <x:v>Pausing or changing an action in response to a familiar safety, turn, or routine cue with adult support.</x:v>
      </x:c>
      <x:c r="L67" s="27" t="str">
        <x:v>Co-regulation, direction comprehension, and working memory.</x:v>
      </x:c>
      <x:c r="M67" s="27" t="str">
        <x:v>S07-LEARN-01</x:v>
      </x:c>
      <x:c r="N67" s="27" t="str">
        <x:v>G3 — Shared reference and symbol</x:v>
      </x:c>
      <x:c r="O67" s="27" t="str">
        <x:v>All domains: attention, memory, strategy choice, monitoring, retrieval, and transfer.</x:v>
      </x:c>
      <x:c r="P67" s="27" t="str">
        <x:v>Holding one rule while inhibiting an impulse begins deliberate self-control.</x:v>
      </x:c>
      <x:c r="Q67" s="27" t="str">
        <x:v>S08-LEARN-01</x:v>
      </x:c>
      <x:c r="R67" s="27" t="str">
        <x:v>Stops, waits briefly, or switches action after a familiar cue.</x:v>
      </x:c>
      <x:c r="S67" s="27" t="str">
        <x:v>SRC02; SRC05; SRC18</x:v>
      </x:c>
      <x:c r="T67" s="27" t="str">
        <x:v>Development varies; use observed performance and appropriate supports rather than age alone.</x:v>
      </x:c>
      <x:c r="U67" s="27" t="str"/>
      <x:c r="V67" s="27" t="str"/>
      <x:c r="W67" s="39" t="str"/>
      <x:c r="X67" s="39" t="str"/>
    </x:row>
    <x:row r="68">
      <x:c r="A68" s="27" t="str">
        <x:v>S07-SEL-01</x:v>
      </x:c>
      <x:c r="B68" s="37" t="n">
        <x:v>64</x:v>
      </x:c>
      <x:c r="C68" s="27" t="str">
        <x:v>S07</x:v>
      </x:c>
      <x:c r="D68" s="37" t="n">
        <x:v>7</x:v>
      </x:c>
      <x:c r="E68" s="27" t="str">
        <x:v>18–24 months</x:v>
      </x:c>
      <x:c r="F68" s="27" t="str">
        <x:v>Toddler</x:v>
      </x:c>
      <x:c r="G68" s="27" t="str">
        <x:v>Two-word relations and pretend representation</x:v>
      </x:c>
      <x:c r="H68" s="27" t="str">
        <x:v>Social-Emotional</x:v>
      </x:c>
      <x:c r="I68" s="27" t="str">
        <x:v>Emotion knowledge</x:v>
      </x:c>
      <x:c r="J68" s="27" t="str">
        <x:v>Basic emotion recognition</x:v>
      </x:c>
      <x:c r="K68" s="27" t="str">
        <x:v>Matching simple facial, vocal, or situational cues to broad states such as happy, sad, scared, or angry.</x:v>
      </x:c>
      <x:c r="L68" s="27" t="str">
        <x:v>Emotion differentiation and vocabulary.</x:v>
      </x:c>
      <x:c r="M68" s="27" t="str">
        <x:v>S06-SEL-02</x:v>
      </x:c>
      <x:c r="N68" s="27" t="str">
        <x:v>G3 — Shared reference and symbol</x:v>
      </x:c>
      <x:c r="O68" s="27" t="str">
        <x:v>Language and communication; health; collaboration in science, arts, civics, and projects; responsible digital/financial decisions.</x:v>
      </x:c>
      <x:c r="P68" s="27" t="str">
        <x:v>Recognizing emotion supports empathy, communication, and regulation strategies.</x:v>
      </x:c>
      <x:c r="Q68" s="27" t="str">
        <x:v>S07-SEL-02</x:v>
      </x:c>
      <x:c r="R68" s="27" t="str">
        <x:v>Labels, points to, or responds appropriately to a clear emotion cue.</x:v>
      </x:c>
      <x:c r="S68" s="27" t="str">
        <x:v>SRC02; SRC18</x:v>
      </x:c>
      <x:c r="T68" s="27" t="str">
        <x:v>Development varies; use observed performance and appropriate supports rather than age alone.</x:v>
      </x:c>
      <x:c r="U68" s="27" t="str"/>
      <x:c r="V68" s="27" t="str"/>
      <x:c r="W68" s="39" t="str"/>
      <x:c r="X68" s="39" t="str"/>
    </x:row>
    <x:row r="69">
      <x:c r="A69" s="27" t="str">
        <x:v>S07-SEL-02</x:v>
      </x:c>
      <x:c r="B69" s="37" t="n">
        <x:v>65</x:v>
      </x:c>
      <x:c r="C69" s="27" t="str">
        <x:v>S07</x:v>
      </x:c>
      <x:c r="D69" s="37" t="n">
        <x:v>7</x:v>
      </x:c>
      <x:c r="E69" s="27" t="str">
        <x:v>18–24 months</x:v>
      </x:c>
      <x:c r="F69" s="27" t="str">
        <x:v>Toddler</x:v>
      </x:c>
      <x:c r="G69" s="27" t="str">
        <x:v>Two-word relations and pretend representation</x:v>
      </x:c>
      <x:c r="H69" s="27" t="str">
        <x:v>Social-Emotional</x:v>
      </x:c>
      <x:c r="I69" s="27" t="str">
        <x:v>Interaction</x:v>
      </x:c>
      <x:c r="J69" s="27" t="str">
        <x:v>Turn exchange</x:v>
      </x:c>
      <x:c r="K69" s="27" t="str">
        <x:v>Participating in a short back-and-forth action with a person using an object, sound, or movement.</x:v>
      </x:c>
      <x:c r="L69" s="27" t="str">
        <x:v>Parallel engagement, imitation, and one-rule inhibition.</x:v>
      </x:c>
      <x:c r="M69" s="27" t="str">
        <x:v>S07-SEL-01</x:v>
      </x:c>
      <x:c r="N69" s="27" t="str">
        <x:v>G3 — Shared reference and symbol</x:v>
      </x:c>
      <x:c r="O69" s="27" t="str">
        <x:v>Language and communication; health; collaboration in science, arts, civics, and projects; responsible digital/financial decisions.</x:v>
      </x:c>
      <x:c r="P69" s="27" t="str">
        <x:v>Turn exchange supports conversation, games, ensemble work, and collaboration.</x:v>
      </x:c>
      <x:c r="Q69" s="27" t="str">
        <x:v>S08-SEL-01</x:v>
      </x:c>
      <x:c r="R69" s="27" t="str">
        <x:v>Waits for and takes several alternating turns with support.</x:v>
      </x:c>
      <x:c r="S69" s="27" t="str">
        <x:v>SRC02; SRC18</x:v>
      </x:c>
      <x:c r="T69" s="27" t="str">
        <x:v>Development varies; use observed performance and appropriate supports rather than age alone.</x:v>
      </x:c>
      <x:c r="U69" s="27" t="str"/>
      <x:c r="V69" s="27" t="str"/>
      <x:c r="W69" s="39" t="str"/>
      <x:c r="X69" s="39" t="str"/>
    </x:row>
    <x:row r="70">
      <x:c r="A70" s="27" t="str">
        <x:v>S07-LANG-01</x:v>
      </x:c>
      <x:c r="B70" s="37" t="n">
        <x:v>66</x:v>
      </x:c>
      <x:c r="C70" s="27" t="str">
        <x:v>S07</x:v>
      </x:c>
      <x:c r="D70" s="37" t="n">
        <x:v>7</x:v>
      </x:c>
      <x:c r="E70" s="27" t="str">
        <x:v>18–24 months</x:v>
      </x:c>
      <x:c r="F70" s="27" t="str">
        <x:v>Toddler</x:v>
      </x:c>
      <x:c r="G70" s="27" t="str">
        <x:v>Two-word relations and pretend representation</x:v>
      </x:c>
      <x:c r="H70" s="27" t="str">
        <x:v>Language &amp; Communication</x:v>
      </x:c>
      <x:c r="I70" s="27" t="str">
        <x:v>Grammar</x:v>
      </x:c>
      <x:c r="J70" s="27" t="str">
        <x:v>Two-word combinations</x:v>
      </x:c>
      <x:c r="K70" s="27" t="str">
        <x:v>Combining two meaningful forms to express relations such as agent-action, action-object, possession, recurrence, or location.</x:v>
      </x:c>
      <x:c r="L70" s="27" t="str">
        <x:v>A flexible single-word vocabulary and symbolic representation.</x:v>
      </x:c>
      <x:c r="M70" s="27" t="str">
        <x:v>S06-LANG-02</x:v>
      </x:c>
      <x:c r="N70" s="27" t="str">
        <x:v>G3 — Shared reference and symbol</x:v>
      </x:c>
      <x:c r="O70" s="27" t="str">
        <x:v>Reading and writing; vocabulary for math/science/social studies; discussion, music prosody, and world-language learning.</x:v>
      </x:c>
      <x:c r="P70" s="27" t="str">
        <x:v>Word combinations make semantic and grammatical relations explicit.</x:v>
      </x:c>
      <x:c r="Q70" s="27" t="str">
        <x:v>S07-LANG-02</x:v>
      </x:c>
      <x:c r="R70" s="27" t="str">
        <x:v>Produces several spontaneous two-part messages with differing meanings.</x:v>
      </x:c>
      <x:c r="S70" s="27" t="str">
        <x:v>SRC02; SRC03</x:v>
      </x:c>
      <x:c r="T70" s="27" t="str">
        <x:v>Development varies; use observed performance and appropriate supports rather than age alone.</x:v>
      </x:c>
      <x:c r="U70" s="27" t="str"/>
      <x:c r="V70" s="27" t="str"/>
      <x:c r="W70" s="39" t="str"/>
      <x:c r="X70" s="39" t="str"/>
    </x:row>
    <x:row r="71">
      <x:c r="A71" s="27" t="str">
        <x:v>S07-LANG-02</x:v>
      </x:c>
      <x:c r="B71" s="37" t="n">
        <x:v>67</x:v>
      </x:c>
      <x:c r="C71" s="27" t="str">
        <x:v>S07</x:v>
      </x:c>
      <x:c r="D71" s="37" t="n">
        <x:v>7</x:v>
      </x:c>
      <x:c r="E71" s="27" t="str">
        <x:v>18–24 months</x:v>
      </x:c>
      <x:c r="F71" s="27" t="str">
        <x:v>Toddler</x:v>
      </x:c>
      <x:c r="G71" s="27" t="str">
        <x:v>Two-word relations and pretend representation</x:v>
      </x:c>
      <x:c r="H71" s="27" t="str">
        <x:v>Language &amp; Communication</x:v>
      </x:c>
      <x:c r="I71" s="27" t="str">
        <x:v>Receptive language</x:v>
      </x:c>
      <x:c r="J71" s="27" t="str">
        <x:v>Two-element directions</x:v>
      </x:c>
      <x:c r="K71" s="27" t="str">
        <x:v>Following a familiar direction that contains two linked pieces of information, such as object plus location or action plus object.</x:v>
      </x:c>
      <x:c r="L71" s="27" t="str">
        <x:v>One-step comprehension and relation words.</x:v>
      </x:c>
      <x:c r="M71" s="27" t="str">
        <x:v>S07-LANG-01</x:v>
      </x:c>
      <x:c r="N71" s="27" t="str">
        <x:v>G3 — Shared reference and symbol</x:v>
      </x:c>
      <x:c r="O71" s="27" t="str">
        <x:v>Reading and writing; vocabulary for math/science/social studies; discussion, music prosody, and world-language learning.</x:v>
      </x:c>
      <x:c r="P71" s="27" t="str">
        <x:v>Holding two elements supports sentence comprehension and ordered procedures.</x:v>
      </x:c>
      <x:c r="Q71" s="27" t="str">
        <x:v>S08-LANG-01</x:v>
      </x:c>
      <x:c r="R71" s="27" t="str">
        <x:v>Carries out a familiar two-part request with limited gesture support.</x:v>
      </x:c>
      <x:c r="S71" s="27" t="str">
        <x:v>SRC02; SRC03</x:v>
      </x:c>
      <x:c r="T71" s="27" t="str">
        <x:v>Development varies; use observed performance and appropriate supports rather than age alone.</x:v>
      </x:c>
      <x:c r="U71" s="27" t="str"/>
      <x:c r="V71" s="27" t="str"/>
      <x:c r="W71" s="39" t="str"/>
      <x:c r="X71" s="39" t="str"/>
    </x:row>
    <x:row r="72">
      <x:c r="A72" s="27" t="str">
        <x:v>S07-MATH-01</x:v>
      </x:c>
      <x:c r="B72" s="37" t="n">
        <x:v>68</x:v>
      </x:c>
      <x:c r="C72" s="27" t="str">
        <x:v>S07</x:v>
      </x:c>
      <x:c r="D72" s="37" t="n">
        <x:v>7</x:v>
      </x:c>
      <x:c r="E72" s="27" t="str">
        <x:v>18–24 months</x:v>
      </x:c>
      <x:c r="F72" s="27" t="str">
        <x:v>Toddler</x:v>
      </x:c>
      <x:c r="G72" s="27" t="str">
        <x:v>Two-word relations and pretend representation</x:v>
      </x:c>
      <x:c r="H72" s="27" t="str">
        <x:v>Mathematics</x:v>
      </x:c>
      <x:c r="I72" s="27" t="str">
        <x:v>Matching</x:v>
      </x:c>
      <x:c r="J72" s="27" t="str">
        <x:v>Exact matching</x:v>
      </x:c>
      <x:c r="K72" s="27" t="str">
        <x:v>Pairing identical objects, pictures, sounds, movements, or simple shapes.</x:v>
      </x:c>
      <x:c r="L72" s="27" t="str">
        <x:v>Same-object recognition and controlled placement.</x:v>
      </x:c>
      <x:c r="M72" s="27" t="str">
        <x:v>S06-MATH-02</x:v>
      </x:c>
      <x:c r="N72" s="27" t="str">
        <x:v>G3 — Shared reference and symbol</x:v>
      </x:c>
      <x:c r="O72" s="27" t="str">
        <x:v>Physical quantity and spatial action; science measurement/models; computing/algorithms; finance; music rhythm/pattern; geographic data.</x:v>
      </x:c>
      <x:c r="P72" s="27" t="str">
        <x:v>Exact matching is used in classification, letter recognition, one-to-one correspondence, and data coding.</x:v>
      </x:c>
      <x:c r="Q72" s="27" t="str">
        <x:v>S07-MATH-02</x:v>
      </x:c>
      <x:c r="R72" s="27" t="str">
        <x:v>Selects an identical match from a small set.</x:v>
      </x:c>
      <x:c r="S72" s="27" t="str">
        <x:v>SRC02; SRC07</x:v>
      </x:c>
      <x:c r="T72" s="27" t="str">
        <x:v>Development varies; use observed performance and appropriate supports rather than age alone.</x:v>
      </x:c>
      <x:c r="U72" s="27" t="str"/>
      <x:c r="V72" s="27" t="str"/>
      <x:c r="W72" s="39" t="str"/>
      <x:c r="X72" s="39" t="str"/>
    </x:row>
    <x:row r="73">
      <x:c r="A73" s="27" t="str">
        <x:v>S07-MATH-02</x:v>
      </x:c>
      <x:c r="B73" s="37" t="n">
        <x:v>69</x:v>
      </x:c>
      <x:c r="C73" s="27" t="str">
        <x:v>S07</x:v>
      </x:c>
      <x:c r="D73" s="37" t="n">
        <x:v>7</x:v>
      </x:c>
      <x:c r="E73" s="27" t="str">
        <x:v>18–24 months</x:v>
      </x:c>
      <x:c r="F73" s="27" t="str">
        <x:v>Toddler</x:v>
      </x:c>
      <x:c r="G73" s="27" t="str">
        <x:v>Two-word relations and pretend representation</x:v>
      </x:c>
      <x:c r="H73" s="27" t="str">
        <x:v>Mathematics</x:v>
      </x:c>
      <x:c r="I73" s="27" t="str">
        <x:v>Order and magnitude</x:v>
      </x:c>
      <x:c r="J73" s="27" t="str">
        <x:v>Big/small and more/less contrasts</x:v>
      </x:c>
      <x:c r="K73" s="27" t="str">
        <x:v>Using or responding to clear relative size and amount comparisons in concrete contexts.</x:v>
      </x:c>
      <x:c r="L73" s="27" t="str">
        <x:v>Contrast discrimination and quantity language.</x:v>
      </x:c>
      <x:c r="M73" s="27" t="str">
        <x:v>S07-MATH-01</x:v>
      </x:c>
      <x:c r="N73" s="27" t="str">
        <x:v>G3 — Shared reference and symbol</x:v>
      </x:c>
      <x:c r="O73" s="27" t="str">
        <x:v>Physical quantity and spatial action; science measurement/models; computing/algorithms; finance; music rhythm/pattern; geographic data.</x:v>
      </x:c>
      <x:c r="P73" s="27" t="str">
        <x:v>Comparative relations prepare seriation, measurement, number comparison, and inequality.</x:v>
      </x:c>
      <x:c r="Q73" s="27" t="str">
        <x:v>S08-MATH-01</x:v>
      </x:c>
      <x:c r="R73" s="27" t="str">
        <x:v>Chooses the clearly bigger item or fuller/more numerous collection when asked.</x:v>
      </x:c>
      <x:c r="S73" s="27" t="str">
        <x:v>SRC02; SRC07</x:v>
      </x:c>
      <x:c r="T73" s="27" t="str">
        <x:v>Development varies; use observed performance and appropriate supports rather than age alone.</x:v>
      </x:c>
      <x:c r="U73" s="27" t="str"/>
      <x:c r="V73" s="27" t="str"/>
      <x:c r="W73" s="39" t="str"/>
      <x:c r="X73" s="39" t="str"/>
    </x:row>
    <x:row r="74">
      <x:c r="A74" s="27" t="str">
        <x:v>S07-SCI-01</x:v>
      </x:c>
      <x:c r="B74" s="37" t="n">
        <x:v>70</x:v>
      </x:c>
      <x:c r="C74" s="27" t="str">
        <x:v>S07</x:v>
      </x:c>
      <x:c r="D74" s="37" t="n">
        <x:v>7</x:v>
      </x:c>
      <x:c r="E74" s="27" t="str">
        <x:v>18–24 months</x:v>
      </x:c>
      <x:c r="F74" s="27" t="str">
        <x:v>Toddler</x:v>
      </x:c>
      <x:c r="G74" s="27" t="str">
        <x:v>Two-word relations and pretend representation</x:v>
      </x:c>
      <x:c r="H74" s="27" t="str">
        <x:v>Science &amp; Engineering</x:v>
      </x:c>
      <x:c r="I74" s="27" t="str">
        <x:v>Living systems</x:v>
      </x:c>
      <x:c r="J74" s="27" t="str">
        <x:v>Living/nonliving experience</x:v>
      </x:c>
      <x:c r="K74" s="27" t="str">
        <x:v>Noticing that people, animals, and plants have characteristic needs, movements, growth, and responses.</x:v>
      </x:c>
      <x:c r="L74" s="27" t="str">
        <x:v>Category formation and observation of change.</x:v>
      </x:c>
      <x:c r="M74" s="27" t="str">
        <x:v>S06-SCI-01</x:v>
      </x:c>
      <x:c r="N74" s="27" t="str">
        <x:v>G3 — Shared reference and symbol</x:v>
      </x:c>
      <x:c r="O74" s="27" t="str">
        <x:v>Sensory observation and action; mathematics/data; reading/writing evidence; computing/models; health and environmental/civic decisions.</x:v>
      </x:c>
      <x:c r="P74" s="27" t="str">
        <x:v>These observations seed later life-cycle, structure-function, and ecosystem concepts.</x:v>
      </x:c>
      <x:c r="Q74" s="27" t="str">
        <x:v>S08-SCI-01</x:v>
      </x:c>
      <x:c r="R74" s="27" t="str">
        <x:v>Provides an appropriate simple care action or identifies a familiar living thing.</x:v>
      </x:c>
      <x:c r="S74" s="27" t="str">
        <x:v>SRC02; SRC11</x:v>
      </x:c>
      <x:c r="T74" s="27" t="str">
        <x:v>Development varies; use observed performance and appropriate supports rather than age alone.</x:v>
      </x:c>
      <x:c r="U74" s="27" t="str"/>
      <x:c r="V74" s="27" t="str"/>
      <x:c r="W74" s="39" t="str"/>
      <x:c r="X74" s="39" t="str"/>
    </x:row>
    <x:row r="75">
      <x:c r="A75" s="27" t="str">
        <x:v>S07-ARTS-01</x:v>
      </x:c>
      <x:c r="B75" s="37" t="n">
        <x:v>71</x:v>
      </x:c>
      <x:c r="C75" s="27" t="str">
        <x:v>S07</x:v>
      </x:c>
      <x:c r="D75" s="37" t="n">
        <x:v>7</x:v>
      </x:c>
      <x:c r="E75" s="27" t="str">
        <x:v>18–24 months</x:v>
      </x:c>
      <x:c r="F75" s="27" t="str">
        <x:v>Toddler</x:v>
      </x:c>
      <x:c r="G75" s="27" t="str">
        <x:v>Two-word relations and pretend representation</x:v>
      </x:c>
      <x:c r="H75" s="27" t="str">
        <x:v>Music &amp; Arts</x:v>
      </x:c>
      <x:c r="I75" s="27" t="str">
        <x:v>Beat and imitation</x:v>
      </x:c>
      <x:c r="J75" s="27" t="str">
        <x:v>Short rhythm echo</x:v>
      </x:c>
      <x:c r="K75" s="27" t="str">
        <x:v>Imitating a very short sound or movement pattern with adult modeling.</x:v>
      </x:c>
      <x:c r="L75" s="27" t="str">
        <x:v>Turn exchange, pulse experience, and deferred imitation.</x:v>
      </x:c>
      <x:c r="M75" s="27" t="str">
        <x:v>S06-ARTS-01</x:v>
      </x:c>
      <x:c r="N75" s="27" t="str">
        <x:v>G3 — Shared reference and symbol</x:v>
      </x:c>
      <x:c r="O75" s="27" t="str">
        <x:v>Sensory discrimination; motor timing; language/prosody; mathematics/pattern; history/culture; emotion, design, and technology.</x:v>
      </x:c>
      <x:c r="P75" s="27" t="str">
        <x:v>Echoing isolates sequence, duration, and repetition for later rhythm literacy.</x:v>
      </x:c>
      <x:c r="Q75" s="27" t="str">
        <x:v>S08-ARTS-01</x:v>
      </x:c>
      <x:c r="R75" s="27" t="str">
        <x:v>Copies a two- or three-event tap, clap, step, or syllable pattern.</x:v>
      </x:c>
      <x:c r="S75" s="27" t="str">
        <x:v>SRC02; SRC13</x:v>
      </x:c>
      <x:c r="T75" s="27" t="str">
        <x:v>Development varies; use observed performance and appropriate supports rather than age alone.</x:v>
      </x:c>
      <x:c r="U75" s="27" t="str"/>
      <x:c r="V75" s="27" t="str"/>
      <x:c r="W75" s="39" t="str"/>
      <x:c r="X75" s="39" t="str"/>
    </x:row>
    <x:row r="76">
      <x:c r="A76" s="27" t="str">
        <x:v>S07-HLTH-01</x:v>
      </x:c>
      <x:c r="B76" s="37" t="n">
        <x:v>72</x:v>
      </x:c>
      <x:c r="C76" s="27" t="str">
        <x:v>S07</x:v>
      </x:c>
      <x:c r="D76" s="37" t="n">
        <x:v>7</x:v>
      </x:c>
      <x:c r="E76" s="27" t="str">
        <x:v>18–24 months</x:v>
      </x:c>
      <x:c r="F76" s="27" t="str">
        <x:v>Toddler</x:v>
      </x:c>
      <x:c r="G76" s="27" t="str">
        <x:v>Two-word relations and pretend representation</x:v>
      </x:c>
      <x:c r="H76" s="27" t="str">
        <x:v>Physical &amp; Health</x:v>
      </x:c>
      <x:c r="I76" s="27" t="str">
        <x:v>Gross motor</x:v>
      </x:c>
      <x:c r="J76" s="27" t="str">
        <x:v>Walking, carrying, and changing direction</x:v>
      </x:c>
      <x:c r="K76" s="27" t="str">
        <x:v>Moving independently or through an accessible mobility method while transporting objects and navigating simple obstacles.</x:v>
      </x:c>
      <x:c r="L76" s="27" t="str">
        <x:v>Self-directed locomotion, balance, and spatial awareness.</x:v>
      </x:c>
      <x:c r="M76" s="27" t="str">
        <x:v>S06-HLTH-01</x:v>
      </x:c>
      <x:c r="N76" s="27" t="str">
        <x:v>G3 — Shared reference and symbol</x:v>
      </x:c>
      <x:c r="O76" s="27" t="str">
        <x:v>Motor/sensory development; life science; measurement/data; SEL/self-management; communication, safety, and decision-making.</x:v>
      </x:c>
      <x:c r="P76" s="27" t="str">
        <x:v>Controlled locomotion supports outdoor inquiry, games, dance, and classroom independence.</x:v>
      </x:c>
      <x:c r="Q76" s="27" t="str">
        <x:v>S08-HLTH-01</x:v>
      </x:c>
      <x:c r="R76" s="27" t="str">
        <x:v>Moves to a destination, changes direction, and carries or pushes an object safely.</x:v>
      </x:c>
      <x:c r="S76" s="27" t="str">
        <x:v>SRC03; SRC14</x:v>
      </x:c>
      <x:c r="T76" s="27" t="str">
        <x:v>Development varies; use observed performance and appropriate supports rather than age alone.</x:v>
      </x:c>
      <x:c r="U76" s="27" t="str"/>
      <x:c r="V76" s="27" t="str"/>
      <x:c r="W76" s="39" t="str"/>
      <x:c r="X76" s="39" t="str"/>
    </x:row>
    <x:row r="77">
      <x:c r="A77" s="27" t="str">
        <x:v>S08-LEARN-01</x:v>
      </x:c>
      <x:c r="B77" s="37" t="n">
        <x:v>73</x:v>
      </x:c>
      <x:c r="C77" s="27" t="str">
        <x:v>S08</x:v>
      </x:c>
      <x:c r="D77" s="37" t="n">
        <x:v>8</x:v>
      </x:c>
      <x:c r="E77" s="27" t="str">
        <x:v>24–30 months</x:v>
      </x:c>
      <x:c r="F77" s="27" t="str">
        <x:v>Toddler</x:v>
      </x:c>
      <x:c r="G77" s="27" t="str">
        <x:v>Short sentences, sorting, and small quantities</x:v>
      </x:c>
      <x:c r="H77" s="27" t="str">
        <x:v>Learning Foundations</x:v>
      </x:c>
      <x:c r="I77" s="27" t="str">
        <x:v>Classification</x:v>
      </x:c>
      <x:c r="J77" s="27" t="str">
        <x:v>Sorting by one visible attribute</x:v>
      </x:c>
      <x:c r="K77" s="27" t="str">
        <x:v>Grouping objects consistently by one property such as color, shape, size, or type.</x:v>
      </x:c>
      <x:c r="L77" s="27" t="str">
        <x:v>Exact matching, category formation, and comparison words.</x:v>
      </x:c>
      <x:c r="M77" s="27" t="str">
        <x:v>S07-LEARN-02</x:v>
      </x:c>
      <x:c r="N77" s="27" t="str">
        <x:v>G3 — Shared reference and symbol</x:v>
      </x:c>
      <x:c r="O77" s="27" t="str">
        <x:v>All domains: attention, memory, strategy choice, monitoring, retrieval, and transfer.</x:v>
      </x:c>
      <x:c r="P77" s="27" t="str">
        <x:v>One-rule sorting is the foundation for sets, data categories, scientific classification, and rule-based reasoning.</x:v>
      </x:c>
      <x:c r="Q77" s="27" t="str">
        <x:v>S08-LEARN-02</x:v>
      </x:c>
      <x:c r="R77" s="27" t="str">
        <x:v>Sorts a mixed collection into two or more consistent groups and can indicate the rule.</x:v>
      </x:c>
      <x:c r="S77" s="27" t="str">
        <x:v>SRC02; SRC07</x:v>
      </x:c>
      <x:c r="T77" s="27" t="str">
        <x:v>Development varies; use observed performance and appropriate supports rather than age alone.</x:v>
      </x:c>
      <x:c r="U77" s="27" t="str"/>
      <x:c r="V77" s="27" t="str"/>
      <x:c r="W77" s="39" t="str"/>
      <x:c r="X77" s="39" t="str"/>
    </x:row>
    <x:row r="78">
      <x:c r="A78" s="27" t="str">
        <x:v>S08-LEARN-02</x:v>
      </x:c>
      <x:c r="B78" s="37" t="n">
        <x:v>74</x:v>
      </x:c>
      <x:c r="C78" s="27" t="str">
        <x:v>S08</x:v>
      </x:c>
      <x:c r="D78" s="37" t="n">
        <x:v>8</x:v>
      </x:c>
      <x:c r="E78" s="27" t="str">
        <x:v>24–30 months</x:v>
      </x:c>
      <x:c r="F78" s="27" t="str">
        <x:v>Toddler</x:v>
      </x:c>
      <x:c r="G78" s="27" t="str">
        <x:v>Short sentences, sorting, and small quantities</x:v>
      </x:c>
      <x:c r="H78" s="27" t="str">
        <x:v>Learning Foundations</x:v>
      </x:c>
      <x:c r="I78" s="27" t="str">
        <x:v>Attention</x:v>
      </x:c>
      <x:c r="J78" s="27" t="str">
        <x:v>Short task persistence</x:v>
      </x:c>
      <x:c r="K78" s="27" t="str">
        <x:v>Staying with a chosen puzzle, construction, book, conversation, or problem through several actions with support.</x:v>
      </x:c>
      <x:c r="L78" s="27" t="str">
        <x:v>Agency, working memory, and manageable regulation.</x:v>
      </x:c>
      <x:c r="M78" s="27" t="str">
        <x:v>S08-LEARN-01</x:v>
      </x:c>
      <x:c r="N78" s="27" t="str">
        <x:v>G3 — Shared reference and symbol</x:v>
      </x:c>
      <x:c r="O78" s="27" t="str">
        <x:v>All domains: attention, memory, strategy choice, monitoring, retrieval, and transfer.</x:v>
      </x:c>
      <x:c r="P78" s="27" t="str">
        <x:v>Persistence makes multi-step learning and error correction possible.</x:v>
      </x:c>
      <x:c r="Q78" s="27" t="str">
        <x:v>S09-LEARN-01</x:v>
      </x:c>
      <x:c r="R78" s="27" t="str">
        <x:v>Returns to or continues a task after a small difficulty.</x:v>
      </x:c>
      <x:c r="S78" s="27" t="str">
        <x:v>SRC02; SRC05; SRC18</x:v>
      </x:c>
      <x:c r="T78" s="27" t="str">
        <x:v>Development varies; use observed performance and appropriate supports rather than age alone.</x:v>
      </x:c>
      <x:c r="U78" s="27" t="str"/>
      <x:c r="V78" s="27" t="str"/>
      <x:c r="W78" s="39" t="str"/>
      <x:c r="X78" s="39" t="str"/>
    </x:row>
    <x:row r="79">
      <x:c r="A79" s="27" t="str">
        <x:v>S08-SEL-01</x:v>
      </x:c>
      <x:c r="B79" s="37" t="n">
        <x:v>75</x:v>
      </x:c>
      <x:c r="C79" s="27" t="str">
        <x:v>S08</x:v>
      </x:c>
      <x:c r="D79" s="37" t="n">
        <x:v>8</x:v>
      </x:c>
      <x:c r="E79" s="27" t="str">
        <x:v>24–30 months</x:v>
      </x:c>
      <x:c r="F79" s="27" t="str">
        <x:v>Toddler</x:v>
      </x:c>
      <x:c r="G79" s="27" t="str">
        <x:v>Short sentences, sorting, and small quantities</x:v>
      </x:c>
      <x:c r="H79" s="27" t="str">
        <x:v>Social-Emotional</x:v>
      </x:c>
      <x:c r="I79" s="27" t="str">
        <x:v>Cooperation</x:v>
      </x:c>
      <x:c r="J79" s="27" t="str">
        <x:v>Shared routine participation</x:v>
      </x:c>
      <x:c r="K79" s="27" t="str">
        <x:v>Following a simple group routine and using materials in a shared space with reminders.</x:v>
      </x:c>
      <x:c r="L79" s="27" t="str">
        <x:v>Turn exchange and one-rule inhibition.</x:v>
      </x:c>
      <x:c r="M79" s="27" t="str">
        <x:v>S07-SEL-02</x:v>
      </x:c>
      <x:c r="N79" s="27" t="str">
        <x:v>G3 — Shared reference and symbol</x:v>
      </x:c>
      <x:c r="O79" s="27" t="str">
        <x:v>Language and communication; health; collaboration in science, arts, civics, and projects; responsible digital/financial decisions.</x:v>
      </x:c>
      <x:c r="P79" s="27" t="str">
        <x:v>Shared routines prepare classroom participation, games, ensemble performance, and collaborative inquiry.</x:v>
      </x:c>
      <x:c r="Q79" s="27" t="str">
        <x:v>S09-SEL-01</x:v>
      </x:c>
      <x:c r="R79" s="27" t="str">
        <x:v>Joins a cleanup, song, meal, or group transition and follows the central action.</x:v>
      </x:c>
      <x:c r="S79" s="27" t="str">
        <x:v>SRC02; SRC18</x:v>
      </x:c>
      <x:c r="T79" s="27" t="str">
        <x:v>Development varies; use observed performance and appropriate supports rather than age alone.</x:v>
      </x:c>
      <x:c r="U79" s="27" t="str"/>
      <x:c r="V79" s="27" t="str"/>
      <x:c r="W79" s="39" t="str"/>
      <x:c r="X79" s="39" t="str"/>
    </x:row>
    <x:row r="80">
      <x:c r="A80" s="27" t="str">
        <x:v>S08-LANG-01</x:v>
      </x:c>
      <x:c r="B80" s="37" t="n">
        <x:v>76</x:v>
      </x:c>
      <x:c r="C80" s="27" t="str">
        <x:v>S08</x:v>
      </x:c>
      <x:c r="D80" s="37" t="n">
        <x:v>8</x:v>
      </x:c>
      <x:c r="E80" s="27" t="str">
        <x:v>24–30 months</x:v>
      </x:c>
      <x:c r="F80" s="27" t="str">
        <x:v>Toddler</x:v>
      </x:c>
      <x:c r="G80" s="27" t="str">
        <x:v>Short sentences, sorting, and small quantities</x:v>
      </x:c>
      <x:c r="H80" s="27" t="str">
        <x:v>Language &amp; Communication</x:v>
      </x:c>
      <x:c r="I80" s="27" t="str">
        <x:v>Grammar</x:v>
      </x:c>
      <x:c r="J80" s="27" t="str">
        <x:v>Short sentences</x:v>
      </x:c>
      <x:c r="K80" s="27" t="str">
        <x:v>Combining words with emerging grammar to describe actions, properties, possession, location, questions, or negation.</x:v>
      </x:c>
      <x:c r="L80" s="27" t="str">
        <x:v>Two-word combinations and growing vocabulary.</x:v>
      </x:c>
      <x:c r="M80" s="27" t="str">
        <x:v>S07-LANG-02</x:v>
      </x:c>
      <x:c r="N80" s="27" t="str">
        <x:v>G3 — Shared reference and symbol</x:v>
      </x:c>
      <x:c r="O80" s="27" t="str">
        <x:v>Reading and writing; vocabulary for math/science/social studies; discussion, music prosody, and world-language learning.</x:v>
      </x:c>
      <x:c r="P80" s="27" t="str">
        <x:v>Sentence structure permits more exact relations, explanations, and narratives.</x:v>
      </x:c>
      <x:c r="Q80" s="27" t="str">
        <x:v>S08-LANG-02</x:v>
      </x:c>
      <x:c r="R80" s="27" t="str">
        <x:v>Produces understandable multiword messages across several functions.</x:v>
      </x:c>
      <x:c r="S80" s="27" t="str">
        <x:v>SRC02; SRC03</x:v>
      </x:c>
      <x:c r="T80" s="27" t="str">
        <x:v>Development varies; use observed performance and appropriate supports rather than age alone.</x:v>
      </x:c>
      <x:c r="U80" s="27" t="str"/>
      <x:c r="V80" s="27" t="str"/>
      <x:c r="W80" s="39" t="str"/>
      <x:c r="X80" s="39" t="str"/>
    </x:row>
    <x:row r="81">
      <x:c r="A81" s="27" t="str">
        <x:v>S08-LANG-02</x:v>
      </x:c>
      <x:c r="B81" s="37" t="n">
        <x:v>77</x:v>
      </x:c>
      <x:c r="C81" s="27" t="str">
        <x:v>S08</x:v>
      </x:c>
      <x:c r="D81" s="37" t="n">
        <x:v>8</x:v>
      </x:c>
      <x:c r="E81" s="27" t="str">
        <x:v>24–30 months</x:v>
      </x:c>
      <x:c r="F81" s="27" t="str">
        <x:v>Toddler</x:v>
      </x:c>
      <x:c r="G81" s="27" t="str">
        <x:v>Short sentences, sorting, and small quantities</x:v>
      </x:c>
      <x:c r="H81" s="27" t="str">
        <x:v>Language &amp; Communication</x:v>
      </x:c>
      <x:c r="I81" s="27" t="str">
        <x:v>Conversation</x:v>
      </x:c>
      <x:c r="J81" s="27" t="str">
        <x:v>Question-and-answer exchange</x:v>
      </x:c>
      <x:c r="K81" s="27" t="str">
        <x:v>Answering and asking simple who, what, or where questions in a shared context.</x:v>
      </x:c>
      <x:c r="L81" s="27" t="str">
        <x:v>Short sentences, joint attention, and turn exchange.</x:v>
      </x:c>
      <x:c r="M81" s="27" t="str">
        <x:v>S08-LANG-01</x:v>
      </x:c>
      <x:c r="N81" s="27" t="str">
        <x:v>G3 — Shared reference and symbol</x:v>
      </x:c>
      <x:c r="O81" s="27" t="str">
        <x:v>Reading and writing; vocabulary for math/science/social studies; discussion, music prosody, and world-language learning.</x:v>
      </x:c>
      <x:c r="P81" s="27" t="str">
        <x:v>Questioning directs inquiry and requires maintaining the topic across turns.</x:v>
      </x:c>
      <x:c r="Q81" s="27" t="str">
        <x:v>S09-LANG-01</x:v>
      </x:c>
      <x:c r="R81" s="27" t="str">
        <x:v>Participates in at least two connected question-answer turns.</x:v>
      </x:c>
      <x:c r="S81" s="27" t="str">
        <x:v>SRC02</x:v>
      </x:c>
      <x:c r="T81" s="27" t="str">
        <x:v>Development varies; use observed performance and appropriate supports rather than age alone.</x:v>
      </x:c>
      <x:c r="U81" s="27" t="str"/>
      <x:c r="V81" s="27" t="str"/>
      <x:c r="W81" s="39" t="str"/>
      <x:c r="X81" s="39" t="str"/>
    </x:row>
    <x:row r="82">
      <x:c r="A82" s="27" t="str">
        <x:v>S08-READ-01</x:v>
      </x:c>
      <x:c r="B82" s="37" t="n">
        <x:v>78</x:v>
      </x:c>
      <x:c r="C82" s="27" t="str">
        <x:v>S08</x:v>
      </x:c>
      <x:c r="D82" s="37" t="n">
        <x:v>8</x:v>
      </x:c>
      <x:c r="E82" s="27" t="str">
        <x:v>24–30 months</x:v>
      </x:c>
      <x:c r="F82" s="27" t="str">
        <x:v>Toddler</x:v>
      </x:c>
      <x:c r="G82" s="27" t="str">
        <x:v>Short sentences, sorting, and small quantities</x:v>
      </x:c>
      <x:c r="H82" s="27" t="str">
        <x:v>Reading</x:v>
      </x:c>
      <x:c r="I82" s="27" t="str">
        <x:v>Emergent literacy</x:v>
      </x:c>
      <x:c r="J82" s="27" t="str">
        <x:v>Picture–meaning interpretation</x:v>
      </x:c>
      <x:c r="K82" s="27" t="str">
        <x:v>Using pictures to identify characters, objects, actions, emotions, and a simple event in a book or display.</x:v>
      </x:c>
      <x:c r="L82" s="27" t="str">
        <x:v>Symbolic play, vocabulary, and joint attention.</x:v>
      </x:c>
      <x:c r="M82" s="27" t="str">
        <x:v>FOUNDATION</x:v>
      </x:c>
      <x:c r="N82" s="27" t="str">
        <x:v>G3 — Shared reference and symbol</x:v>
      </x:c>
      <x:c r="O82" s="27" t="str">
        <x:v>Oral language and writing; evidence in science/social studies; mathematical and technical problem interpretation; media verification.</x:v>
      </x:c>
      <x:c r="P82" s="27" t="str">
        <x:v>Interpreting visual symbols supports story comprehension, diagrams, and print-picture coordination.</x:v>
      </x:c>
      <x:c r="Q82" s="27" t="str">
        <x:v>S09-READ-01</x:v>
      </x:c>
      <x:c r="R82" s="27" t="str">
        <x:v>Describes what is happening in a familiar picture using words or another communication mode.</x:v>
      </x:c>
      <x:c r="S82" s="27" t="str">
        <x:v>SRC02; SRC10</x:v>
      </x:c>
      <x:c r="T82" s="27" t="str">
        <x:v>Development varies; use observed performance and appropriate supports rather than age alone.</x:v>
      </x:c>
      <x:c r="U82" s="27" t="str"/>
      <x:c r="V82" s="27" t="str"/>
      <x:c r="W82" s="39" t="str"/>
      <x:c r="X82" s="39" t="str"/>
    </x:row>
    <x:row r="83">
      <x:c r="A83" s="27" t="str">
        <x:v>S08-MATH-01</x:v>
      </x:c>
      <x:c r="B83" s="37" t="n">
        <x:v>79</x:v>
      </x:c>
      <x:c r="C83" s="27" t="str">
        <x:v>S08</x:v>
      </x:c>
      <x:c r="D83" s="37" t="n">
        <x:v>8</x:v>
      </x:c>
      <x:c r="E83" s="27" t="str">
        <x:v>24–30 months</x:v>
      </x:c>
      <x:c r="F83" s="27" t="str">
        <x:v>Toddler</x:v>
      </x:c>
      <x:c r="G83" s="27" t="str">
        <x:v>Short sentences, sorting, and small quantities</x:v>
      </x:c>
      <x:c r="H83" s="27" t="str">
        <x:v>Mathematics</x:v>
      </x:c>
      <x:c r="I83" s="27" t="str">
        <x:v>Counting foundations</x:v>
      </x:c>
      <x:c r="J83" s="27" t="str">
        <x:v>Stable small number-word sequence</x:v>
      </x:c>
      <x:c r="K83" s="27" t="str">
        <x:v>Reciting an initial conventional sequence of number words, even before fully coordinating each word with an object.</x:v>
      </x:c>
      <x:c r="L83" s="27" t="str">
        <x:v>Sequence imitation and quantity language.</x:v>
      </x:c>
      <x:c r="M83" s="27" t="str">
        <x:v>S07-MATH-02</x:v>
      </x:c>
      <x:c r="N83" s="27" t="str">
        <x:v>G3 — Shared reference and symbol</x:v>
      </x:c>
      <x:c r="O83" s="27" t="str">
        <x:v>Physical quantity and spatial action; science measurement/models; computing/algorithms; finance; music rhythm/pattern; geographic data.</x:v>
      </x:c>
      <x:c r="P83" s="27" t="str">
        <x:v>A stable verbal list is one component later coordinated with one-to-one counting and cardinality.</x:v>
      </x:c>
      <x:c r="Q83" s="27" t="str">
        <x:v>S08-MATH-02</x:v>
      </x:c>
      <x:c r="R83" s="27" t="str">
        <x:v>Produces the same initial number-word order across occasions.</x:v>
      </x:c>
      <x:c r="S83" s="27" t="str">
        <x:v>SRC02; SRC07</x:v>
      </x:c>
      <x:c r="T83" s="27" t="str">
        <x:v>Development varies; use observed performance and appropriate supports rather than age alone.</x:v>
      </x:c>
      <x:c r="U83" s="27" t="str"/>
      <x:c r="V83" s="27" t="str"/>
      <x:c r="W83" s="39" t="str"/>
      <x:c r="X83" s="39" t="str"/>
    </x:row>
    <x:row r="84">
      <x:c r="A84" s="27" t="str">
        <x:v>S08-MATH-02</x:v>
      </x:c>
      <x:c r="B84" s="37" t="n">
        <x:v>80</x:v>
      </x:c>
      <x:c r="C84" s="27" t="str">
        <x:v>S08</x:v>
      </x:c>
      <x:c r="D84" s="37" t="n">
        <x:v>8</x:v>
      </x:c>
      <x:c r="E84" s="27" t="str">
        <x:v>24–30 months</x:v>
      </x:c>
      <x:c r="F84" s="27" t="str">
        <x:v>Toddler</x:v>
      </x:c>
      <x:c r="G84" s="27" t="str">
        <x:v>Short sentences, sorting, and small quantities</x:v>
      </x:c>
      <x:c r="H84" s="27" t="str">
        <x:v>Mathematics</x:v>
      </x:c>
      <x:c r="I84" s="27" t="str">
        <x:v>Spatial language</x:v>
      </x:c>
      <x:c r="J84" s="27" t="str">
        <x:v>Position and movement words</x:v>
      </x:c>
      <x:c r="K84" s="27" t="str">
        <x:v>Understanding and using common spatial relations such as in, on, under, beside, up, down, and through.</x:v>
      </x:c>
      <x:c r="L84" s="27" t="str">
        <x:v>Action-based spatial relations and short sentences.</x:v>
      </x:c>
      <x:c r="M84" s="27" t="str">
        <x:v>S08-MATH-01</x:v>
      </x:c>
      <x:c r="N84" s="27" t="str">
        <x:v>G3 — Shared reference and symbol</x:v>
      </x:c>
      <x:c r="O84" s="27" t="str">
        <x:v>Physical quantity and spatial action; science measurement/models; computing/algorithms; finance; music rhythm/pattern; geographic data.</x:v>
      </x:c>
      <x:c r="P84" s="27" t="str">
        <x:v>Spatial language supports geometry, directions, diagrams, and relational reasoning.</x:v>
      </x:c>
      <x:c r="Q84" s="27" t="str">
        <x:v>S09-MATH-01</x:v>
      </x:c>
      <x:c r="R84" s="27" t="str">
        <x:v>Places an object according to a familiar position word or describes its location.</x:v>
      </x:c>
      <x:c r="S84" s="27" t="str">
        <x:v>SRC02; SRC07</x:v>
      </x:c>
      <x:c r="T84" s="27" t="str">
        <x:v>Development varies; use observed performance and appropriate supports rather than age alone.</x:v>
      </x:c>
      <x:c r="U84" s="27" t="str"/>
      <x:c r="V84" s="27" t="str"/>
      <x:c r="W84" s="39" t="str"/>
      <x:c r="X84" s="39" t="str"/>
    </x:row>
    <x:row r="85">
      <x:c r="A85" s="27" t="str">
        <x:v>S08-SCI-01</x:v>
      </x:c>
      <x:c r="B85" s="37" t="n">
        <x:v>81</x:v>
      </x:c>
      <x:c r="C85" s="27" t="str">
        <x:v>S08</x:v>
      </x:c>
      <x:c r="D85" s="37" t="n">
        <x:v>8</x:v>
      </x:c>
      <x:c r="E85" s="27" t="str">
        <x:v>24–30 months</x:v>
      </x:c>
      <x:c r="F85" s="27" t="str">
        <x:v>Toddler</x:v>
      </x:c>
      <x:c r="G85" s="27" t="str">
        <x:v>Short sentences, sorting, and small quantities</x:v>
      </x:c>
      <x:c r="H85" s="27" t="str">
        <x:v>Science &amp; Engineering</x:v>
      </x:c>
      <x:c r="I85" s="27" t="str">
        <x:v>Properties</x:v>
      </x:c>
      <x:c r="J85" s="27" t="str">
        <x:v>Attribute description</x:v>
      </x:c>
      <x:c r="K85" s="27" t="str">
        <x:v>Describing observable properties such as color, texture, temperature, sound, flexibility, weight impression, or motion.</x:v>
      </x:c>
      <x:c r="L85" s="27" t="str">
        <x:v>Vocabulary, comparison, and multi-sensory exploration.</x:v>
      </x:c>
      <x:c r="M85" s="27" t="str">
        <x:v>S07-SCI-01</x:v>
      </x:c>
      <x:c r="N85" s="27" t="str">
        <x:v>G3 — Shared reference and symbol</x:v>
      </x:c>
      <x:c r="O85" s="27" t="str">
        <x:v>Sensory observation and action; mathematics/data; reading/writing evidence; computing/models; health and environmental/civic decisions.</x:v>
      </x:c>
      <x:c r="P85" s="27" t="str">
        <x:v>Property language enables explicit comparison, classification, and evidence statements.</x:v>
      </x:c>
      <x:c r="Q85" s="27" t="str">
        <x:v>S09-SCI-01</x:v>
      </x:c>
      <x:c r="R85" s="27" t="str">
        <x:v>Names or indicates at least one relevant property of an observed object.</x:v>
      </x:c>
      <x:c r="S85" s="27" t="str">
        <x:v>SRC02; SRC11</x:v>
      </x:c>
      <x:c r="T85" s="27" t="str">
        <x:v>Development varies; use observed performance and appropriate supports rather than age alone.</x:v>
      </x:c>
      <x:c r="U85" s="27" t="str"/>
      <x:c r="V85" s="27" t="str"/>
      <x:c r="W85" s="39" t="str"/>
      <x:c r="X85" s="39" t="str"/>
    </x:row>
    <x:row r="86">
      <x:c r="A86" s="27" t="str">
        <x:v>S08-ARTS-01</x:v>
      </x:c>
      <x:c r="B86" s="37" t="n">
        <x:v>82</x:v>
      </x:c>
      <x:c r="C86" s="27" t="str">
        <x:v>S08</x:v>
      </x:c>
      <x:c r="D86" s="37" t="n">
        <x:v>8</x:v>
      </x:c>
      <x:c r="E86" s="27" t="str">
        <x:v>24–30 months</x:v>
      </x:c>
      <x:c r="F86" s="27" t="str">
        <x:v>Toddler</x:v>
      </x:c>
      <x:c r="G86" s="27" t="str">
        <x:v>Short sentences, sorting, and small quantities</x:v>
      </x:c>
      <x:c r="H86" s="27" t="str">
        <x:v>Music &amp; Arts</x:v>
      </x:c>
      <x:c r="I86" s="27" t="str">
        <x:v>Visual art</x:v>
      </x:c>
      <x:c r="J86" s="27" t="str">
        <x:v>Controlled scribble</x:v>
      </x:c>
      <x:c r="K86" s="27" t="str">
        <x:v>Making intentional lines, dots, curves, or enclosed marks and noticing that movement changes the mark.</x:v>
      </x:c>
      <x:c r="L86" s="27" t="str">
        <x:v>Controlled placement, grasp, and imitation.</x:v>
      </x:c>
      <x:c r="M86" s="27" t="str">
        <x:v>S07-ARTS-01</x:v>
      </x:c>
      <x:c r="N86" s="27" t="str">
        <x:v>G3 — Shared reference and symbol</x:v>
      </x:c>
      <x:c r="O86" s="27" t="str">
        <x:v>Sensory discrimination; motor timing; language/prosody; mathematics/pattern; history/culture; emotion, design, and technology.</x:v>
      </x:c>
      <x:c r="P86" s="27" t="str">
        <x:v>Controlled mark-making prepares drawing forms, letter strokes, maps, and written notation.</x:v>
      </x:c>
      <x:c r="Q86" s="27" t="str">
        <x:v>S09-ARTS-01</x:v>
      </x:c>
      <x:c r="R86" s="27" t="str">
        <x:v>Varies direction or mark type intentionally and identifies the product as own work.</x:v>
      </x:c>
      <x:c r="S86" s="27" t="str">
        <x:v>SRC02; SRC13</x:v>
      </x:c>
      <x:c r="T86" s="27" t="str">
        <x:v>Development varies; use observed performance and appropriate supports rather than age alone.</x:v>
      </x:c>
      <x:c r="U86" s="27" t="str"/>
      <x:c r="V86" s="27" t="str"/>
      <x:c r="W86" s="39" t="str"/>
      <x:c r="X86" s="39" t="str"/>
    </x:row>
    <x:row r="87">
      <x:c r="A87" s="27" t="str">
        <x:v>S08-HLTH-01</x:v>
      </x:c>
      <x:c r="B87" s="37" t="n">
        <x:v>83</x:v>
      </x:c>
      <x:c r="C87" s="27" t="str">
        <x:v>S08</x:v>
      </x:c>
      <x:c r="D87" s="37" t="n">
        <x:v>8</x:v>
      </x:c>
      <x:c r="E87" s="27" t="str">
        <x:v>24–30 months</x:v>
      </x:c>
      <x:c r="F87" s="27" t="str">
        <x:v>Toddler</x:v>
      </x:c>
      <x:c r="G87" s="27" t="str">
        <x:v>Short sentences, sorting, and small quantities</x:v>
      </x:c>
      <x:c r="H87" s="27" t="str">
        <x:v>Physical &amp; Health</x:v>
      </x:c>
      <x:c r="I87" s="27" t="str">
        <x:v>Self-care</x:v>
      </x:c>
      <x:c r="J87" s="27" t="str">
        <x:v>Routine participation</x:v>
      </x:c>
      <x:c r="K87" s="27" t="str">
        <x:v>Taking active steps in dressing, feeding, washing, toileting readiness, and cleanup appropriate to the learner.</x:v>
      </x:c>
      <x:c r="L87" s="27" t="str">
        <x:v>Agency, motor control, and sequence memory.</x:v>
      </x:c>
      <x:c r="M87" s="27" t="str">
        <x:v>S07-HLTH-01</x:v>
      </x:c>
      <x:c r="N87" s="27" t="str">
        <x:v>G3 — Shared reference and symbol</x:v>
      </x:c>
      <x:c r="O87" s="27" t="str">
        <x:v>Motor/sensory development; life science; measurement/data; SEL/self-management; communication, safety, and decision-making.</x:v>
      </x:c>
      <x:c r="P87" s="27" t="str">
        <x:v>Routine participation builds independence, health knowledge, and procedural order.</x:v>
      </x:c>
      <x:c r="Q87" s="27" t="str">
        <x:v>S10-HLTH-01</x:v>
      </x:c>
      <x:c r="R87" s="27" t="str">
        <x:v>Completes one or more familiar self-care steps with decreasing assistance.</x:v>
      </x:c>
      <x:c r="S87" s="27" t="str">
        <x:v>SRC02; SRC03; SRC15</x:v>
      </x:c>
      <x:c r="T87" s="27" t="str">
        <x:v>Development varies; use observed performance and appropriate supports rather than age alone.</x:v>
      </x:c>
      <x:c r="U87" s="27" t="str"/>
      <x:c r="V87" s="27" t="str"/>
      <x:c r="W87" s="39" t="str"/>
      <x:c r="X87" s="39" t="str"/>
    </x:row>
    <x:row r="88">
      <x:c r="A88" s="27" t="str">
        <x:v>S09-LEARN-01</x:v>
      </x:c>
      <x:c r="B88" s="37" t="n">
        <x:v>84</x:v>
      </x:c>
      <x:c r="C88" s="27" t="str">
        <x:v>S09</x:v>
      </x:c>
      <x:c r="D88" s="37" t="n">
        <x:v>9</x:v>
      </x:c>
      <x:c r="E88" s="27" t="str">
        <x:v>30–36 months</x:v>
      </x:c>
      <x:c r="F88" s="27" t="str">
        <x:v>Toddler</x:v>
      </x:c>
      <x:c r="G88" s="27" t="str">
        <x:v>Questions, event order, and counting principles</x:v>
      </x:c>
      <x:c r="H88" s="27" t="str">
        <x:v>Learning Foundations</x:v>
      </x:c>
      <x:c r="I88" s="27" t="str">
        <x:v>Sequencing</x:v>
      </x:c>
      <x:c r="J88" s="27" t="str">
        <x:v>Two- or three-event order</x:v>
      </x:c>
      <x:c r="K88" s="27" t="str">
        <x:v>Representing a short familiar routine or event as first, next, and last through action, pictures, or language.</x:v>
      </x:c>
      <x:c r="L88" s="27" t="str">
        <x:v>Action sequences, short sentences, and memory.</x:v>
      </x:c>
      <x:c r="M88" s="27" t="str">
        <x:v>S08-LEARN-02</x:v>
      </x:c>
      <x:c r="N88" s="27" t="str">
        <x:v>G3 — Shared reference and symbol</x:v>
      </x:c>
      <x:c r="O88" s="27" t="str">
        <x:v>All domains: attention, memory, strategy choice, monitoring, retrieval, and transfer.</x:v>
      </x:c>
      <x:c r="P88" s="27" t="str">
        <x:v>Event order supports narrative, procedures, chronology, algorithms, and causal reasoning.</x:v>
      </x:c>
      <x:c r="Q88" s="27" t="str">
        <x:v>S09-LEARN-02</x:v>
      </x:c>
      <x:c r="R88" s="27" t="str">
        <x:v>Orders two or three familiar events and explains or enacts the sequence.</x:v>
      </x:c>
      <x:c r="S88" s="27" t="str">
        <x:v>SRC02; SRC05</x:v>
      </x:c>
      <x:c r="T88" s="27" t="str">
        <x:v>Development varies; use observed performance and appropriate supports rather than age alone.</x:v>
      </x:c>
      <x:c r="U88" s="27" t="str"/>
      <x:c r="V88" s="27" t="str"/>
      <x:c r="W88" s="39" t="str"/>
      <x:c r="X88" s="39" t="str"/>
    </x:row>
    <x:row r="89">
      <x:c r="A89" s="27" t="str">
        <x:v>S09-LEARN-02</x:v>
      </x:c>
      <x:c r="B89" s="37" t="n">
        <x:v>85</x:v>
      </x:c>
      <x:c r="C89" s="27" t="str">
        <x:v>S09</x:v>
      </x:c>
      <x:c r="D89" s="37" t="n">
        <x:v>9</x:v>
      </x:c>
      <x:c r="E89" s="27" t="str">
        <x:v>30–36 months</x:v>
      </x:c>
      <x:c r="F89" s="27" t="str">
        <x:v>Toddler</x:v>
      </x:c>
      <x:c r="G89" s="27" t="str">
        <x:v>Questions, event order, and counting principles</x:v>
      </x:c>
      <x:c r="H89" s="27" t="str">
        <x:v>Learning Foundations</x:v>
      </x:c>
      <x:c r="I89" s="27" t="str">
        <x:v>Reasoning</x:v>
      </x:c>
      <x:c r="J89" s="27" t="str">
        <x:v>Simple why explanation</x:v>
      </x:c>
      <x:c r="K89" s="27" t="str">
        <x:v>Giving a basic reason tied to an observed need, action, or outcome.</x:v>
      </x:c>
      <x:c r="L89" s="27" t="str">
        <x:v>Question-answer exchanges, cause–effect experience, and sentences.</x:v>
      </x:c>
      <x:c r="M89" s="27" t="str">
        <x:v>S09-LEARN-01</x:v>
      </x:c>
      <x:c r="N89" s="27" t="str">
        <x:v>G3 — Shared reference and symbol</x:v>
      </x:c>
      <x:c r="O89" s="27" t="str">
        <x:v>All domains: attention, memory, strategy choice, monitoring, retrieval, and transfer.</x:v>
      </x:c>
      <x:c r="P89" s="27" t="str">
        <x:v>Reason-giving is the bridge from association to explanations and arguments.</x:v>
      </x:c>
      <x:c r="Q89" s="27" t="str">
        <x:v>S10-LEARN-01</x:v>
      </x:c>
      <x:c r="R89" s="27" t="str">
        <x:v>Answers a familiar why question with a relevant cause or purpose.</x:v>
      </x:c>
      <x:c r="S89" s="27" t="str">
        <x:v>SRC02; SRC11</x:v>
      </x:c>
      <x:c r="T89" s="27" t="str">
        <x:v>Development varies; use observed performance and appropriate supports rather than age alone.</x:v>
      </x:c>
      <x:c r="U89" s="27" t="str"/>
      <x:c r="V89" s="27" t="str"/>
      <x:c r="W89" s="39" t="str"/>
      <x:c r="X89" s="39" t="str"/>
    </x:row>
    <x:row r="90">
      <x:c r="A90" s="27" t="str">
        <x:v>S09-SEL-01</x:v>
      </x:c>
      <x:c r="B90" s="37" t="n">
        <x:v>86</x:v>
      </x:c>
      <x:c r="C90" s="27" t="str">
        <x:v>S09</x:v>
      </x:c>
      <x:c r="D90" s="37" t="n">
        <x:v>9</x:v>
      </x:c>
      <x:c r="E90" s="27" t="str">
        <x:v>30–36 months</x:v>
      </x:c>
      <x:c r="F90" s="27" t="str">
        <x:v>Toddler</x:v>
      </x:c>
      <x:c r="G90" s="27" t="str">
        <x:v>Questions, event order, and counting principles</x:v>
      </x:c>
      <x:c r="H90" s="27" t="str">
        <x:v>Social-Emotional</x:v>
      </x:c>
      <x:c r="I90" s="27" t="str">
        <x:v>Self-regulation</x:v>
      </x:c>
      <x:c r="J90" s="27" t="str">
        <x:v>Named coping action</x:v>
      </x:c>
      <x:c r="K90" s="27" t="str">
        <x:v>Using a taught action such as asking for help, waiting with support, taking space, breathing, or naming a feeling.</x:v>
      </x:c>
      <x:c r="L90" s="27" t="str">
        <x:v>Emotion recognition, communication, and one-rule inhibition.</x:v>
      </x:c>
      <x:c r="M90" s="27" t="str">
        <x:v>S08-SEL-01</x:v>
      </x:c>
      <x:c r="N90" s="27" t="str">
        <x:v>G3 — Shared reference and symbol</x:v>
      </x:c>
      <x:c r="O90" s="27" t="str">
        <x:v>Language and communication; health; collaboration in science, arts, civics, and projects; responsible digital/financial decisions.</x:v>
      </x:c>
      <x:c r="P90" s="27" t="str">
        <x:v>An explicit strategy turns co-regulation into early self-management.</x:v>
      </x:c>
      <x:c r="Q90" s="27" t="str">
        <x:v>S09-SEL-02</x:v>
      </x:c>
      <x:c r="R90" s="27" t="str">
        <x:v>Selects or accepts a familiar coping action during manageable frustration.</x:v>
      </x:c>
      <x:c r="S90" s="27" t="str">
        <x:v>SRC02; SRC18</x:v>
      </x:c>
      <x:c r="T90" s="27" t="str">
        <x:v>Development varies; use observed performance and appropriate supports rather than age alone.</x:v>
      </x:c>
      <x:c r="U90" s="27" t="str"/>
      <x:c r="V90" s="27" t="str"/>
      <x:c r="W90" s="39" t="str"/>
      <x:c r="X90" s="39" t="str"/>
    </x:row>
    <x:row r="91">
      <x:c r="A91" s="27" t="str">
        <x:v>S09-SEL-02</x:v>
      </x:c>
      <x:c r="B91" s="37" t="n">
        <x:v>87</x:v>
      </x:c>
      <x:c r="C91" s="27" t="str">
        <x:v>S09</x:v>
      </x:c>
      <x:c r="D91" s="37" t="n">
        <x:v>9</x:v>
      </x:c>
      <x:c r="E91" s="27" t="str">
        <x:v>30–36 months</x:v>
      </x:c>
      <x:c r="F91" s="27" t="str">
        <x:v>Toddler</x:v>
      </x:c>
      <x:c r="G91" s="27" t="str">
        <x:v>Questions, event order, and counting principles</x:v>
      </x:c>
      <x:c r="H91" s="27" t="str">
        <x:v>Social-Emotional</x:v>
      </x:c>
      <x:c r="I91" s="27" t="str">
        <x:v>Play</x:v>
      </x:c>
      <x:c r="J91" s="27" t="str">
        <x:v>Associative play</x:v>
      </x:c>
      <x:c r="K91" s="27" t="str">
        <x:v>Sharing materials, ideas, or a pretend theme with peers while roles and goals remain flexible.</x:v>
      </x:c>
      <x:c r="L91" s="27" t="str">
        <x:v>Parallel engagement, turn exchange, and symbolic play.</x:v>
      </x:c>
      <x:c r="M91" s="27" t="str">
        <x:v>S09-SEL-01</x:v>
      </x:c>
      <x:c r="N91" s="27" t="str">
        <x:v>G3 — Shared reference and symbol</x:v>
      </x:c>
      <x:c r="O91" s="27" t="str">
        <x:v>Language and communication; health; collaboration in science, arts, civics, and projects; responsible digital/financial decisions.</x:v>
      </x:c>
      <x:c r="P91" s="27" t="str">
        <x:v>Associative play prepares negotiated roles, rules, collaborative plans, and perspective-taking.</x:v>
      </x:c>
      <x:c r="Q91" s="27" t="str">
        <x:v>S10-SEL-01</x:v>
      </x:c>
      <x:c r="R91" s="27" t="str">
        <x:v>Maintains a shared theme or material exchange through several peer turns.</x:v>
      </x:c>
      <x:c r="S91" s="27" t="str">
        <x:v>SRC02; SRC18</x:v>
      </x:c>
      <x:c r="T91" s="27" t="str">
        <x:v>Development varies; use observed performance and appropriate supports rather than age alone.</x:v>
      </x:c>
      <x:c r="U91" s="27" t="str"/>
      <x:c r="V91" s="27" t="str"/>
      <x:c r="W91" s="39" t="str"/>
      <x:c r="X91" s="39" t="str"/>
    </x:row>
    <x:row r="92">
      <x:c r="A92" s="27" t="str">
        <x:v>S09-LANG-01</x:v>
      </x:c>
      <x:c r="B92" s="37" t="n">
        <x:v>88</x:v>
      </x:c>
      <x:c r="C92" s="27" t="str">
        <x:v>S09</x:v>
      </x:c>
      <x:c r="D92" s="37" t="n">
        <x:v>9</x:v>
      </x:c>
      <x:c r="E92" s="27" t="str">
        <x:v>30–36 months</x:v>
      </x:c>
      <x:c r="F92" s="27" t="str">
        <x:v>Toddler</x:v>
      </x:c>
      <x:c r="G92" s="27" t="str">
        <x:v>Questions, event order, and counting principles</x:v>
      </x:c>
      <x:c r="H92" s="27" t="str">
        <x:v>Language &amp; Communication</x:v>
      </x:c>
      <x:c r="I92" s="27" t="str">
        <x:v>Narrative</x:v>
      </x:c>
      <x:c r="J92" s="27" t="str">
        <x:v>Personal event retell</x:v>
      </x:c>
      <x:c r="K92" s="27" t="str">
        <x:v>Communicating a past event with at least a participant and action, often with adult prompts.</x:v>
      </x:c>
      <x:c r="L92" s="27" t="str">
        <x:v>Event order, vocabulary, and short sentences.</x:v>
      </x:c>
      <x:c r="M92" s="27" t="str">
        <x:v>S08-LANG-02</x:v>
      </x:c>
      <x:c r="N92" s="27" t="str">
        <x:v>G3 — Shared reference and symbol</x:v>
      </x:c>
      <x:c r="O92" s="27" t="str">
        <x:v>Reading and writing; vocabulary for math/science/social studies; discussion, music prosody, and world-language learning.</x:v>
      </x:c>
      <x:c r="P92" s="27" t="str">
        <x:v>Retelling links memory to organized language and later reading comprehension and writing.</x:v>
      </x:c>
      <x:c r="Q92" s="27" t="str">
        <x:v>S10-LANG-01</x:v>
      </x:c>
      <x:c r="R92" s="27" t="str">
        <x:v>Tells what happened in a recent event with recognizable content.</x:v>
      </x:c>
      <x:c r="S92" s="27" t="str">
        <x:v>SRC02; SRC10</x:v>
      </x:c>
      <x:c r="T92" s="27" t="str">
        <x:v>Development varies; use observed performance and appropriate supports rather than age alone.</x:v>
      </x:c>
      <x:c r="U92" s="27" t="str"/>
      <x:c r="V92" s="27" t="str"/>
      <x:c r="W92" s="39" t="str"/>
      <x:c r="X92" s="39" t="str"/>
    </x:row>
    <x:row r="93">
      <x:c r="A93" s="27" t="str">
        <x:v>S09-READ-01</x:v>
      </x:c>
      <x:c r="B93" s="37" t="n">
        <x:v>89</x:v>
      </x:c>
      <x:c r="C93" s="27" t="str">
        <x:v>S09</x:v>
      </x:c>
      <x:c r="D93" s="37" t="n">
        <x:v>9</x:v>
      </x:c>
      <x:c r="E93" s="27" t="str">
        <x:v>30–36 months</x:v>
      </x:c>
      <x:c r="F93" s="27" t="str">
        <x:v>Toddler</x:v>
      </x:c>
      <x:c r="G93" s="27" t="str">
        <x:v>Questions, event order, and counting principles</x:v>
      </x:c>
      <x:c r="H93" s="27" t="str">
        <x:v>Reading</x:v>
      </x:c>
      <x:c r="I93" s="27" t="str">
        <x:v>Book knowledge</x:v>
      </x:c>
      <x:c r="J93" s="27" t="str">
        <x:v>Book handling and direction</x:v>
      </x:c>
      <x:c r="K93" s="27" t="str">
        <x:v>Treating a book as an ordered symbolic object: orienting it, turning pages, and attending across a sequence.</x:v>
      </x:c>
      <x:c r="L93" s="27" t="str">
        <x:v>Picture interpretation and routine participation.</x:v>
      </x:c>
      <x:c r="M93" s="27" t="str">
        <x:v>S08-READ-01</x:v>
      </x:c>
      <x:c r="N93" s="27" t="str">
        <x:v>G3 — Shared reference and symbol</x:v>
      </x:c>
      <x:c r="O93" s="27" t="str">
        <x:v>Oral language and writing; evidence in science/social studies; mathematical and technical problem interpretation; media verification.</x:v>
      </x:c>
      <x:c r="P93" s="27" t="str">
        <x:v>Book conventions allow attention to print order, story continuity, and page-level reference.</x:v>
      </x:c>
      <x:c r="Q93" s="27" t="str">
        <x:v>S09-READ-02</x:v>
      </x:c>
      <x:c r="R93" s="27" t="str">
        <x:v>Orients and moves through a familiar book in a generally conventional sequence.</x:v>
      </x:c>
      <x:c r="S93" s="27" t="str">
        <x:v>SRC02; SRC10</x:v>
      </x:c>
      <x:c r="T93" s="27" t="str">
        <x:v>Development varies; use observed performance and appropriate supports rather than age alone.</x:v>
      </x:c>
      <x:c r="U93" s="27" t="str"/>
      <x:c r="V93" s="27" t="str"/>
      <x:c r="W93" s="39" t="str"/>
      <x:c r="X93" s="39" t="str"/>
    </x:row>
    <x:row r="94">
      <x:c r="A94" s="27" t="str">
        <x:v>S09-READ-02</x:v>
      </x:c>
      <x:c r="B94" s="37" t="n">
        <x:v>90</x:v>
      </x:c>
      <x:c r="C94" s="27" t="str">
        <x:v>S09</x:v>
      </x:c>
      <x:c r="D94" s="37" t="n">
        <x:v>9</x:v>
      </x:c>
      <x:c r="E94" s="27" t="str">
        <x:v>30–36 months</x:v>
      </x:c>
      <x:c r="F94" s="27" t="str">
        <x:v>Toddler</x:v>
      </x:c>
      <x:c r="G94" s="27" t="str">
        <x:v>Questions, event order, and counting principles</x:v>
      </x:c>
      <x:c r="H94" s="27" t="str">
        <x:v>Reading</x:v>
      </x:c>
      <x:c r="I94" s="27" t="str">
        <x:v>Phonological awareness</x:v>
      </x:c>
      <x:c r="J94" s="27" t="str">
        <x:v>Sound play and rhyme sensitivity</x:v>
      </x:c>
      <x:c r="K94" s="27" t="str">
        <x:v>Noticing and joining repeated words, alliteration, rhyme, syllable beats, and playful sound patterns.</x:v>
      </x:c>
      <x:c r="L94" s="27" t="str">
        <x:v>Speech perception, rhythm echo, and vocabulary.</x:v>
      </x:c>
      <x:c r="M94" s="27" t="str">
        <x:v>S09-READ-01</x:v>
      </x:c>
      <x:c r="N94" s="27" t="str">
        <x:v>G3 — Shared reference and symbol</x:v>
      </x:c>
      <x:c r="O94" s="27" t="str">
        <x:v>Oral language and writing; evidence in science/social studies; mathematical and technical problem interpretation; media verification.</x:v>
      </x:c>
      <x:c r="P94" s="27" t="str">
        <x:v>Attention to sound form prepares explicit syllable, onset-rime, and phoneme work.</x:v>
      </x:c>
      <x:c r="Q94" s="27" t="str">
        <x:v>S10-READ-01</x:v>
      </x:c>
      <x:c r="R94" s="27" t="str">
        <x:v>Completes or recognizes a familiar rhyme or joins a repeated sound pattern.</x:v>
      </x:c>
      <x:c r="S94" s="27" t="str">
        <x:v>SRC02; SRC08; SRC10</x:v>
      </x:c>
      <x:c r="T94" s="27" t="str">
        <x:v>Development varies; use observed performance and appropriate supports rather than age alone.</x:v>
      </x:c>
      <x:c r="U94" s="27" t="str"/>
      <x:c r="V94" s="27" t="str"/>
      <x:c r="W94" s="39" t="str"/>
      <x:c r="X94" s="39" t="str"/>
    </x:row>
    <x:row r="95">
      <x:c r="A95" s="27" t="str">
        <x:v>S09-MATH-01</x:v>
      </x:c>
      <x:c r="B95" s="37" t="n">
        <x:v>91</x:v>
      </x:c>
      <x:c r="C95" s="27" t="str">
        <x:v>S09</x:v>
      </x:c>
      <x:c r="D95" s="37" t="n">
        <x:v>9</x:v>
      </x:c>
      <x:c r="E95" s="27" t="str">
        <x:v>30–36 months</x:v>
      </x:c>
      <x:c r="F95" s="27" t="str">
        <x:v>Toddler</x:v>
      </x:c>
      <x:c r="G95" s="27" t="str">
        <x:v>Questions, event order, and counting principles</x:v>
      </x:c>
      <x:c r="H95" s="27" t="str">
        <x:v>Mathematics</x:v>
      </x:c>
      <x:c r="I95" s="27" t="str">
        <x:v>Counting</x:v>
      </x:c>
      <x:c r="J95" s="27" t="str">
        <x:v>One-to-one counting of small sets</x:v>
      </x:c>
      <x:c r="K95" s="27" t="str">
        <x:v>Touching, moving, or visually tracking one object for each number word in a small collection.</x:v>
      </x:c>
      <x:c r="L95" s="27" t="str">
        <x:v>Stable number-word sequence and one-to-one correspondence.</x:v>
      </x:c>
      <x:c r="M95" s="27" t="str">
        <x:v>S08-MATH-02</x:v>
      </x:c>
      <x:c r="N95" s="27" t="str">
        <x:v>G3 — Shared reference and symbol</x:v>
      </x:c>
      <x:c r="O95" s="27" t="str">
        <x:v>Physical quantity and spatial action; science measurement/models; computing/algorithms; finance; music rhythm/pattern; geographic data.</x:v>
      </x:c>
      <x:c r="P95" s="27" t="str">
        <x:v>Coordinating one word per object is essential for accurate counting.</x:v>
      </x:c>
      <x:c r="Q95" s="27" t="str">
        <x:v>S09-MATH-02</x:v>
      </x:c>
      <x:c r="R95" s="27" t="str">
        <x:v>Counts a small set with one number word assigned to each item.</x:v>
      </x:c>
      <x:c r="S95" s="27" t="str">
        <x:v>SRC02; SRC07</x:v>
      </x:c>
      <x:c r="T95" s="27" t="str">
        <x:v>Development varies; use observed performance and appropriate supports rather than age alone.</x:v>
      </x:c>
      <x:c r="U95" s="27" t="str"/>
      <x:c r="V95" s="27" t="str"/>
      <x:c r="W95" s="39" t="str"/>
      <x:c r="X95" s="39" t="str"/>
    </x:row>
    <x:row r="96">
      <x:c r="A96" s="27" t="str">
        <x:v>S09-MATH-02</x:v>
      </x:c>
      <x:c r="B96" s="37" t="n">
        <x:v>92</x:v>
      </x:c>
      <x:c r="C96" s="27" t="str">
        <x:v>S09</x:v>
      </x:c>
      <x:c r="D96" s="37" t="n">
        <x:v>9</x:v>
      </x:c>
      <x:c r="E96" s="27" t="str">
        <x:v>30–36 months</x:v>
      </x:c>
      <x:c r="F96" s="27" t="str">
        <x:v>Toddler</x:v>
      </x:c>
      <x:c r="G96" s="27" t="str">
        <x:v>Questions, event order, and counting principles</x:v>
      </x:c>
      <x:c r="H96" s="27" t="str">
        <x:v>Mathematics</x:v>
      </x:c>
      <x:c r="I96" s="27" t="str">
        <x:v>Cardinality</x:v>
      </x:c>
      <x:c r="J96" s="27" t="str">
        <x:v>How-many meaning</x:v>
      </x:c>
      <x:c r="K96" s="27" t="str">
        <x:v>Understanding that the final number word in a counted small set answers how many.</x:v>
      </x:c>
      <x:c r="L96" s="27" t="str">
        <x:v>One-to-one counting and stable order.</x:v>
      </x:c>
      <x:c r="M96" s="27" t="str">
        <x:v>S09-MATH-01</x:v>
      </x:c>
      <x:c r="N96" s="27" t="str">
        <x:v>G3 — Shared reference and symbol</x:v>
      </x:c>
      <x:c r="O96" s="27" t="str">
        <x:v>Physical quantity and spatial action; science measurement/models; computing/algorithms; finance; music rhythm/pattern; geographic data.</x:v>
      </x:c>
      <x:c r="P96" s="27" t="str">
        <x:v>Cardinality converts a counting procedure into a quantity concept used in comparison and operations.</x:v>
      </x:c>
      <x:c r="Q96" s="27" t="str">
        <x:v>S09-MATH-03</x:v>
      </x:c>
      <x:c r="R96" s="27" t="str">
        <x:v>After counting, states the total without restarting when asked how many.</x:v>
      </x:c>
      <x:c r="S96" s="27" t="str">
        <x:v>SRC02; SRC07</x:v>
      </x:c>
      <x:c r="T96" s="27" t="str">
        <x:v>Development varies; use observed performance and appropriate supports rather than age alone.</x:v>
      </x:c>
      <x:c r="U96" s="27" t="str"/>
      <x:c r="V96" s="27" t="str"/>
      <x:c r="W96" s="39" t="str"/>
      <x:c r="X96" s="39" t="str"/>
    </x:row>
    <x:row r="97">
      <x:c r="A97" s="27" t="str">
        <x:v>S09-MATH-03</x:v>
      </x:c>
      <x:c r="B97" s="37" t="n">
        <x:v>93</x:v>
      </x:c>
      <x:c r="C97" s="27" t="str">
        <x:v>S09</x:v>
      </x:c>
      <x:c r="D97" s="37" t="n">
        <x:v>9</x:v>
      </x:c>
      <x:c r="E97" s="27" t="str">
        <x:v>30–36 months</x:v>
      </x:c>
      <x:c r="F97" s="27" t="str">
        <x:v>Toddler</x:v>
      </x:c>
      <x:c r="G97" s="27" t="str">
        <x:v>Questions, event order, and counting principles</x:v>
      </x:c>
      <x:c r="H97" s="27" t="str">
        <x:v>Mathematics</x:v>
      </x:c>
      <x:c r="I97" s="27" t="str">
        <x:v>Patterns</x:v>
      </x:c>
      <x:c r="J97" s="27" t="str">
        <x:v>Copying a simple repeating pattern</x:v>
      </x:c>
      <x:c r="K97" s="27" t="str">
        <x:v>Reproducing an AB movement, sound, object, or color pattern.</x:v>
      </x:c>
      <x:c r="L97" s="27" t="str">
        <x:v>Exact matching, sequencing, and sorting.</x:v>
      </x:c>
      <x:c r="M97" s="27" t="str">
        <x:v>S09-MATH-02</x:v>
      </x:c>
      <x:c r="N97" s="27" t="str">
        <x:v>G3 — Shared reference and symbol</x:v>
      </x:c>
      <x:c r="O97" s="27" t="str">
        <x:v>Physical quantity and spatial action; science measurement/models; computing/algorithms; finance; music rhythm/pattern; geographic data.</x:v>
      </x:c>
      <x:c r="P97" s="27" t="str">
        <x:v>Repeating units prepare generalization, skip counting, rhythm, functions, and structure.</x:v>
      </x:c>
      <x:c r="Q97" s="27" t="str">
        <x:v>S10-MATH-01</x:v>
      </x:c>
      <x:c r="R97" s="27" t="str">
        <x:v>Copies and continues an AB pattern for at least two repetitions.</x:v>
      </x:c>
      <x:c r="S97" s="27" t="str">
        <x:v>SRC02; SRC07</x:v>
      </x:c>
      <x:c r="T97" s="27" t="str">
        <x:v>Development varies; use observed performance and appropriate supports rather than age alone.</x:v>
      </x:c>
      <x:c r="U97" s="27" t="str"/>
      <x:c r="V97" s="27" t="str"/>
      <x:c r="W97" s="39" t="str"/>
      <x:c r="X97" s="39" t="str"/>
    </x:row>
    <x:row r="98">
      <x:c r="A98" s="27" t="str">
        <x:v>S09-SCI-01</x:v>
      </x:c>
      <x:c r="B98" s="37" t="n">
        <x:v>94</x:v>
      </x:c>
      <x:c r="C98" s="27" t="str">
        <x:v>S09</x:v>
      </x:c>
      <x:c r="D98" s="37" t="n">
        <x:v>9</x:v>
      </x:c>
      <x:c r="E98" s="27" t="str">
        <x:v>30–36 months</x:v>
      </x:c>
      <x:c r="F98" s="27" t="str">
        <x:v>Toddler</x:v>
      </x:c>
      <x:c r="G98" s="27" t="str">
        <x:v>Questions, event order, and counting principles</x:v>
      </x:c>
      <x:c r="H98" s="27" t="str">
        <x:v>Science &amp; Engineering</x:v>
      </x:c>
      <x:c r="I98" s="27" t="str">
        <x:v>Inquiry</x:v>
      </x:c>
      <x:c r="J98" s="27" t="str">
        <x:v>Question–observe–answer cycle</x:v>
      </x:c>
      <x:c r="K98" s="27" t="str">
        <x:v>Asking or receiving a concrete question, observing an object or event, and giving an answer tied to the observation.</x:v>
      </x:c>
      <x:c r="L98" s="27" t="str">
        <x:v>Questioning, property description, and persistence.</x:v>
      </x:c>
      <x:c r="M98" s="27" t="str">
        <x:v>S08-SCI-01</x:v>
      </x:c>
      <x:c r="N98" s="27" t="str">
        <x:v>G3 — Shared reference and symbol</x:v>
      </x:c>
      <x:c r="O98" s="27" t="str">
        <x:v>Sensory observation and action; mathematics/data; reading/writing evidence; computing/models; health and environmental/civic decisions.</x:v>
      </x:c>
      <x:c r="P98" s="27" t="str">
        <x:v>This complete inquiry loop organizes scientific attention and evidence.</x:v>
      </x:c>
      <x:c r="Q98" s="27" t="str">
        <x:v>S10-SCI-01</x:v>
      </x:c>
      <x:c r="R98" s="27" t="str">
        <x:v>Answers a concrete observation question by referring to what was seen, heard, touched, or measured informally.</x:v>
      </x:c>
      <x:c r="S98" s="27" t="str">
        <x:v>SRC02; SRC11</x:v>
      </x:c>
      <x:c r="T98" s="27" t="str">
        <x:v>Development varies; use observed performance and appropriate supports rather than age alone.</x:v>
      </x:c>
      <x:c r="U98" s="27" t="str"/>
      <x:c r="V98" s="27" t="str"/>
      <x:c r="W98" s="39" t="str"/>
      <x:c r="X98" s="39" t="str"/>
    </x:row>
    <x:row r="99">
      <x:c r="A99" s="27" t="str">
        <x:v>S09-ARTS-01</x:v>
      </x:c>
      <x:c r="B99" s="37" t="n">
        <x:v>95</x:v>
      </x:c>
      <x:c r="C99" s="27" t="str">
        <x:v>S09</x:v>
      </x:c>
      <x:c r="D99" s="37" t="n">
        <x:v>9</x:v>
      </x:c>
      <x:c r="E99" s="27" t="str">
        <x:v>30–36 months</x:v>
      </x:c>
      <x:c r="F99" s="27" t="str">
        <x:v>Toddler</x:v>
      </x:c>
      <x:c r="G99" s="27" t="str">
        <x:v>Questions, event order, and counting principles</x:v>
      </x:c>
      <x:c r="H99" s="27" t="str">
        <x:v>Music &amp; Arts</x:v>
      </x:c>
      <x:c r="I99" s="27" t="str">
        <x:v>Dramatic arts</x:v>
      </x:c>
      <x:c r="J99" s="27" t="str">
        <x:v>Role enactment</x:v>
      </x:c>
      <x:c r="K99" s="27" t="str">
        <x:v>Taking a simple role and using actions, language, objects, or costume cues to sustain it.</x:v>
      </x:c>
      <x:c r="L99" s="27" t="str">
        <x:v>Associative play, narrative, and symbolic representation.</x:v>
      </x:c>
      <x:c r="M99" s="27" t="str">
        <x:v>S08-ARTS-01</x:v>
      </x:c>
      <x:c r="N99" s="27" t="str">
        <x:v>G3 — Shared reference and symbol</x:v>
      </x:c>
      <x:c r="O99" s="27" t="str">
        <x:v>Sensory discrimination; motor timing; language/prosody; mathematics/pattern; history/culture; emotion, design, and technology.</x:v>
      </x:c>
      <x:c r="P99" s="27" t="str">
        <x:v>Role enactment develops perspective, sequence, dialogue, and dramatic structure.</x:v>
      </x:c>
      <x:c r="Q99" s="27" t="str">
        <x:v>S10-ARTS-01</x:v>
      </x:c>
      <x:c r="R99" s="27" t="str">
        <x:v>Sustains a recognizable pretend role through several related actions.</x:v>
      </x:c>
      <x:c r="S99" s="27" t="str">
        <x:v>SRC02; SRC13</x:v>
      </x:c>
      <x:c r="T99" s="27" t="str">
        <x:v>Development varies; use observed performance and appropriate supports rather than age alone.</x:v>
      </x:c>
      <x:c r="U99" s="27" t="str"/>
      <x:c r="V99" s="27" t="str"/>
      <x:c r="W99" s="39" t="str"/>
      <x:c r="X99" s="39" t="str"/>
    </x:row>
    <x:row r="100">
      <x:c r="A100" s="27" t="str">
        <x:v>S10-LEARN-01</x:v>
      </x:c>
      <x:c r="B100" s="37" t="n">
        <x:v>96</x:v>
      </x:c>
      <x:c r="C100" s="27" t="str">
        <x:v>S10</x:v>
      </x:c>
      <x:c r="D100" s="37" t="n">
        <x:v>10</x:v>
      </x:c>
      <x:c r="E100" s="27" t="str">
        <x:v>Age 3–4</x:v>
      </x:c>
      <x:c r="F100" s="27" t="str">
        <x:v>Preschool</x:v>
      </x:c>
      <x:c r="G100" s="27" t="str">
        <x:v>Concept networks and pre-academic systems</x:v>
      </x:c>
      <x:c r="H100" s="27" t="str">
        <x:v>Learning Foundations</x:v>
      </x:c>
      <x:c r="I100" s="27" t="str">
        <x:v>Executive function</x:v>
      </x:c>
      <x:c r="J100" s="27" t="str">
        <x:v>Two-rule task switching</x:v>
      </x:c>
      <x:c r="K100" s="27" t="str">
        <x:v>Remembering a simple sorting or game rule and changing to a new rule with explicit support.</x:v>
      </x:c>
      <x:c r="L100" s="27" t="str">
        <x:v>One-rule inhibition, sorting, and working memory.</x:v>
      </x:c>
      <x:c r="M100" s="27" t="str">
        <x:v>S09-LEARN-02</x:v>
      </x:c>
      <x:c r="N100" s="27" t="str">
        <x:v>G3 — Shared reference and symbol</x:v>
      </x:c>
      <x:c r="O100" s="27" t="str">
        <x:v>All domains: attention, memory, strategy choice, monitoring, retrieval, and transfer.</x:v>
      </x:c>
      <x:c r="P100" s="27" t="str">
        <x:v>Rule switching strengthens cognitive flexibility for new instructions and multidimensional classification.</x:v>
      </x:c>
      <x:c r="Q100" s="27" t="str">
        <x:v>S10-LEARN-02</x:v>
      </x:c>
      <x:c r="R100" s="27" t="str">
        <x:v>Completes a familiar rule, then follows a clearly modeled replacement rule.</x:v>
      </x:c>
      <x:c r="S100" s="27" t="str">
        <x:v>SRC02; SRC05; SRC18</x:v>
      </x:c>
      <x:c r="T100" s="27" t="str">
        <x:v>Development varies; use observed performance and appropriate supports rather than age alone.</x:v>
      </x:c>
      <x:c r="U100" s="27" t="str"/>
      <x:c r="V100" s="27" t="str"/>
      <x:c r="W100" s="39" t="str"/>
      <x:c r="X100" s="39" t="str"/>
    </x:row>
    <x:row r="101">
      <x:c r="A101" s="27" t="str">
        <x:v>S10-LEARN-02</x:v>
      </x:c>
      <x:c r="B101" s="37" t="n">
        <x:v>97</x:v>
      </x:c>
      <x:c r="C101" s="27" t="str">
        <x:v>S10</x:v>
      </x:c>
      <x:c r="D101" s="37" t="n">
        <x:v>10</x:v>
      </x:c>
      <x:c r="E101" s="27" t="str">
        <x:v>Age 3–4</x:v>
      </x:c>
      <x:c r="F101" s="27" t="str">
        <x:v>Preschool</x:v>
      </x:c>
      <x:c r="G101" s="27" t="str">
        <x:v>Concept networks and pre-academic systems</x:v>
      </x:c>
      <x:c r="H101" s="27" t="str">
        <x:v>Learning Foundations</x:v>
      </x:c>
      <x:c r="I101" s="27" t="str">
        <x:v>Planning</x:v>
      </x:c>
      <x:c r="J101" s="27" t="str">
        <x:v>Plan–do–review</x:v>
      </x:c>
      <x:c r="K101" s="27" t="str">
        <x:v>Stating or choosing a short play or construction plan, carrying it out, and discussing the result.</x:v>
      </x:c>
      <x:c r="L101" s="27" t="str">
        <x:v>Agency, event sequencing, and persistence.</x:v>
      </x:c>
      <x:c r="M101" s="27" t="str">
        <x:v>S10-LEARN-01</x:v>
      </x:c>
      <x:c r="N101" s="27" t="str">
        <x:v>G3 — Shared reference and symbol</x:v>
      </x:c>
      <x:c r="O101" s="27" t="str">
        <x:v>All domains: attention, memory, strategy choice, monitoring, retrieval, and transfer.</x:v>
      </x:c>
      <x:c r="P101" s="27" t="str">
        <x:v>Planning externalizes goals and supports monitoring, revision, and project work.</x:v>
      </x:c>
      <x:c r="Q101" s="27" t="str">
        <x:v>S11-LEARN-01</x:v>
      </x:c>
      <x:c r="R101" s="27" t="str">
        <x:v>Names a goal, takes related actions, and identifies what was made or learned.</x:v>
      </x:c>
      <x:c r="S101" s="27" t="str">
        <x:v>SRC02; SRC05</x:v>
      </x:c>
      <x:c r="T101" s="27" t="str">
        <x:v>Development varies; use observed performance and appropriate supports rather than age alone.</x:v>
      </x:c>
      <x:c r="U101" s="27" t="str"/>
      <x:c r="V101" s="27" t="str"/>
      <x:c r="W101" s="39" t="str"/>
      <x:c r="X101" s="39" t="str"/>
    </x:row>
    <x:row r="102">
      <x:c r="A102" s="27" t="str">
        <x:v>S10-SEL-01</x:v>
      </x:c>
      <x:c r="B102" s="37" t="n">
        <x:v>98</x:v>
      </x:c>
      <x:c r="C102" s="27" t="str">
        <x:v>S10</x:v>
      </x:c>
      <x:c r="D102" s="37" t="n">
        <x:v>10</x:v>
      </x:c>
      <x:c r="E102" s="27" t="str">
        <x:v>Age 3–4</x:v>
      </x:c>
      <x:c r="F102" s="27" t="str">
        <x:v>Preschool</x:v>
      </x:c>
      <x:c r="G102" s="27" t="str">
        <x:v>Concept networks and pre-academic systems</x:v>
      </x:c>
      <x:c r="H102" s="27" t="str">
        <x:v>Social-Emotional</x:v>
      </x:c>
      <x:c r="I102" s="27" t="str">
        <x:v>Perspective</x:v>
      </x:c>
      <x:c r="J102" s="27" t="str">
        <x:v>Different wants and knowledge</x:v>
      </x:c>
      <x:c r="K102" s="27" t="str">
        <x:v>Recognizing that another person may want, feel, see, or know something different.</x:v>
      </x:c>
      <x:c r="L102" s="27" t="str">
        <x:v>Emotion knowledge, role play, and conversation.</x:v>
      </x:c>
      <x:c r="M102" s="27" t="str">
        <x:v>S09-SEL-02</x:v>
      </x:c>
      <x:c r="N102" s="27" t="str">
        <x:v>G3 — Shared reference and symbol</x:v>
      </x:c>
      <x:c r="O102" s="27" t="str">
        <x:v>Language and communication; health; collaboration in science, arts, civics, and projects; responsible digital/financial decisions.</x:v>
      </x:c>
      <x:c r="P102" s="27" t="str">
        <x:v>Perspective-taking supports empathy, source viewpoint, conflict resolution, and audience awareness.</x:v>
      </x:c>
      <x:c r="Q102" s="27" t="str">
        <x:v>S10-SEL-02</x:v>
      </x:c>
      <x:c r="R102" s="27" t="str">
        <x:v>Explains a clear difference between own and another person’s preference or view.</x:v>
      </x:c>
      <x:c r="S102" s="27" t="str">
        <x:v>SRC02; SRC18</x:v>
      </x:c>
      <x:c r="T102" s="27" t="str">
        <x:v>Development varies; use observed performance and appropriate supports rather than age alone.</x:v>
      </x:c>
      <x:c r="U102" s="27" t="str"/>
      <x:c r="V102" s="27" t="str"/>
      <x:c r="W102" s="39" t="str"/>
      <x:c r="X102" s="39" t="str"/>
    </x:row>
    <x:row r="103">
      <x:c r="A103" s="27" t="str">
        <x:v>S10-SEL-02</x:v>
      </x:c>
      <x:c r="B103" s="37" t="n">
        <x:v>99</x:v>
      </x:c>
      <x:c r="C103" s="27" t="str">
        <x:v>S10</x:v>
      </x:c>
      <x:c r="D103" s="37" t="n">
        <x:v>10</x:v>
      </x:c>
      <x:c r="E103" s="27" t="str">
        <x:v>Age 3–4</x:v>
      </x:c>
      <x:c r="F103" s="27" t="str">
        <x:v>Preschool</x:v>
      </x:c>
      <x:c r="G103" s="27" t="str">
        <x:v>Concept networks and pre-academic systems</x:v>
      </x:c>
      <x:c r="H103" s="27" t="str">
        <x:v>Social-Emotional</x:v>
      </x:c>
      <x:c r="I103" s="27" t="str">
        <x:v>Collaboration</x:v>
      </x:c>
      <x:c r="J103" s="27" t="str">
        <x:v>Cooperative play plan</x:v>
      </x:c>
      <x:c r="K103" s="27" t="str">
        <x:v>Negotiating roles, materials, or a shared goal in play with adult support.</x:v>
      </x:c>
      <x:c r="L103" s="27" t="str">
        <x:v>Associative play, turn-taking, language, and coping.</x:v>
      </x:c>
      <x:c r="M103" s="27" t="str">
        <x:v>S10-SEL-01</x:v>
      </x:c>
      <x:c r="N103" s="27" t="str">
        <x:v>G3 — Shared reference and symbol</x:v>
      </x:c>
      <x:c r="O103" s="27" t="str">
        <x:v>Language and communication; health; collaboration in science, arts, civics, and projects; responsible digital/financial decisions.</x:v>
      </x:c>
      <x:c r="P103" s="27" t="str">
        <x:v>Cooperative planning is a precursor to group inquiry, ensemble performance, and team projects.</x:v>
      </x:c>
      <x:c r="Q103" s="27" t="str">
        <x:v>S11-SEL-01</x:v>
      </x:c>
      <x:c r="R103" s="27" t="str">
        <x:v>Participates in a shared plan with complementary roles for several minutes.</x:v>
      </x:c>
      <x:c r="S103" s="27" t="str">
        <x:v>SRC02; SRC18</x:v>
      </x:c>
      <x:c r="T103" s="27" t="str">
        <x:v>Development varies; use observed performance and appropriate supports rather than age alone.</x:v>
      </x:c>
      <x:c r="U103" s="27" t="str"/>
      <x:c r="V103" s="27" t="str"/>
      <x:c r="W103" s="39" t="str"/>
      <x:c r="X103" s="39" t="str"/>
    </x:row>
    <x:row r="104">
      <x:c r="A104" s="27" t="str">
        <x:v>S10-LANG-01</x:v>
      </x:c>
      <x:c r="B104" s="37" t="n">
        <x:v>100</x:v>
      </x:c>
      <x:c r="C104" s="27" t="str">
        <x:v>S10</x:v>
      </x:c>
      <x:c r="D104" s="37" t="n">
        <x:v>10</x:v>
      </x:c>
      <x:c r="E104" s="27" t="str">
        <x:v>Age 3–4</x:v>
      </x:c>
      <x:c r="F104" s="27" t="str">
        <x:v>Preschool</x:v>
      </x:c>
      <x:c r="G104" s="27" t="str">
        <x:v>Concept networks and pre-academic systems</x:v>
      </x:c>
      <x:c r="H104" s="27" t="str">
        <x:v>Language &amp; Communication</x:v>
      </x:c>
      <x:c r="I104" s="27" t="str">
        <x:v>Vocabulary</x:v>
      </x:c>
      <x:c r="J104" s="27" t="str">
        <x:v>Category and relation vocabulary</x:v>
      </x:c>
      <x:c r="K104" s="27" t="str">
        <x:v>Learning words through semantic groups and relations such as parts, functions, opposites, locations, and attributes.</x:v>
      </x:c>
      <x:c r="L104" s="27" t="str">
        <x:v>Functional grouping, sentences, and rich conversation.</x:v>
      </x:c>
      <x:c r="M104" s="27" t="str">
        <x:v>S09-LANG-01</x:v>
      </x:c>
      <x:c r="N104" s="27" t="str">
        <x:v>G3 — Shared reference and symbol</x:v>
      </x:c>
      <x:c r="O104" s="27" t="str">
        <x:v>Reading and writing; vocabulary for math/science/social studies; discussion, music prosody, and world-language learning.</x:v>
      </x:c>
      <x:c r="P104" s="27" t="str">
        <x:v>Connected word knowledge improves comprehension, retrieval, inference, and precise explanation.</x:v>
      </x:c>
      <x:c r="Q104" s="27" t="str">
        <x:v>S10-LANG-02</x:v>
      </x:c>
      <x:c r="R104" s="27" t="str">
        <x:v>Defines or sorts familiar words by an appropriate category or relation.</x:v>
      </x:c>
      <x:c r="S104" s="27" t="str">
        <x:v>SRC02; SRC10</x:v>
      </x:c>
      <x:c r="T104" s="27" t="str">
        <x:v>Development varies; use observed performance and appropriate supports rather than age alone.</x:v>
      </x:c>
      <x:c r="U104" s="27" t="str"/>
      <x:c r="V104" s="27" t="str"/>
      <x:c r="W104" s="39" t="str"/>
      <x:c r="X104" s="39" t="str"/>
    </x:row>
    <x:row r="105">
      <x:c r="A105" s="27" t="str">
        <x:v>S10-LANG-02</x:v>
      </x:c>
      <x:c r="B105" s="37" t="n">
        <x:v>101</x:v>
      </x:c>
      <x:c r="C105" s="27" t="str">
        <x:v>S10</x:v>
      </x:c>
      <x:c r="D105" s="37" t="n">
        <x:v>10</x:v>
      </x:c>
      <x:c r="E105" s="27" t="str">
        <x:v>Age 3–4</x:v>
      </x:c>
      <x:c r="F105" s="27" t="str">
        <x:v>Preschool</x:v>
      </x:c>
      <x:c r="G105" s="27" t="str">
        <x:v>Concept networks and pre-academic systems</x:v>
      </x:c>
      <x:c r="H105" s="27" t="str">
        <x:v>Language &amp; Communication</x:v>
      </x:c>
      <x:c r="I105" s="27" t="str">
        <x:v>Narrative</x:v>
      </x:c>
      <x:c r="J105" s="27" t="str">
        <x:v>Beginning–middle–end story</x:v>
      </x:c>
      <x:c r="K105" s="27" t="str">
        <x:v>Telling or reenacting a simple story with an initiating event, related actions, and an outcome.</x:v>
      </x:c>
      <x:c r="L105" s="27" t="str">
        <x:v>Event retell and three-event order.</x:v>
      </x:c>
      <x:c r="M105" s="27" t="str">
        <x:v>S10-LANG-01</x:v>
      </x:c>
      <x:c r="N105" s="27" t="str">
        <x:v>G3 — Shared reference and symbol</x:v>
      </x:c>
      <x:c r="O105" s="27" t="str">
        <x:v>Reading and writing; vocabulary for math/science/social studies; discussion, music prosody, and world-language learning.</x:v>
      </x:c>
      <x:c r="P105" s="27" t="str">
        <x:v>Narrative structure later organizes reading comprehension and composition.</x:v>
      </x:c>
      <x:c r="Q105" s="27" t="str">
        <x:v>S11-LANG-01</x:v>
      </x:c>
      <x:c r="R105" s="27" t="str">
        <x:v>Produces a coherent short story sequence using speech, pictures, action, or AAC.</x:v>
      </x:c>
      <x:c r="S105" s="27" t="str">
        <x:v>SRC02; SRC10</x:v>
      </x:c>
      <x:c r="T105" s="27" t="str">
        <x:v>Development varies; use observed performance and appropriate supports rather than age alone.</x:v>
      </x:c>
      <x:c r="U105" s="27" t="str"/>
      <x:c r="V105" s="27" t="str"/>
      <x:c r="W105" s="39" t="str"/>
      <x:c r="X105" s="39" t="str"/>
    </x:row>
    <x:row r="106">
      <x:c r="A106" s="27" t="str">
        <x:v>S10-READ-01</x:v>
      </x:c>
      <x:c r="B106" s="37" t="n">
        <x:v>102</x:v>
      </x:c>
      <x:c r="C106" s="27" t="str">
        <x:v>S10</x:v>
      </x:c>
      <x:c r="D106" s="37" t="n">
        <x:v>10</x:v>
      </x:c>
      <x:c r="E106" s="27" t="str">
        <x:v>Age 3–4</x:v>
      </x:c>
      <x:c r="F106" s="27" t="str">
        <x:v>Preschool</x:v>
      </x:c>
      <x:c r="G106" s="27" t="str">
        <x:v>Concept networks and pre-academic systems</x:v>
      </x:c>
      <x:c r="H106" s="27" t="str">
        <x:v>Reading</x:v>
      </x:c>
      <x:c r="I106" s="27" t="str">
        <x:v>Print concepts</x:v>
      </x:c>
      <x:c r="J106" s="27" t="str">
        <x:v>Print carries language</x:v>
      </x:c>
      <x:c r="K106" s="27" t="str">
        <x:v>Understanding that written marks convey a stable message and that English print is tracked in an organized direction across words and lines.</x:v>
      </x:c>
      <x:c r="L106" s="27" t="str">
        <x:v>Book knowledge, symbolic representation, and oral language.</x:v>
      </x:c>
      <x:c r="M106" s="27" t="str">
        <x:v>S09-READ-02</x:v>
      </x:c>
      <x:c r="N106" s="27" t="str">
        <x:v>G3 — Shared reference and symbol</x:v>
      </x:c>
      <x:c r="O106" s="27" t="str">
        <x:v>Oral language and writing; evidence in science/social studies; mathematical and technical problem interpretation; media verification.</x:v>
      </x:c>
      <x:c r="P106" s="27" t="str">
        <x:v>Print awareness lets instruction focus on letters, words, and decoding.</x:v>
      </x:c>
      <x:c r="Q106" s="27" t="str">
        <x:v>S10-READ-02</x:v>
      </x:c>
      <x:c r="R106" s="27" t="str">
        <x:v>Distinguishes print from pictures and tracks a short familiar line with guidance.</x:v>
      </x:c>
      <x:c r="S106" s="27" t="str">
        <x:v>SRC02; SRC08; SRC10</x:v>
      </x:c>
      <x:c r="T106" s="27" t="str">
        <x:v>Development varies; use observed performance and appropriate supports rather than age alone.</x:v>
      </x:c>
      <x:c r="U106" s="27" t="str"/>
      <x:c r="V106" s="27" t="str"/>
      <x:c r="W106" s="39" t="str"/>
      <x:c r="X106" s="39" t="str"/>
    </x:row>
    <x:row r="107">
      <x:c r="A107" s="27" t="str">
        <x:v>S10-READ-02</x:v>
      </x:c>
      <x:c r="B107" s="37" t="n">
        <x:v>103</x:v>
      </x:c>
      <x:c r="C107" s="27" t="str">
        <x:v>S10</x:v>
      </x:c>
      <x:c r="D107" s="37" t="n">
        <x:v>10</x:v>
      </x:c>
      <x:c r="E107" s="27" t="str">
        <x:v>Age 3–4</x:v>
      </x:c>
      <x:c r="F107" s="27" t="str">
        <x:v>Preschool</x:v>
      </x:c>
      <x:c r="G107" s="27" t="str">
        <x:v>Concept networks and pre-academic systems</x:v>
      </x:c>
      <x:c r="H107" s="27" t="str">
        <x:v>Reading</x:v>
      </x:c>
      <x:c r="I107" s="27" t="str">
        <x:v>Alphabet knowledge</x:v>
      </x:c>
      <x:c r="J107" s="27" t="str">
        <x:v>Name and environmental-letter recognition</x:v>
      </x:c>
      <x:c r="K107" s="27" t="str">
        <x:v>Recognizing own name and a growing set of letters in meaningful print.</x:v>
      </x:c>
      <x:c r="L107" s="27" t="str">
        <x:v>Visual matching and print awareness.</x:v>
      </x:c>
      <x:c r="M107" s="27" t="str">
        <x:v>S10-READ-01</x:v>
      </x:c>
      <x:c r="N107" s="27" t="str">
        <x:v>G3 — Shared reference and symbol</x:v>
      </x:c>
      <x:c r="O107" s="27" t="str">
        <x:v>Oral language and writing; evidence in science/social studies; mathematical and technical problem interpretation; media verification.</x:v>
      </x:c>
      <x:c r="P107" s="27" t="str">
        <x:v>Stable letter identities are needed to attach sounds and write conventional forms.</x:v>
      </x:c>
      <x:c r="Q107" s="27" t="str">
        <x:v>S10-READ-03</x:v>
      </x:c>
      <x:c r="R107" s="27" t="str">
        <x:v>Finds own name and identifies several letters across different examples.</x:v>
      </x:c>
      <x:c r="S107" s="27" t="str">
        <x:v>SRC02; SRC08; SRC10</x:v>
      </x:c>
      <x:c r="T107" s="27" t="str">
        <x:v>Development varies; use observed performance and appropriate supports rather than age alone.</x:v>
      </x:c>
      <x:c r="U107" s="27" t="str"/>
      <x:c r="V107" s="27" t="str"/>
      <x:c r="W107" s="39" t="str"/>
      <x:c r="X107" s="39" t="str"/>
    </x:row>
    <x:row r="108">
      <x:c r="A108" s="27" t="str">
        <x:v>S10-READ-03</x:v>
      </x:c>
      <x:c r="B108" s="37" t="n">
        <x:v>104</x:v>
      </x:c>
      <x:c r="C108" s="27" t="str">
        <x:v>S10</x:v>
      </x:c>
      <x:c r="D108" s="37" t="n">
        <x:v>10</x:v>
      </x:c>
      <x:c r="E108" s="27" t="str">
        <x:v>Age 3–4</x:v>
      </x:c>
      <x:c r="F108" s="27" t="str">
        <x:v>Preschool</x:v>
      </x:c>
      <x:c r="G108" s="27" t="str">
        <x:v>Concept networks and pre-academic systems</x:v>
      </x:c>
      <x:c r="H108" s="27" t="str">
        <x:v>Reading</x:v>
      </x:c>
      <x:c r="I108" s="27" t="str">
        <x:v>Phonological awareness</x:v>
      </x:c>
      <x:c r="J108" s="27" t="str">
        <x:v>Word and syllable segmentation</x:v>
      </x:c>
      <x:c r="K108" s="27" t="str">
        <x:v>Separating a short sentence into words orally and familiar words into syllable beats.</x:v>
      </x:c>
      <x:c r="L108" s="27" t="str">
        <x:v>Rhyme sensitivity, rhythm, and oral language.</x:v>
      </x:c>
      <x:c r="M108" s="27" t="str">
        <x:v>S10-READ-02</x:v>
      </x:c>
      <x:c r="N108" s="27" t="str">
        <x:v>G3 — Shared reference and symbol</x:v>
      </x:c>
      <x:c r="O108" s="27" t="str">
        <x:v>Oral language and writing; evidence in science/social studies; mathematical and technical problem interpretation; media verification.</x:v>
      </x:c>
      <x:c r="P108" s="27" t="str">
        <x:v>Larger sound-unit segmentation prepares onset-rime and phoneme segmentation.</x:v>
      </x:c>
      <x:c r="Q108" s="27" t="str">
        <x:v>S11-READ-01</x:v>
      </x:c>
      <x:c r="R108" s="27" t="str">
        <x:v>Claps or marks the syllables in familiar words and identifies separate words in a short spoken phrase.</x:v>
      </x:c>
      <x:c r="S108" s="27" t="str">
        <x:v>SRC02; SRC08; SRC10</x:v>
      </x:c>
      <x:c r="T108" s="27" t="str">
        <x:v>Development varies; use observed performance and appropriate supports rather than age alone.</x:v>
      </x:c>
      <x:c r="U108" s="27" t="str"/>
      <x:c r="V108" s="27" t="str"/>
      <x:c r="W108" s="39" t="str"/>
      <x:c r="X108" s="39" t="str"/>
    </x:row>
    <x:row r="109">
      <x:c r="A109" s="27" t="str">
        <x:v>S10-WRITE-01</x:v>
      </x:c>
      <x:c r="B109" s="37" t="n">
        <x:v>105</x:v>
      </x:c>
      <x:c r="C109" s="27" t="str">
        <x:v>S10</x:v>
      </x:c>
      <x:c r="D109" s="37" t="n">
        <x:v>10</x:v>
      </x:c>
      <x:c r="E109" s="27" t="str">
        <x:v>Age 3–4</x:v>
      </x:c>
      <x:c r="F109" s="27" t="str">
        <x:v>Preschool</x:v>
      </x:c>
      <x:c r="G109" s="27" t="str">
        <x:v>Concept networks and pre-academic systems</x:v>
      </x:c>
      <x:c r="H109" s="27" t="str">
        <x:v>Writing &amp; Language</x:v>
      </x:c>
      <x:c r="I109" s="27" t="str">
        <x:v>Early writing</x:v>
      </x:c>
      <x:c r="J109" s="27" t="str">
        <x:v>Meaningful drawing and letter-like forms</x:v>
      </x:c>
      <x:c r="K109" s="27" t="str">
        <x:v>Using drawing, scribble, letter-like forms, dictation, or known letters to record a message.</x:v>
      </x:c>
      <x:c r="L109" s="27" t="str">
        <x:v>Controlled marks, symbolic representation, and print carries language.</x:v>
      </x:c>
      <x:c r="M109" s="27" t="str">
        <x:v>FOUNDATION</x:v>
      </x:c>
      <x:c r="N109" s="27" t="str">
        <x:v>G3 — Shared reference and symbol</x:v>
      </x:c>
      <x:c r="O109" s="27" t="str">
        <x:v>Reading models; evidence from science/social studies; mathematical explanation; research, media, and presentation.</x:v>
      </x:c>
      <x:c r="P109" s="27" t="str">
        <x:v>Intentional message-making connects composition to transcription before conventional spelling.</x:v>
      </x:c>
      <x:c r="Q109" s="27" t="str">
        <x:v>S11-WRITE-01</x:v>
      </x:c>
      <x:c r="R109" s="27" t="str">
        <x:v>Explains a stable message represented by own marks or dictated text.</x:v>
      </x:c>
      <x:c r="S109" s="27" t="str">
        <x:v>SRC02; SRC10; SRC21</x:v>
      </x:c>
      <x:c r="T109" s="27" t="str">
        <x:v>Development varies; use observed performance and appropriate supports rather than age alone.</x:v>
      </x:c>
      <x:c r="U109" s="27" t="str"/>
      <x:c r="V109" s="27" t="str"/>
      <x:c r="W109" s="39" t="str"/>
      <x:c r="X109" s="39" t="str"/>
    </x:row>
    <x:row r="110">
      <x:c r="A110" s="27" t="str">
        <x:v>S10-MATH-01</x:v>
      </x:c>
      <x:c r="B110" s="37" t="n">
        <x:v>106</x:v>
      </x:c>
      <x:c r="C110" s="27" t="str">
        <x:v>S10</x:v>
      </x:c>
      <x:c r="D110" s="37" t="n">
        <x:v>10</x:v>
      </x:c>
      <x:c r="E110" s="27" t="str">
        <x:v>Age 3–4</x:v>
      </x:c>
      <x:c r="F110" s="27" t="str">
        <x:v>Preschool</x:v>
      </x:c>
      <x:c r="G110" s="27" t="str">
        <x:v>Concept networks and pre-academic systems</x:v>
      </x:c>
      <x:c r="H110" s="27" t="str">
        <x:v>Mathematics</x:v>
      </x:c>
      <x:c r="I110" s="27" t="str">
        <x:v>Number</x:v>
      </x:c>
      <x:c r="J110" s="27" t="str">
        <x:v>Counting and cardinality to about 5–10</x:v>
      </x:c>
      <x:c r="K110" s="27" t="str">
        <x:v>Coordinating stable order, one-to-one counting, and cardinality for small sets, with range expanding through experience.</x:v>
      </x:c>
      <x:c r="L110" s="27" t="str">
        <x:v>Stable count list, one-to-one counting, and how-many meaning.</x:v>
      </x:c>
      <x:c r="M110" s="27" t="str">
        <x:v>S09-MATH-03</x:v>
      </x:c>
      <x:c r="N110" s="27" t="str">
        <x:v>G3 — Shared reference and symbol</x:v>
      </x:c>
      <x:c r="O110" s="27" t="str">
        <x:v>Physical quantity and spatial action; science measurement/models; computing/algorithms; finance; music rhythm/pattern; geographic data.</x:v>
      </x:c>
      <x:c r="P110" s="27" t="str">
        <x:v>Reliable small-set counting supports numeral mapping, comparison, and concrete operations.</x:v>
      </x:c>
      <x:c r="Q110" s="27" t="str">
        <x:v>S10-MATH-02</x:v>
      </x:c>
      <x:c r="R110" s="27" t="str">
        <x:v>Counts an arranged or scattered small set and reports the total.</x:v>
      </x:c>
      <x:c r="S110" s="27" t="str">
        <x:v>SRC02; SRC07; SRC09</x:v>
      </x:c>
      <x:c r="T110" s="27" t="str">
        <x:v>Development varies; use observed performance and appropriate supports rather than age alone.</x:v>
      </x:c>
      <x:c r="U110" s="27" t="str"/>
      <x:c r="V110" s="27" t="str"/>
      <x:c r="W110" s="39" t="str"/>
      <x:c r="X110" s="39" t="str"/>
    </x:row>
    <x:row r="111">
      <x:c r="A111" s="27" t="str">
        <x:v>S10-MATH-02</x:v>
      </x:c>
      <x:c r="B111" s="37" t="n">
        <x:v>107</x:v>
      </x:c>
      <x:c r="C111" s="27" t="str">
        <x:v>S10</x:v>
      </x:c>
      <x:c r="D111" s="37" t="n">
        <x:v>10</x:v>
      </x:c>
      <x:c r="E111" s="27" t="str">
        <x:v>Age 3–4</x:v>
      </x:c>
      <x:c r="F111" s="27" t="str">
        <x:v>Preschool</x:v>
      </x:c>
      <x:c r="G111" s="27" t="str">
        <x:v>Concept networks and pre-academic systems</x:v>
      </x:c>
      <x:c r="H111" s="27" t="str">
        <x:v>Mathematics</x:v>
      </x:c>
      <x:c r="I111" s="27" t="str">
        <x:v>Geometry</x:v>
      </x:c>
      <x:c r="J111" s="27" t="str">
        <x:v>Common 2D shape recognition</x:v>
      </x:c>
      <x:c r="K111" s="27" t="str">
        <x:v>Recognizing circles, triangles, rectangles, squares, and other familiar shapes across size, color, and orientation.</x:v>
      </x:c>
      <x:c r="L111" s="27" t="str">
        <x:v>Object constancy, matching, and attribute language.</x:v>
      </x:c>
      <x:c r="M111" s="27" t="str">
        <x:v>S10-MATH-01</x:v>
      </x:c>
      <x:c r="N111" s="27" t="str">
        <x:v>G3 — Shared reference and symbol</x:v>
      </x:c>
      <x:c r="O111" s="27" t="str">
        <x:v>Physical quantity and spatial action; science measurement/models; computing/algorithms; finance; music rhythm/pattern; geographic data.</x:v>
      </x:c>
      <x:c r="P111" s="27" t="str">
        <x:v>Shape constancy supports properties, composition, spatial visualization, and later geometry.</x:v>
      </x:c>
      <x:c r="Q111" s="27" t="str">
        <x:v>S10-MATH-03</x:v>
      </x:c>
      <x:c r="R111" s="27" t="str">
        <x:v>Names or matches a common shape even when it is turned or presented in a new size.</x:v>
      </x:c>
      <x:c r="S111" s="27" t="str">
        <x:v>SRC02; SRC07; SRC09</x:v>
      </x:c>
      <x:c r="T111" s="27" t="str">
        <x:v>Development varies; use observed performance and appropriate supports rather than age alone.</x:v>
      </x:c>
      <x:c r="U111" s="27" t="str"/>
      <x:c r="V111" s="27" t="str"/>
      <x:c r="W111" s="39" t="str"/>
      <x:c r="X111" s="39" t="str"/>
    </x:row>
    <x:row r="112">
      <x:c r="A112" s="27" t="str">
        <x:v>S10-MATH-03</x:v>
      </x:c>
      <x:c r="B112" s="37" t="n">
        <x:v>108</x:v>
      </x:c>
      <x:c r="C112" s="27" t="str">
        <x:v>S10</x:v>
      </x:c>
      <x:c r="D112" s="37" t="n">
        <x:v>10</x:v>
      </x:c>
      <x:c r="E112" s="27" t="str">
        <x:v>Age 3–4</x:v>
      </x:c>
      <x:c r="F112" s="27" t="str">
        <x:v>Preschool</x:v>
      </x:c>
      <x:c r="G112" s="27" t="str">
        <x:v>Concept networks and pre-academic systems</x:v>
      </x:c>
      <x:c r="H112" s="27" t="str">
        <x:v>Mathematics</x:v>
      </x:c>
      <x:c r="I112" s="27" t="str">
        <x:v>Measurement</x:v>
      </x:c>
      <x:c r="J112" s="27" t="str">
        <x:v>Direct comparison</x:v>
      </x:c>
      <x:c r="K112" s="27" t="str">
        <x:v>Comparing two objects directly by length, height, mass impression, or capacity using aligned or matched conditions.</x:v>
      </x:c>
      <x:c r="L112" s="27" t="str">
        <x:v>Comparison language and spatial control.</x:v>
      </x:c>
      <x:c r="M112" s="27" t="str">
        <x:v>S10-MATH-02</x:v>
      </x:c>
      <x:c r="N112" s="27" t="str">
        <x:v>G3 — Shared reference and symbol</x:v>
      </x:c>
      <x:c r="O112" s="27" t="str">
        <x:v>Physical quantity and spatial action; science measurement/models; computing/algorithms; finance; music rhythm/pattern; geographic data.</x:v>
      </x:c>
      <x:c r="P112" s="27" t="str">
        <x:v>Direct comparison establishes the attribute before units and measuring tools are introduced.</x:v>
      </x:c>
      <x:c r="Q112" s="27" t="str">
        <x:v>S11-MATH-01</x:v>
      </x:c>
      <x:c r="R112" s="27" t="str">
        <x:v>Correctly identifies which of two aligned objects is longer/taller or which container holds more through testing.</x:v>
      </x:c>
      <x:c r="S112" s="27" t="str">
        <x:v>SRC02; SRC07; SRC09</x:v>
      </x:c>
      <x:c r="T112" s="27" t="str">
        <x:v>Development varies; use observed performance and appropriate supports rather than age alone.</x:v>
      </x:c>
      <x:c r="U112" s="27" t="str"/>
      <x:c r="V112" s="27" t="str"/>
      <x:c r="W112" s="39" t="str"/>
      <x:c r="X112" s="39" t="str"/>
    </x:row>
    <x:row r="113">
      <x:c r="A113" s="27" t="str">
        <x:v>S10-SCI-01</x:v>
      </x:c>
      <x:c r="B113" s="37" t="n">
        <x:v>109</x:v>
      </x:c>
      <x:c r="C113" s="27" t="str">
        <x:v>S10</x:v>
      </x:c>
      <x:c r="D113" s="37" t="n">
        <x:v>10</x:v>
      </x:c>
      <x:c r="E113" s="27" t="str">
        <x:v>Age 3–4</x:v>
      </x:c>
      <x:c r="F113" s="27" t="str">
        <x:v>Preschool</x:v>
      </x:c>
      <x:c r="G113" s="27" t="str">
        <x:v>Concept networks and pre-academic systems</x:v>
      </x:c>
      <x:c r="H113" s="27" t="str">
        <x:v>Science &amp; Engineering</x:v>
      </x:c>
      <x:c r="I113" s="27" t="str">
        <x:v>Evidence</x:v>
      </x:c>
      <x:c r="J113" s="27" t="str">
        <x:v>Observation versus guess</x:v>
      </x:c>
      <x:c r="K113" s="27" t="str">
        <x:v>Distinguishing what was directly noticed from an expectation or pretend idea in a concrete investigation.</x:v>
      </x:c>
      <x:c r="L113" s="27" t="str">
        <x:v>Question–observe–answer cycle and property language.</x:v>
      </x:c>
      <x:c r="M113" s="27" t="str">
        <x:v>S09-SCI-01</x:v>
      </x:c>
      <x:c r="N113" s="27" t="str">
        <x:v>G3 — Shared reference and symbol</x:v>
      </x:c>
      <x:c r="O113" s="27" t="str">
        <x:v>Sensory observation and action; mathematics/data; reading/writing evidence; computing/models; health and environmental/civic decisions.</x:v>
      </x:c>
      <x:c r="P113" s="27" t="str">
        <x:v>The distinction begins disciplined use of evidence.</x:v>
      </x:c>
      <x:c r="Q113" s="27" t="str">
        <x:v>S11-SCI-01</x:v>
      </x:c>
      <x:c r="R113" s="27" t="str">
        <x:v>Answers what did you notice with an observable feature or event.</x:v>
      </x:c>
      <x:c r="S113" s="27" t="str">
        <x:v>SRC02; SRC11</x:v>
      </x:c>
      <x:c r="T113" s="27" t="str">
        <x:v>Development varies; use observed performance and appropriate supports rather than age alone.</x:v>
      </x:c>
      <x:c r="U113" s="27" t="str"/>
      <x:c r="V113" s="27" t="str"/>
      <x:c r="W113" s="39" t="str"/>
      <x:c r="X113" s="39" t="str"/>
    </x:row>
    <x:row r="114">
      <x:c r="A114" s="27" t="str">
        <x:v>S10-ARTS-01</x:v>
      </x:c>
      <x:c r="B114" s="37" t="n">
        <x:v>110</x:v>
      </x:c>
      <x:c r="C114" s="27" t="str">
        <x:v>S10</x:v>
      </x:c>
      <x:c r="D114" s="37" t="n">
        <x:v>10</x:v>
      </x:c>
      <x:c r="E114" s="27" t="str">
        <x:v>Age 3–4</x:v>
      </x:c>
      <x:c r="F114" s="27" t="str">
        <x:v>Preschool</x:v>
      </x:c>
      <x:c r="G114" s="27" t="str">
        <x:v>Concept networks and pre-academic systems</x:v>
      </x:c>
      <x:c r="H114" s="27" t="str">
        <x:v>Music &amp; Arts</x:v>
      </x:c>
      <x:c r="I114" s="27" t="str">
        <x:v>Music</x:v>
      </x:c>
      <x:c r="J114" s="27" t="str">
        <x:v>Steady beat and contrast</x:v>
      </x:c>
      <x:c r="K114" s="27" t="str">
        <x:v>Maintaining a simple beat briefly and identifying clear contrasts such as fast/slow, loud/soft, high/low, same/different.</x:v>
      </x:c>
      <x:c r="L114" s="27" t="str">
        <x:v>Pulse experience, rhythm echo, and comparison language.</x:v>
      </x:c>
      <x:c r="M114" s="27" t="str">
        <x:v>S09-ARTS-01</x:v>
      </x:c>
      <x:c r="N114" s="27" t="str">
        <x:v>G3 — Shared reference and symbol</x:v>
      </x:c>
      <x:c r="O114" s="27" t="str">
        <x:v>Sensory discrimination; motor timing; language/prosody; mathematics/pattern; history/culture; emotion, design, and technology.</x:v>
      </x:c>
      <x:c r="P114" s="27" t="str">
        <x:v>Beat and contrast are organizing dimensions for rhythm, melody, expression, and notation.</x:v>
      </x:c>
      <x:c r="Q114" s="27" t="str">
        <x:v>S11-ARTS-01</x:v>
      </x:c>
      <x:c r="R114" s="27" t="str">
        <x:v>Moves or plays with a beat for several cycles and labels or demonstrates a requested contrast.</x:v>
      </x:c>
      <x:c r="S114" s="27" t="str">
        <x:v>SRC02; SRC13</x:v>
      </x:c>
      <x:c r="T114" s="27" t="str">
        <x:v>Development varies; use observed performance and appropriate supports rather than age alone.</x:v>
      </x:c>
      <x:c r="U114" s="27" t="str"/>
      <x:c r="V114" s="27" t="str"/>
      <x:c r="W114" s="39" t="str"/>
      <x:c r="X114" s="39" t="str"/>
    </x:row>
    <x:row r="115">
      <x:c r="A115" s="27" t="str">
        <x:v>S10-HLTH-01</x:v>
      </x:c>
      <x:c r="B115" s="37" t="n">
        <x:v>111</x:v>
      </x:c>
      <x:c r="C115" s="27" t="str">
        <x:v>S10</x:v>
      </x:c>
      <x:c r="D115" s="37" t="n">
        <x:v>10</x:v>
      </x:c>
      <x:c r="E115" s="27" t="str">
        <x:v>Age 3–4</x:v>
      </x:c>
      <x:c r="F115" s="27" t="str">
        <x:v>Preschool</x:v>
      </x:c>
      <x:c r="G115" s="27" t="str">
        <x:v>Concept networks and pre-academic systems</x:v>
      </x:c>
      <x:c r="H115" s="27" t="str">
        <x:v>Physical &amp; Health</x:v>
      </x:c>
      <x:c r="I115" s="27" t="str">
        <x:v>Motor</x:v>
      </x:c>
      <x:c r="J115" s="27" t="str">
        <x:v>Fundamental movement exploration</x:v>
      </x:c>
      <x:c r="K115" s="27" t="str">
        <x:v>Practicing running, jumping, balancing, throwing, catching, kicking, rolling, and accessible equivalents in varied safe contexts.</x:v>
      </x:c>
      <x:c r="L115" s="27" t="str">
        <x:v>Independent mobility, postural control, and imitation.</x:v>
      </x:c>
      <x:c r="M115" s="27" t="str">
        <x:v>S08-HLTH-01</x:v>
      </x:c>
      <x:c r="N115" s="27" t="str">
        <x:v>G3 — Shared reference and symbol</x:v>
      </x:c>
      <x:c r="O115" s="27" t="str">
        <x:v>Motor/sensory development; life science; measurement/data; SEL/self-management; communication, safety, and decision-making.</x:v>
      </x:c>
      <x:c r="P115" s="27" t="str">
        <x:v>Fundamental patterns are refined into games, dance, fitness, and lifelong movement competence.</x:v>
      </x:c>
      <x:c r="Q115" s="27" t="str">
        <x:v>S11-HLTH-01</x:v>
      </x:c>
      <x:c r="R115" s="27" t="str">
        <x:v>Performs several movement patterns with developing control and responds to movement cues.</x:v>
      </x:c>
      <x:c r="S115" s="27" t="str">
        <x:v>SRC02; SRC14</x:v>
      </x:c>
      <x:c r="T115" s="27" t="str">
        <x:v>Development varies; use observed performance and appropriate supports rather than age alone.</x:v>
      </x:c>
      <x:c r="U115" s="27" t="str"/>
      <x:c r="V115" s="27" t="str"/>
      <x:c r="W115" s="39" t="str"/>
      <x:c r="X115" s="39" t="str"/>
    </x:row>
    <x:row r="116">
      <x:c r="A116" s="27" t="str">
        <x:v>S11-LEARN-01</x:v>
      </x:c>
      <x:c r="B116" s="37" t="n">
        <x:v>112</x:v>
      </x:c>
      <x:c r="C116" s="27" t="str">
        <x:v>S11</x:v>
      </x:c>
      <x:c r="D116" s="37" t="n">
        <x:v>11</x:v>
      </x:c>
      <x:c r="E116" s="27" t="str">
        <x:v>Age 4–5</x:v>
      </x:c>
      <x:c r="F116" s="27" t="str">
        <x:v>Pre-K</x:v>
      </x:c>
      <x:c r="G116" s="27" t="str">
        <x:v>Symbol systems and kindergarten readiness</x:v>
      </x:c>
      <x:c r="H116" s="27" t="str">
        <x:v>Learning Foundations</x:v>
      </x:c>
      <x:c r="I116" s="27" t="str">
        <x:v>Executive function</x:v>
      </x:c>
      <x:c r="J116" s="27" t="str">
        <x:v>Multi-step classroom routine</x:v>
      </x:c>
      <x:c r="K116" s="27" t="str">
        <x:v>Holding and completing two or three familiar steps while managing materials and transitions with decreasing prompts.</x:v>
      </x:c>
      <x:c r="L116" s="27" t="str">
        <x:v>Event order, short-task persistence, and rule switching.</x:v>
      </x:c>
      <x:c r="M116" s="27" t="str">
        <x:v>S10-LEARN-02</x:v>
      </x:c>
      <x:c r="N116" s="27" t="str">
        <x:v>G3 — Shared reference and symbol</x:v>
      </x:c>
      <x:c r="O116" s="27" t="str">
        <x:v>All domains: attention, memory, strategy choice, monitoring, retrieval, and transfer.</x:v>
      </x:c>
      <x:c r="P116" s="27" t="str">
        <x:v>Multi-step routines support independent work, algorithms, experiments, and writing processes.</x:v>
      </x:c>
      <x:c r="Q116" s="27" t="str">
        <x:v>S11-LEARN-02</x:v>
      </x:c>
      <x:c r="R116" s="27" t="str">
        <x:v>Completes a familiar sequence and checks the expected end state.</x:v>
      </x:c>
      <x:c r="S116" s="27" t="str">
        <x:v>SRC02; SRC05; SRC25</x:v>
      </x:c>
      <x:c r="T116" s="27" t="str">
        <x:v>Development varies; use observed performance and appropriate supports rather than age alone.</x:v>
      </x:c>
      <x:c r="U116" s="27" t="str"/>
      <x:c r="V116" s="27" t="str"/>
      <x:c r="W116" s="39" t="str"/>
      <x:c r="X116" s="39" t="str"/>
    </x:row>
    <x:row r="117">
      <x:c r="A117" s="27" t="str">
        <x:v>S11-LEARN-02</x:v>
      </x:c>
      <x:c r="B117" s="37" t="n">
        <x:v>113</x:v>
      </x:c>
      <x:c r="C117" s="27" t="str">
        <x:v>S11</x:v>
      </x:c>
      <x:c r="D117" s="37" t="n">
        <x:v>11</x:v>
      </x:c>
      <x:c r="E117" s="27" t="str">
        <x:v>Age 4–5</x:v>
      </x:c>
      <x:c r="F117" s="27" t="str">
        <x:v>Pre-K</x:v>
      </x:c>
      <x:c r="G117" s="27" t="str">
        <x:v>Symbol systems and kindergarten readiness</x:v>
      </x:c>
      <x:c r="H117" s="27" t="str">
        <x:v>Learning Foundations</x:v>
      </x:c>
      <x:c r="I117" s="27" t="str">
        <x:v>Metacognition</x:v>
      </x:c>
      <x:c r="J117" s="27" t="str">
        <x:v>Confidence and help calibration</x:v>
      </x:c>
      <x:c r="K117" s="27" t="str">
        <x:v>Identifying whether a task feels known, challenging, or in need of help and selecting an appropriate response.</x:v>
      </x:c>
      <x:c r="L117" s="27" t="str">
        <x:v>Agency, emotion knowledge, and plan-review language.</x:v>
      </x:c>
      <x:c r="M117" s="27" t="str">
        <x:v>S11-LEARN-01</x:v>
      </x:c>
      <x:c r="N117" s="27" t="str">
        <x:v>G3 — Shared reference and symbol</x:v>
      </x:c>
      <x:c r="O117" s="27" t="str">
        <x:v>All domains: attention, memory, strategy choice, monitoring, retrieval, and transfer.</x:v>
      </x:c>
      <x:c r="P117" s="27" t="str">
        <x:v>Accurate help-seeking and confidence monitoring support efficient independent learning.</x:v>
      </x:c>
      <x:c r="Q117" s="27" t="str">
        <x:v>S12-LEARN-01</x:v>
      </x:c>
      <x:c r="R117" s="27" t="str">
        <x:v>Says or shows what is understood and requests a specific kind of help when needed.</x:v>
      </x:c>
      <x:c r="S117" s="27" t="str">
        <x:v>SRC02; SRC05; SRC18</x:v>
      </x:c>
      <x:c r="T117" s="27" t="str">
        <x:v>Development varies; use observed performance and appropriate supports rather than age alone.</x:v>
      </x:c>
      <x:c r="U117" s="27" t="str"/>
      <x:c r="V117" s="27" t="str"/>
      <x:c r="W117" s="39" t="str"/>
      <x:c r="X117" s="39" t="str"/>
    </x:row>
    <x:row r="118">
      <x:c r="A118" s="27" t="str">
        <x:v>S11-SEL-01</x:v>
      </x:c>
      <x:c r="B118" s="37" t="n">
        <x:v>114</x:v>
      </x:c>
      <x:c r="C118" s="27" t="str">
        <x:v>S11</x:v>
      </x:c>
      <x:c r="D118" s="37" t="n">
        <x:v>11</x:v>
      </x:c>
      <x:c r="E118" s="27" t="str">
        <x:v>Age 4–5</x:v>
      </x:c>
      <x:c r="F118" s="27" t="str">
        <x:v>Pre-K</x:v>
      </x:c>
      <x:c r="G118" s="27" t="str">
        <x:v>Symbol systems and kindergarten readiness</x:v>
      </x:c>
      <x:c r="H118" s="27" t="str">
        <x:v>Social-Emotional</x:v>
      </x:c>
      <x:c r="I118" s="27" t="str">
        <x:v>Responsible decisions</x:v>
      </x:c>
      <x:c r="J118" s="27" t="str">
        <x:v>Problem–options–choice</x:v>
      </x:c>
      <x:c r="K118" s="27" t="str">
        <x:v>Naming a simple social or practical problem, considering two safe options, and selecting one with support.</x:v>
      </x:c>
      <x:c r="L118" s="27" t="str">
        <x:v>Perspective-taking, coping, language, and cause–effect reasoning.</x:v>
      </x:c>
      <x:c r="M118" s="27" t="str">
        <x:v>S10-SEL-02</x:v>
      </x:c>
      <x:c r="N118" s="27" t="str">
        <x:v>G3 — Shared reference and symbol</x:v>
      </x:c>
      <x:c r="O118" s="27" t="str">
        <x:v>Language and communication; health; collaboration in science, arts, civics, and projects; responsible digital/financial decisions.</x:v>
      </x:c>
      <x:c r="P118" s="27" t="str">
        <x:v>Option comparison is the core structure of later decision analysis.</x:v>
      </x:c>
      <x:c r="Q118" s="27" t="str">
        <x:v>S12-SEL-01</x:v>
      </x:c>
      <x:c r="R118" s="27" t="str">
        <x:v>States the problem and chooses a workable option while considering another person or rule.</x:v>
      </x:c>
      <x:c r="S118" s="27" t="str">
        <x:v>SRC02; SRC18</x:v>
      </x:c>
      <x:c r="T118" s="27" t="str">
        <x:v>Development varies; use observed performance and appropriate supports rather than age alone.</x:v>
      </x:c>
      <x:c r="U118" s="27" t="str"/>
      <x:c r="V118" s="27" t="str"/>
      <x:c r="W118" s="39" t="str"/>
      <x:c r="X118" s="39" t="str"/>
    </x:row>
    <x:row r="119">
      <x:c r="A119" s="27" t="str">
        <x:v>S11-LANG-01</x:v>
      </x:c>
      <x:c r="B119" s="37" t="n">
        <x:v>115</x:v>
      </x:c>
      <x:c r="C119" s="27" t="str">
        <x:v>S11</x:v>
      </x:c>
      <x:c r="D119" s="37" t="n">
        <x:v>11</x:v>
      </x:c>
      <x:c r="E119" s="27" t="str">
        <x:v>Age 4–5</x:v>
      </x:c>
      <x:c r="F119" s="27" t="str">
        <x:v>Pre-K</x:v>
      </x:c>
      <x:c r="G119" s="27" t="str">
        <x:v>Symbol systems and kindergarten readiness</x:v>
      </x:c>
      <x:c r="H119" s="27" t="str">
        <x:v>Language &amp; Communication</x:v>
      </x:c>
      <x:c r="I119" s="27" t="str">
        <x:v>Oral language</x:v>
      </x:c>
      <x:c r="J119" s="27" t="str">
        <x:v>Detailed sentences and explanations</x:v>
      </x:c>
      <x:c r="K119" s="27" t="str">
        <x:v>Using compound or expanded sentences with temporal, causal, location, and descriptive relations.</x:v>
      </x:c>
      <x:c r="L119" s="27" t="str">
        <x:v>Short sentences, relation vocabulary, and event narrative.</x:v>
      </x:c>
      <x:c r="M119" s="27" t="str">
        <x:v>S10-LANG-02</x:v>
      </x:c>
      <x:c r="N119" s="27" t="str">
        <x:v>G3 — Shared reference and symbol</x:v>
      </x:c>
      <x:c r="O119" s="27" t="str">
        <x:v>Reading and writing; vocabulary for math/science/social studies; discussion, music prosody, and world-language learning.</x:v>
      </x:c>
      <x:c r="P119" s="27" t="str">
        <x:v>Detailed syntax supports complex directions, comprehension, scientific explanation, and writing.</x:v>
      </x:c>
      <x:c r="Q119" s="27" t="str">
        <x:v>S12-LANG-01</x:v>
      </x:c>
      <x:c r="R119" s="27" t="str">
        <x:v>Explains an event or process using multiple connected details and relation words.</x:v>
      </x:c>
      <x:c r="S119" s="27" t="str">
        <x:v>SRC02; SRC10; SRC25</x:v>
      </x:c>
      <x:c r="T119" s="27" t="str">
        <x:v>Development varies; use observed performance and appropriate supports rather than age alone.</x:v>
      </x:c>
      <x:c r="U119" s="27" t="str"/>
      <x:c r="V119" s="27" t="str"/>
      <x:c r="W119" s="39" t="str"/>
      <x:c r="X119" s="39" t="str"/>
    </x:row>
    <x:row r="120">
      <x:c r="A120" s="27" t="str">
        <x:v>S11-READ-01</x:v>
      </x:c>
      <x:c r="B120" s="37" t="n">
        <x:v>116</x:v>
      </x:c>
      <x:c r="C120" s="27" t="str">
        <x:v>S11</x:v>
      </x:c>
      <x:c r="D120" s="37" t="n">
        <x:v>11</x:v>
      </x:c>
      <x:c r="E120" s="27" t="str">
        <x:v>Age 4–5</x:v>
      </x:c>
      <x:c r="F120" s="27" t="str">
        <x:v>Pre-K</x:v>
      </x:c>
      <x:c r="G120" s="27" t="str">
        <x:v>Symbol systems and kindergarten readiness</x:v>
      </x:c>
      <x:c r="H120" s="27" t="str">
        <x:v>Reading</x:v>
      </x:c>
      <x:c r="I120" s="27" t="str">
        <x:v>Alphabet knowledge</x:v>
      </x:c>
      <x:c r="J120" s="27" t="str">
        <x:v>Uppercase/lowercase letter identity</x:v>
      </x:c>
      <x:c r="K120" s="27" t="str">
        <x:v>Recognizing and naming most letters across cases and common type variations, with emphasis on accurate identity rather than rote song alone.</x:v>
      </x:c>
      <x:c r="L120" s="27" t="str">
        <x:v>Meaningful letter recognition and visual discrimination.</x:v>
      </x:c>
      <x:c r="M120" s="27" t="str">
        <x:v>S10-READ-03</x:v>
      </x:c>
      <x:c r="N120" s="27" t="str">
        <x:v>G3 — Shared reference and symbol</x:v>
      </x:c>
      <x:c r="O120" s="27" t="str">
        <x:v>Oral language and writing; evidence in science/social studies; mathematical and technical problem interpretation; media verification.</x:v>
      </x:c>
      <x:c r="P120" s="27" t="str">
        <x:v>Automatic letter identity permits systematic letter-sound mapping and handwriting.</x:v>
      </x:c>
      <x:c r="Q120" s="27" t="str">
        <x:v>S11-READ-02</x:v>
      </x:c>
      <x:c r="R120" s="27" t="str">
        <x:v>Names or selects most taught letters in varied order and form.</x:v>
      </x:c>
      <x:c r="S120" s="27" t="str">
        <x:v>SRC02; SRC08; SRC10; SRC25</x:v>
      </x:c>
      <x:c r="T120" s="27" t="str">
        <x:v>Development varies; use observed performance and appropriate supports rather than age alone.</x:v>
      </x:c>
      <x:c r="U120" s="27" t="str"/>
      <x:c r="V120" s="27" t="str"/>
      <x:c r="W120" s="39" t="str"/>
      <x:c r="X120" s="39" t="str"/>
    </x:row>
    <x:row r="121">
      <x:c r="A121" s="27" t="str">
        <x:v>S11-READ-02</x:v>
      </x:c>
      <x:c r="B121" s="37" t="n">
        <x:v>117</x:v>
      </x:c>
      <x:c r="C121" s="27" t="str">
        <x:v>S11</x:v>
      </x:c>
      <x:c r="D121" s="37" t="n">
        <x:v>11</x:v>
      </x:c>
      <x:c r="E121" s="27" t="str">
        <x:v>Age 4–5</x:v>
      </x:c>
      <x:c r="F121" s="27" t="str">
        <x:v>Pre-K</x:v>
      </x:c>
      <x:c r="G121" s="27" t="str">
        <x:v>Symbol systems and kindergarten readiness</x:v>
      </x:c>
      <x:c r="H121" s="27" t="str">
        <x:v>Reading</x:v>
      </x:c>
      <x:c r="I121" s="27" t="str">
        <x:v>Phonological awareness</x:v>
      </x:c>
      <x:c r="J121" s="27" t="str">
        <x:v>Rhyme, onset, and initial sound</x:v>
      </x:c>
      <x:c r="K121" s="27" t="str">
        <x:v>Producing or recognizing rhymes and identifying when words share a beginning sound.</x:v>
      </x:c>
      <x:c r="L121" s="27" t="str">
        <x:v>Word/syllable awareness and vocabulary.</x:v>
      </x:c>
      <x:c r="M121" s="27" t="str">
        <x:v>S11-READ-01</x:v>
      </x:c>
      <x:c r="N121" s="27" t="str">
        <x:v>G3 — Shared reference and symbol</x:v>
      </x:c>
      <x:c r="O121" s="27" t="str">
        <x:v>Oral language and writing; evidence in science/social studies; mathematical and technical problem interpretation; media verification.</x:v>
      </x:c>
      <x:c r="P121" s="27" t="str">
        <x:v>Onset and initial-sound awareness narrow attention toward individual phonemes.</x:v>
      </x:c>
      <x:c r="Q121" s="27" t="str">
        <x:v>S11-READ-03</x:v>
      </x:c>
      <x:c r="R121" s="27" t="str">
        <x:v>Generates a rhyme in a familiar pattern or groups words by beginning sound.</x:v>
      </x:c>
      <x:c r="S121" s="27" t="str">
        <x:v>SRC02; SRC08; SRC10</x:v>
      </x:c>
      <x:c r="T121" s="27" t="str">
        <x:v>Development varies; use observed performance and appropriate supports rather than age alone.</x:v>
      </x:c>
      <x:c r="U121" s="27" t="str"/>
      <x:c r="V121" s="27" t="str"/>
      <x:c r="W121" s="39" t="str"/>
      <x:c r="X121" s="39" t="str"/>
    </x:row>
    <x:row r="122">
      <x:c r="A122" s="27" t="str">
        <x:v>S11-READ-03</x:v>
      </x:c>
      <x:c r="B122" s="37" t="n">
        <x:v>118</x:v>
      </x:c>
      <x:c r="C122" s="27" t="str">
        <x:v>S11</x:v>
      </x:c>
      <x:c r="D122" s="37" t="n">
        <x:v>11</x:v>
      </x:c>
      <x:c r="E122" s="27" t="str">
        <x:v>Age 4–5</x:v>
      </x:c>
      <x:c r="F122" s="27" t="str">
        <x:v>Pre-K</x:v>
      </x:c>
      <x:c r="G122" s="27" t="str">
        <x:v>Symbol systems and kindergarten readiness</x:v>
      </x:c>
      <x:c r="H122" s="27" t="str">
        <x:v>Reading</x:v>
      </x:c>
      <x:c r="I122" s="27" t="str">
        <x:v>Phonemic awareness</x:v>
      </x:c>
      <x:c r="J122" s="27" t="str">
        <x:v>Oral blending and segmentation introduction</x:v>
      </x:c>
      <x:c r="K122" s="27" t="str">
        <x:v>Combining two or three spoken sound units into a word and separating a simple word into large or individual sounds with manipulatives and support.</x:v>
      </x:c>
      <x:c r="L122" s="27" t="str">
        <x:v>Syllable/onset-rime awareness and sound attention.</x:v>
      </x:c>
      <x:c r="M122" s="27" t="str">
        <x:v>S11-READ-02</x:v>
      </x:c>
      <x:c r="N122" s="27" t="str">
        <x:v>G3 — Shared reference and symbol</x:v>
      </x:c>
      <x:c r="O122" s="27" t="str">
        <x:v>Oral language and writing; evidence in science/social studies; mathematical and technical problem interpretation; media verification.</x:v>
      </x:c>
      <x:c r="P122" s="27" t="str">
        <x:v>Blending is used in decoding; segmentation is used in spelling.</x:v>
      </x:c>
      <x:c r="Q122" s="27" t="str">
        <x:v>S11-READ-04</x:v>
      </x:c>
      <x:c r="R122" s="27" t="str">
        <x:v>Blends a modeled sequence into a familiar word or maps its sounds to counters.</x:v>
      </x:c>
      <x:c r="S122" s="27" t="str">
        <x:v>SRC02; SRC08; SRC10</x:v>
      </x:c>
      <x:c r="T122" s="27" t="str">
        <x:v>Development varies; use observed performance and appropriate supports rather than age alone.</x:v>
      </x:c>
      <x:c r="U122" s="27" t="str"/>
      <x:c r="V122" s="27" t="str"/>
      <x:c r="W122" s="39" t="str"/>
      <x:c r="X122" s="39" t="str"/>
    </x:row>
    <x:row r="123">
      <x:c r="A123" s="27" t="str">
        <x:v>S11-READ-04</x:v>
      </x:c>
      <x:c r="B123" s="37" t="n">
        <x:v>119</x:v>
      </x:c>
      <x:c r="C123" s="27" t="str">
        <x:v>S11</x:v>
      </x:c>
      <x:c r="D123" s="37" t="n">
        <x:v>11</x:v>
      </x:c>
      <x:c r="E123" s="27" t="str">
        <x:v>Age 4–5</x:v>
      </x:c>
      <x:c r="F123" s="27" t="str">
        <x:v>Pre-K</x:v>
      </x:c>
      <x:c r="G123" s="27" t="str">
        <x:v>Symbol systems and kindergarten readiness</x:v>
      </x:c>
      <x:c r="H123" s="27" t="str">
        <x:v>Reading</x:v>
      </x:c>
      <x:c r="I123" s="27" t="str">
        <x:v>Phonics</x:v>
      </x:c>
      <x:c r="J123" s="27" t="str">
        <x:v>Initial letter-sound correspondences</x:v>
      </x:c>
      <x:c r="K123" s="27" t="str">
        <x:v>Linking a growing set of common consonants and short-vowel sounds to their written letters.</x:v>
      </x:c>
      <x:c r="L123" s="27" t="str">
        <x:v>Letter identity and phoneme attention.</x:v>
      </x:c>
      <x:c r="M123" s="27" t="str">
        <x:v>S11-READ-03</x:v>
      </x:c>
      <x:c r="N123" s="27" t="str">
        <x:v>G3 — Shared reference and symbol</x:v>
      </x:c>
      <x:c r="O123" s="27" t="str">
        <x:v>Oral language and writing; evidence in science/social studies; mathematical and technical problem interpretation; media verification.</x:v>
      </x:c>
      <x:c r="P123" s="27" t="str">
        <x:v>Sound-symbol mappings are combined to decode and encode simple words.</x:v>
      </x:c>
      <x:c r="Q123" s="27" t="str">
        <x:v>S12-READ-01</x:v>
      </x:c>
      <x:c r="R123" s="27" t="str">
        <x:v>Produces a common sound for taught letters and selects a letter for a heard sound.</x:v>
      </x:c>
      <x:c r="S123" s="27" t="str">
        <x:v>SRC02; SRC08; SRC10</x:v>
      </x:c>
      <x:c r="T123" s="27" t="str">
        <x:v>Development varies; use observed performance and appropriate supports rather than age alone.</x:v>
      </x:c>
      <x:c r="U123" s="27" t="str"/>
      <x:c r="V123" s="27" t="str"/>
      <x:c r="W123" s="39" t="str"/>
      <x:c r="X123" s="39" t="str"/>
    </x:row>
    <x:row r="124">
      <x:c r="A124" s="27" t="str">
        <x:v>S11-WRITE-01</x:v>
      </x:c>
      <x:c r="B124" s="37" t="n">
        <x:v>120</x:v>
      </x:c>
      <x:c r="C124" s="27" t="str">
        <x:v>S11</x:v>
      </x:c>
      <x:c r="D124" s="37" t="n">
        <x:v>11</x:v>
      </x:c>
      <x:c r="E124" s="27" t="str">
        <x:v>Age 4–5</x:v>
      </x:c>
      <x:c r="F124" s="27" t="str">
        <x:v>Pre-K</x:v>
      </x:c>
      <x:c r="G124" s="27" t="str">
        <x:v>Symbol systems and kindergarten readiness</x:v>
      </x:c>
      <x:c r="H124" s="27" t="str">
        <x:v>Writing &amp; Language</x:v>
      </x:c>
      <x:c r="I124" s="27" t="str">
        <x:v>Handwriting</x:v>
      </x:c>
      <x:c r="J124" s="27" t="str">
        <x:v>Name and basic letter formation</x:v>
      </x:c>
      <x:c r="K124" s="27" t="str">
        <x:v>Writing own name and forming taught letters with an efficient, recognizable stroke sequence or accessible alternative input method.</x:v>
      </x:c>
      <x:c r="L124" s="27" t="str">
        <x:v>Controlled marks, letter identity, and fine-motor/tool access.</x:v>
      </x:c>
      <x:c r="M124" s="27" t="str">
        <x:v>S10-WRITE-01</x:v>
      </x:c>
      <x:c r="N124" s="27" t="str">
        <x:v>G3 — Shared reference and symbol</x:v>
      </x:c>
      <x:c r="O124" s="27" t="str">
        <x:v>Reading models; evidence from science/social studies; mathematical explanation; research, media, and presentation.</x:v>
      </x:c>
      <x:c r="P124" s="27" t="str">
        <x:v>Automatic transcription reduces cognitive load during composition.</x:v>
      </x:c>
      <x:c r="Q124" s="27" t="str">
        <x:v>S11-WRITE-02</x:v>
      </x:c>
      <x:c r="R124" s="27" t="str">
        <x:v>Produces recognizable name/letters while maintaining intended direction and order.</x:v>
      </x:c>
      <x:c r="S124" s="27" t="str">
        <x:v>SRC02; SRC10; SRC21</x:v>
      </x:c>
      <x:c r="T124" s="27" t="str">
        <x:v>Development varies; use observed performance and appropriate supports rather than age alone.</x:v>
      </x:c>
      <x:c r="U124" s="27" t="str"/>
      <x:c r="V124" s="27" t="str"/>
      <x:c r="W124" s="39" t="str"/>
      <x:c r="X124" s="39" t="str"/>
    </x:row>
    <x:row r="125">
      <x:c r="A125" s="27" t="str">
        <x:v>S11-WRITE-02</x:v>
      </x:c>
      <x:c r="B125" s="37" t="n">
        <x:v>121</x:v>
      </x:c>
      <x:c r="C125" s="27" t="str">
        <x:v>S11</x:v>
      </x:c>
      <x:c r="D125" s="37" t="n">
        <x:v>11</x:v>
      </x:c>
      <x:c r="E125" s="27" t="str">
        <x:v>Age 4–5</x:v>
      </x:c>
      <x:c r="F125" s="27" t="str">
        <x:v>Pre-K</x:v>
      </x:c>
      <x:c r="G125" s="27" t="str">
        <x:v>Symbol systems and kindergarten readiness</x:v>
      </x:c>
      <x:c r="H125" s="27" t="str">
        <x:v>Writing &amp; Language</x:v>
      </x:c>
      <x:c r="I125" s="27" t="str">
        <x:v>Spelling</x:v>
      </x:c>
      <x:c r="J125" s="27" t="str">
        <x:v>Sound-based invented spelling</x:v>
      </x:c>
      <x:c r="K125" s="27" t="str">
        <x:v>Representing salient sounds in simple spoken words with plausible letters while conventional mappings are still being learned.</x:v>
      </x:c>
      <x:c r="L125" s="27" t="str">
        <x:v>Phoneme segmentation and letter-sound knowledge.</x:v>
      </x:c>
      <x:c r="M125" s="27" t="str">
        <x:v>S11-WRITE-01</x:v>
      </x:c>
      <x:c r="N125" s="27" t="str">
        <x:v>G3 — Shared reference and symbol</x:v>
      </x:c>
      <x:c r="O125" s="27" t="str">
        <x:v>Reading models; evidence from science/social studies; mathematical explanation; research, media, and presentation.</x:v>
      </x:c>
      <x:c r="P125" s="27" t="str">
        <x:v>Invented spelling exposes encoding knowledge and prepares systematic spelling patterns.</x:v>
      </x:c>
      <x:c r="Q125" s="27" t="str">
        <x:v>S12-WRITE-01</x:v>
      </x:c>
      <x:c r="R125" s="27" t="str">
        <x:v>Writes at least initial and final sounds in familiar simple words using plausible letters.</x:v>
      </x:c>
      <x:c r="S125" s="27" t="str">
        <x:v>SRC02; SRC08; SRC10</x:v>
      </x:c>
      <x:c r="T125" s="27" t="str">
        <x:v>Development varies; use observed performance and appropriate supports rather than age alone.</x:v>
      </x:c>
      <x:c r="U125" s="27" t="str"/>
      <x:c r="V125" s="27" t="str"/>
      <x:c r="W125" s="39" t="str"/>
      <x:c r="X125" s="39" t="str"/>
    </x:row>
    <x:row r="126">
      <x:c r="A126" s="27" t="str">
        <x:v>S11-MATH-01</x:v>
      </x:c>
      <x:c r="B126" s="37" t="n">
        <x:v>122</x:v>
      </x:c>
      <x:c r="C126" s="27" t="str">
        <x:v>S11</x:v>
      </x:c>
      <x:c r="D126" s="37" t="n">
        <x:v>11</x:v>
      </x:c>
      <x:c r="E126" s="27" t="str">
        <x:v>Age 4–5</x:v>
      </x:c>
      <x:c r="F126" s="27" t="str">
        <x:v>Pre-K</x:v>
      </x:c>
      <x:c r="G126" s="27" t="str">
        <x:v>Symbol systems and kindergarten readiness</x:v>
      </x:c>
      <x:c r="H126" s="27" t="str">
        <x:v>Mathematics</x:v>
      </x:c>
      <x:c r="I126" s="27" t="str">
        <x:v>Number</x:v>
      </x:c>
      <x:c r="J126" s="27" t="str">
        <x:v>Count, compare, and represent to about 10–20</x:v>
      </x:c>
      <x:c r="K126" s="27" t="str">
        <x:v>Counting increasingly varied sets, comparing their quantities, and connecting amounts to written numerals in the emerging range.</x:v>
      </x:c>
      <x:c r="L126" s="27" t="str">
        <x:v>Reliable small-set cardinality and numeral recognition.</x:v>
      </x:c>
      <x:c r="M126" s="27" t="str">
        <x:v>S10-MATH-03</x:v>
      </x:c>
      <x:c r="N126" s="27" t="str">
        <x:v>G3 — Shared reference and symbol</x:v>
      </x:c>
      <x:c r="O126" s="27" t="str">
        <x:v>Physical quantity and spatial action; science measurement/models; computing/algorithms; finance; music rhythm/pattern; geographic data.</x:v>
      </x:c>
      <x:c r="P126" s="27" t="str">
        <x:v>Quantity–numeral mapping supports formal kindergarten operations and place-value preparation.</x:v>
      </x:c>
      <x:c r="Q126" s="27" t="str">
        <x:v>S11-MATH-02</x:v>
      </x:c>
      <x:c r="R126" s="27" t="str">
        <x:v>Counts a set, selects/writes its numeral, and identifies which of two small sets has more.</x:v>
      </x:c>
      <x:c r="S126" s="27" t="str">
        <x:v>SRC02; SRC07; SRC09; SRC25</x:v>
      </x:c>
      <x:c r="T126" s="27" t="str">
        <x:v>Development varies; use observed performance and appropriate supports rather than age alone.</x:v>
      </x:c>
      <x:c r="U126" s="27" t="str"/>
      <x:c r="V126" s="27" t="str"/>
      <x:c r="W126" s="39" t="str"/>
      <x:c r="X126" s="39" t="str"/>
    </x:row>
    <x:row r="127">
      <x:c r="A127" s="27" t="str">
        <x:v>S11-MATH-02</x:v>
      </x:c>
      <x:c r="B127" s="37" t="n">
        <x:v>123</x:v>
      </x:c>
      <x:c r="C127" s="27" t="str">
        <x:v>S11</x:v>
      </x:c>
      <x:c r="D127" s="37" t="n">
        <x:v>11</x:v>
      </x:c>
      <x:c r="E127" s="27" t="str">
        <x:v>Age 4–5</x:v>
      </x:c>
      <x:c r="F127" s="27" t="str">
        <x:v>Pre-K</x:v>
      </x:c>
      <x:c r="G127" s="27" t="str">
        <x:v>Symbol systems and kindergarten readiness</x:v>
      </x:c>
      <x:c r="H127" s="27" t="str">
        <x:v>Mathematics</x:v>
      </x:c>
      <x:c r="I127" s="27" t="str">
        <x:v>Operations</x:v>
      </x:c>
      <x:c r="J127" s="27" t="str">
        <x:v>Compose and decompose small quantities</x:v>
      </x:c>
      <x:c r="K127" s="27" t="str">
        <x:v>Making a whole from two parts and separating a small whole into parts with objects, fingers, drawings, or stories.</x:v>
      </x:c>
      <x:c r="L127" s="27" t="str">
        <x:v>Cardinality, comparison, and one-to-one tracking.</x:v>
      </x:c>
      <x:c r="M127" s="27" t="str">
        <x:v>S11-MATH-01</x:v>
      </x:c>
      <x:c r="N127" s="27" t="str">
        <x:v>G3 — Shared reference and symbol</x:v>
      </x:c>
      <x:c r="O127" s="27" t="str">
        <x:v>Physical quantity and spatial action; science measurement/models; computing/algorithms; finance; music rhythm/pattern; geographic data.</x:v>
      </x:c>
      <x:c r="P127" s="27" t="str">
        <x:v>Part–whole structure is the conceptual foundation of addition, subtraction, fact families, and fractions.</x:v>
      </x:c>
      <x:c r="Q127" s="27" t="str">
        <x:v>S11-MATH-03</x:v>
      </x:c>
      <x:c r="R127" s="27" t="str">
        <x:v>Shows more than one way to make a small target quantity and explains the two parts.</x:v>
      </x:c>
      <x:c r="S127" s="27" t="str">
        <x:v>SRC02; SRC07; SRC09</x:v>
      </x:c>
      <x:c r="T127" s="27" t="str">
        <x:v>Development varies; use observed performance and appropriate supports rather than age alone.</x:v>
      </x:c>
      <x:c r="U127" s="27" t="str"/>
      <x:c r="V127" s="27" t="str"/>
      <x:c r="W127" s="39" t="str"/>
      <x:c r="X127" s="39" t="str"/>
    </x:row>
    <x:row r="128">
      <x:c r="A128" s="27" t="str">
        <x:v>S11-MATH-03</x:v>
      </x:c>
      <x:c r="B128" s="37" t="n">
        <x:v>124</x:v>
      </x:c>
      <x:c r="C128" s="27" t="str">
        <x:v>S11</x:v>
      </x:c>
      <x:c r="D128" s="37" t="n">
        <x:v>11</x:v>
      </x:c>
      <x:c r="E128" s="27" t="str">
        <x:v>Age 4–5</x:v>
      </x:c>
      <x:c r="F128" s="27" t="str">
        <x:v>Pre-K</x:v>
      </x:c>
      <x:c r="G128" s="27" t="str">
        <x:v>Symbol systems and kindergarten readiness</x:v>
      </x:c>
      <x:c r="H128" s="27" t="str">
        <x:v>Mathematics</x:v>
      </x:c>
      <x:c r="I128" s="27" t="str">
        <x:v>Patterns</x:v>
      </x:c>
      <x:c r="J128" s="27" t="str">
        <x:v>Create and explain repeating patterns</x:v>
      </x:c>
      <x:c r="K128" s="27" t="str">
        <x:v>Extending and creating AB, AAB, ABB, or ABC patterns and identifying the repeating unit.</x:v>
      </x:c>
      <x:c r="L128" s="27" t="str">
        <x:v>Copying AB patterns, sorting, and sequence language.</x:v>
      </x:c>
      <x:c r="M128" s="27" t="str">
        <x:v>S11-MATH-02</x:v>
      </x:c>
      <x:c r="N128" s="27" t="str">
        <x:v>G3 — Shared reference and symbol</x:v>
      </x:c>
      <x:c r="O128" s="27" t="str">
        <x:v>Physical quantity and spatial action; science measurement/models; computing/algorithms; finance; music rhythm/pattern; geographic data.</x:v>
      </x:c>
      <x:c r="P128" s="27" t="str">
        <x:v>Naming the unit shifts pattern work from imitation to generalization.</x:v>
      </x:c>
      <x:c r="Q128" s="27" t="str">
        <x:v>S11-MATH-04</x:v>
      </x:c>
      <x:c r="R128" s="27" t="str">
        <x:v>Creates a repeating pattern and identifies the smallest part that repeats.</x:v>
      </x:c>
      <x:c r="S128" s="27" t="str">
        <x:v>SRC02; SRC07; SRC09</x:v>
      </x:c>
      <x:c r="T128" s="27" t="str">
        <x:v>Development varies; use observed performance and appropriate supports rather than age alone.</x:v>
      </x:c>
      <x:c r="U128" s="27" t="str"/>
      <x:c r="V128" s="27" t="str"/>
      <x:c r="W128" s="39" t="str"/>
      <x:c r="X128" s="39" t="str"/>
    </x:row>
    <x:row r="129">
      <x:c r="A129" s="27" t="str">
        <x:v>S11-MATH-04</x:v>
      </x:c>
      <x:c r="B129" s="37" t="n">
        <x:v>125</x:v>
      </x:c>
      <x:c r="C129" s="27" t="str">
        <x:v>S11</x:v>
      </x:c>
      <x:c r="D129" s="37" t="n">
        <x:v>11</x:v>
      </x:c>
      <x:c r="E129" s="27" t="str">
        <x:v>Age 4–5</x:v>
      </x:c>
      <x:c r="F129" s="27" t="str">
        <x:v>Pre-K</x:v>
      </x:c>
      <x:c r="G129" s="27" t="str">
        <x:v>Symbol systems and kindergarten readiness</x:v>
      </x:c>
      <x:c r="H129" s="27" t="str">
        <x:v>Mathematics</x:v>
      </x:c>
      <x:c r="I129" s="27" t="str">
        <x:v>Geometry</x:v>
      </x:c>
      <x:c r="J129" s="27" t="str">
        <x:v>Shape attributes and composition</x:v>
      </x:c>
      <x:c r="K129" s="27" t="str">
        <x:v>Describing shapes by sides, corners/vertices, curves, and spatial arrangement and composing larger shapes from smaller ones.</x:v>
      </x:c>
      <x:c r="L129" s="27" t="str">
        <x:v>Shape constancy, attribute vocabulary, and controlled placement.</x:v>
      </x:c>
      <x:c r="M129" s="27" t="str">
        <x:v>S11-MATH-03</x:v>
      </x:c>
      <x:c r="N129" s="27" t="str">
        <x:v>G3 — Shared reference and symbol</x:v>
      </x:c>
      <x:c r="O129" s="27" t="str">
        <x:v>Physical quantity and spatial action; science measurement/models; computing/algorithms; finance; music rhythm/pattern; geographic data.</x:v>
      </x:c>
      <x:c r="P129" s="27" t="str">
        <x:v>Properties and composition prepare classification, area, fractions, and geometric reasoning.</x:v>
      </x:c>
      <x:c r="Q129" s="27" t="str">
        <x:v>S12-MATH-01</x:v>
      </x:c>
      <x:c r="R129" s="27" t="str">
        <x:v>Explains at least one defining feature and builds or partitions a composite shape.</x:v>
      </x:c>
      <x:c r="S129" s="27" t="str">
        <x:v>SRC02; SRC07; SRC09</x:v>
      </x:c>
      <x:c r="T129" s="27" t="str">
        <x:v>Development varies; use observed performance and appropriate supports rather than age alone.</x:v>
      </x:c>
      <x:c r="U129" s="27" t="str"/>
      <x:c r="V129" s="27" t="str"/>
      <x:c r="W129" s="39" t="str"/>
      <x:c r="X129" s="39" t="str"/>
    </x:row>
    <x:row r="130">
      <x:c r="A130" s="27" t="str">
        <x:v>S11-SCI-01</x:v>
      </x:c>
      <x:c r="B130" s="37" t="n">
        <x:v>126</x:v>
      </x:c>
      <x:c r="C130" s="27" t="str">
        <x:v>S11</x:v>
      </x:c>
      <x:c r="D130" s="37" t="n">
        <x:v>11</x:v>
      </x:c>
      <x:c r="E130" s="27" t="str">
        <x:v>Age 4–5</x:v>
      </x:c>
      <x:c r="F130" s="27" t="str">
        <x:v>Pre-K</x:v>
      </x:c>
      <x:c r="G130" s="27" t="str">
        <x:v>Symbol systems and kindergarten readiness</x:v>
      </x:c>
      <x:c r="H130" s="27" t="str">
        <x:v>Science &amp; Engineering</x:v>
      </x:c>
      <x:c r="I130" s="27" t="str">
        <x:v>Inquiry</x:v>
      </x:c>
      <x:c r="J130" s="27" t="str">
        <x:v>Prediction–test–record–explain</x:v>
      </x:c>
      <x:c r="K130" s="27" t="str">
        <x:v>Making a concrete prediction, carrying out a fair simple test, recording with marks/pictures/counts, and explaining the observed result.</x:v>
      </x:c>
      <x:c r="L130" s="27" t="str">
        <x:v>Observation versus guess, question cycle, counting, and representation.</x:v>
      </x:c>
      <x:c r="M130" s="27" t="str">
        <x:v>S10-SCI-01</x:v>
      </x:c>
      <x:c r="N130" s="27" t="str">
        <x:v>G3 — Shared reference and symbol</x:v>
      </x:c>
      <x:c r="O130" s="27" t="str">
        <x:v>Sensory observation and action; mathematics/data; reading/writing evidence; computing/models; health and environmental/civic decisions.</x:v>
      </x:c>
      <x:c r="P130" s="27" t="str">
        <x:v>This cycle integrates evidence, data, causal reasoning, and communication.</x:v>
      </x:c>
      <x:c r="Q130" s="27" t="str">
        <x:v>S12-SCI-01</x:v>
      </x:c>
      <x:c r="R130" s="27" t="str">
        <x:v>Completes all four parts with adult scaffolding and refers to the recorded result.</x:v>
      </x:c>
      <x:c r="S130" s="27" t="str">
        <x:v>SRC02; SRC11; SRC25</x:v>
      </x:c>
      <x:c r="T130" s="27" t="str">
        <x:v>Development varies; use observed performance and appropriate supports rather than age alone.</x:v>
      </x:c>
      <x:c r="U130" s="27" t="str"/>
      <x:c r="V130" s="27" t="str"/>
      <x:c r="W130" s="39" t="str"/>
      <x:c r="X130" s="39" t="str"/>
    </x:row>
    <x:row r="131">
      <x:c r="A131" s="27" t="str">
        <x:v>S11-SST-01</x:v>
      </x:c>
      <x:c r="B131" s="37" t="n">
        <x:v>127</x:v>
      </x:c>
      <x:c r="C131" s="27" t="str">
        <x:v>S11</x:v>
      </x:c>
      <x:c r="D131" s="37" t="n">
        <x:v>11</x:v>
      </x:c>
      <x:c r="E131" s="27" t="str">
        <x:v>Age 4–5</x:v>
      </x:c>
      <x:c r="F131" s="27" t="str">
        <x:v>Pre-K</x:v>
      </x:c>
      <x:c r="G131" s="27" t="str">
        <x:v>Symbol systems and kindergarten readiness</x:v>
      </x:c>
      <x:c r="H131" s="27" t="str">
        <x:v>Social Studies</x:v>
      </x:c>
      <x:c r="I131" s="27" t="str">
        <x:v>Community</x:v>
      </x:c>
      <x:c r="J131" s="27" t="str">
        <x:v>Roles, rules, maps, and time</x:v>
      </x:c>
      <x:c r="K131" s="27" t="str">
        <x:v>Exploring family/community roles, reasons for shared rules, simple location maps, and personal past-present-future order.</x:v>
      </x:c>
      <x:c r="L131" s="27" t="str">
        <x:v>Perspective, spatial language, event sequence, and category vocabulary.</x:v>
      </x:c>
      <x:c r="M131" s="27" t="str">
        <x:v>FOUNDATION</x:v>
      </x:c>
      <x:c r="N131" s="27" t="str">
        <x:v>G3 — Shared reference and symbol</x:v>
      </x:c>
      <x:c r="O131" s="27" t="str">
        <x:v>Language/literacy and source evidence; maps/data/economics; ethics/SEL; media literacy; arts/culture; civic action.</x:v>
      </x:c>
      <x:c r="P131" s="27" t="str">
        <x:v>These concepts become civics, geography, history, and economics in school.</x:v>
      </x:c>
      <x:c r="Q131" s="27" t="str">
        <x:v>S12-SST-01</x:v>
      </x:c>
      <x:c r="R131" s="27" t="str">
        <x:v>Explains a familiar role or rule, uses a simple map, and orders personal events.</x:v>
      </x:c>
      <x:c r="S131" s="27" t="str">
        <x:v>SRC02; SRC12; SRC25</x:v>
      </x:c>
      <x:c r="T131" s="27" t="str">
        <x:v>Development varies; use observed performance and appropriate supports rather than age alone.</x:v>
      </x:c>
      <x:c r="U131" s="27" t="str"/>
      <x:c r="V131" s="27" t="str"/>
      <x:c r="W131" s="39" t="str"/>
      <x:c r="X131" s="39" t="str"/>
    </x:row>
    <x:row r="132">
      <x:c r="A132" s="27" t="str">
        <x:v>S11-ARTS-01</x:v>
      </x:c>
      <x:c r="B132" s="37" t="n">
        <x:v>128</x:v>
      </x:c>
      <x:c r="C132" s="27" t="str">
        <x:v>S11</x:v>
      </x:c>
      <x:c r="D132" s="37" t="n">
        <x:v>11</x:v>
      </x:c>
      <x:c r="E132" s="27" t="str">
        <x:v>Age 4–5</x:v>
      </x:c>
      <x:c r="F132" s="27" t="str">
        <x:v>Pre-K</x:v>
      </x:c>
      <x:c r="G132" s="27" t="str">
        <x:v>Symbol systems and kindergarten readiness</x:v>
      </x:c>
      <x:c r="H132" s="27" t="str">
        <x:v>Music &amp; Arts</x:v>
      </x:c>
      <x:c r="I132" s="27" t="str">
        <x:v>Music literacy</x:v>
      </x:c>
      <x:c r="J132" s="27" t="str">
        <x:v>Rhythm, pitch, and expressive symbols</x:v>
      </x:c>
      <x:c r="K132" s="27" t="str">
        <x:v>Echoing short rhythmic/melodic phrases and using pictures, icons, or gestures to represent beat, sound order, pitch direction, or dynamics.</x:v>
      </x:c>
      <x:c r="L132" s="27" t="str">
        <x:v>Steady beat, contrast, sequence, and symbolic marks.</x:v>
      </x:c>
      <x:c r="M132" s="27" t="str">
        <x:v>S10-ARTS-01</x:v>
      </x:c>
      <x:c r="N132" s="27" t="str">
        <x:v>G3 — Shared reference and symbol</x:v>
      </x:c>
      <x:c r="O132" s="27" t="str">
        <x:v>Sensory discrimination; motor timing; language/prosody; mathematics/pattern; history/culture; emotion, design, and technology.</x:v>
      </x:c>
      <x:c r="P132" s="27" t="str">
        <x:v>Representing sound prepares conventional notation, composition, and ensemble rehearsal.</x:v>
      </x:c>
      <x:c r="Q132" s="27" t="str">
        <x:v>S12-ARTS-01</x:v>
      </x:c>
      <x:c r="R132" s="27" t="str">
        <x:v>Performs a short echo and creates or follows a simple sound-symbol sequence.</x:v>
      </x:c>
      <x:c r="S132" s="27" t="str">
        <x:v>SRC02; SRC13</x:v>
      </x:c>
      <x:c r="T132" s="27" t="str">
        <x:v>Development varies; use observed performance and appropriate supports rather than age alone.</x:v>
      </x:c>
      <x:c r="U132" s="27" t="str"/>
      <x:c r="V132" s="27" t="str"/>
      <x:c r="W132" s="39" t="str"/>
      <x:c r="X132" s="39" t="str"/>
    </x:row>
    <x:row r="133">
      <x:c r="A133" s="27" t="str">
        <x:v>S11-HLTH-01</x:v>
      </x:c>
      <x:c r="B133" s="37" t="n">
        <x:v>129</x:v>
      </x:c>
      <x:c r="C133" s="27" t="str">
        <x:v>S11</x:v>
      </x:c>
      <x:c r="D133" s="37" t="n">
        <x:v>11</x:v>
      </x:c>
      <x:c r="E133" s="27" t="str">
        <x:v>Age 4–5</x:v>
      </x:c>
      <x:c r="F133" s="27" t="str">
        <x:v>Pre-K</x:v>
      </x:c>
      <x:c r="G133" s="27" t="str">
        <x:v>Symbol systems and kindergarten readiness</x:v>
      </x:c>
      <x:c r="H133" s="27" t="str">
        <x:v>Physical &amp; Health</x:v>
      </x:c>
      <x:c r="I133" s="27" t="str">
        <x:v>Health literacy</x:v>
      </x:c>
      <x:c r="J133" s="27" t="str">
        <x:v>Body, safety, hygiene, and help</x:v>
      </x:c>
      <x:c r="K133" s="27" t="str">
        <x:v>Naming basic body needs and boundaries, completing hygiene routines, following safety rules, and identifying trusted help.</x:v>
      </x:c>
      <x:c r="L133" s="27" t="str">
        <x:v>Self-care, vocabulary, routines, and problem-options-choice.</x:v>
      </x:c>
      <x:c r="M133" s="27" t="str">
        <x:v>S10-HLTH-01</x:v>
      </x:c>
      <x:c r="N133" s="27" t="str">
        <x:v>G3 — Shared reference and symbol</x:v>
      </x:c>
      <x:c r="O133" s="27" t="str">
        <x:v>Motor/sensory development; life science; measurement/data; SEL/self-management; communication, safety, and decision-making.</x:v>
      </x:c>
      <x:c r="P133" s="27" t="str">
        <x:v>Explicit health knowledge supports autonomy and protective decision-making.</x:v>
      </x:c>
      <x:c r="Q133" s="27" t="str">
        <x:v>S12-HLTH-01</x:v>
      </x:c>
      <x:c r="R133" s="27" t="str">
        <x:v>Demonstrates a hygiene/safety routine and identifies when and from whom to seek help.</x:v>
      </x:c>
      <x:c r="S133" s="27" t="str">
        <x:v>SRC15; SRC25</x:v>
      </x:c>
      <x:c r="T133" s="27" t="str">
        <x:v>Development varies; use observed performance and appropriate supports rather than age alone.</x:v>
      </x:c>
      <x:c r="U133" s="27" t="str"/>
      <x:c r="V133" s="27" t="str"/>
      <x:c r="W133" s="39" t="str"/>
      <x:c r="X133" s="39" t="str"/>
    </x:row>
    <x:row r="134">
      <x:c r="A134" s="27" t="str">
        <x:v>S11-COMP-01</x:v>
      </x:c>
      <x:c r="B134" s="37" t="n">
        <x:v>130</x:v>
      </x:c>
      <x:c r="C134" s="27" t="str">
        <x:v>S11</x:v>
      </x:c>
      <x:c r="D134" s="37" t="n">
        <x:v>11</x:v>
      </x:c>
      <x:c r="E134" s="27" t="str">
        <x:v>Age 4–5</x:v>
      </x:c>
      <x:c r="F134" s="27" t="str">
        <x:v>Pre-K</x:v>
      </x:c>
      <x:c r="G134" s="27" t="str">
        <x:v>Symbol systems and kindergarten readiness</x:v>
      </x:c>
      <x:c r="H134" s="27" t="str">
        <x:v>Computing &amp; Media</x:v>
      </x:c>
      <x:c r="I134" s="27" t="str">
        <x:v>Computational thinking</x:v>
      </x:c>
      <x:c r="J134" s="27" t="str">
        <x:v>Ordered commands and debugging</x:v>
      </x:c>
      <x:c r="K134" s="27" t="str">
        <x:v>Giving or following a short sequence of precise movement commands and correcting a step that prevents the goal.</x:v>
      </x:c>
      <x:c r="L134" s="27" t="str">
        <x:v>Multi-step routines, spatial language, and cause–effect reasoning.</x:v>
      </x:c>
      <x:c r="M134" s="27" t="str">
        <x:v>FOUNDATION</x:v>
      </x:c>
      <x:c r="N134" s="27" t="str">
        <x:v>G3 — Shared reference and symbol</x:v>
      </x:c>
      <x:c r="O134" s="27" t="str">
        <x:v>Mathematics/logic/data; language and media evidence; science/engineering models; art/design; civics, privacy, finance, and ethics.</x:v>
      </x:c>
      <x:c r="P134" s="27" t="str">
        <x:v>Sequencing and debugging are foundations for algorithms and programming.</x:v>
      </x:c>
      <x:c r="Q134" s="27" t="str">
        <x:v>S12-COMP-01</x:v>
      </x:c>
      <x:c r="R134" s="27" t="str">
        <x:v>Executes a short command sequence and identifies or fixes an incorrect step.</x:v>
      </x:c>
      <x:c r="S134" s="27" t="str">
        <x:v>SRC16</x:v>
      </x:c>
      <x:c r="T134" s="27" t="str">
        <x:v>Development varies; use observed performance and appropriate supports rather than age alone.</x:v>
      </x:c>
      <x:c r="U134" s="27" t="str"/>
      <x:c r="V134" s="27" t="str"/>
      <x:c r="W134" s="39" t="str"/>
      <x:c r="X134" s="39" t="str"/>
    </x:row>
    <x:row r="135">
      <x:c r="A135" s="27" t="str">
        <x:v>S12-LEARN-01</x:v>
      </x:c>
      <x:c r="B135" s="37" t="n">
        <x:v>131</x:v>
      </x:c>
      <x:c r="C135" s="27" t="str">
        <x:v>S12</x:v>
      </x:c>
      <x:c r="D135" s="37" t="n">
        <x:v>12</x:v>
      </x:c>
      <x:c r="E135" s="27" t="str">
        <x:v>Kindergarten</x:v>
      </x:c>
      <x:c r="F135" s="27" t="str">
        <x:v>K</x:v>
      </x:c>
      <x:c r="G135" s="27" t="str">
        <x:v>Foundational decoding, number, and inquiry</x:v>
      </x:c>
      <x:c r="H135" s="27" t="str">
        <x:v>Learning Foundations</x:v>
      </x:c>
      <x:c r="I135" s="27" t="str">
        <x:v>Classroom learning</x:v>
      </x:c>
      <x:c r="J135" s="27" t="str">
        <x:v>Independent task cycle</x:v>
      </x:c>
      <x:c r="K135" s="27" t="str">
        <x:v>Beginning a task after directions, using materials, persisting briefly, and completing or checking the expected result.</x:v>
      </x:c>
      <x:c r="L135" s="27" t="str">
        <x:v>Multi-step routine, help calibration, and regulation strategies.</x:v>
      </x:c>
      <x:c r="M135" s="27" t="str">
        <x:v>S11-LEARN-02</x:v>
      </x:c>
      <x:c r="N135" s="27" t="str">
        <x:v>G4/G5 — Concrete model linked to coordinated representations</x:v>
      </x:c>
      <x:c r="O135" s="27" t="str">
        <x:v>All domains: attention, memory, strategy choice, monitoring, retrieval, and transfer.</x:v>
      </x:c>
      <x:c r="P135" s="27" t="str">
        <x:v>A task cycle supports every formal lesson and gives teachers observable evidence of understanding.</x:v>
      </x:c>
      <x:c r="Q135" s="27" t="str">
        <x:v>S13-LEARN-01</x:v>
      </x:c>
      <x:c r="R135" s="27" t="str">
        <x:v>Completes a familiar academic task and checks it against a model or stated goal.</x:v>
      </x:c>
      <x:c r="S135" s="27" t="str">
        <x:v>SRC05; SRC06; SRC23; SRC25</x:v>
      </x:c>
      <x:c r="T135" s="27" t="str">
        <x:v>Development varies; use observed performance and appropriate supports rather than age alone.</x:v>
      </x:c>
      <x:c r="U135" s="27" t="str"/>
      <x:c r="V135" s="27" t="str"/>
      <x:c r="W135" s="39" t="str"/>
      <x:c r="X135" s="39" t="str"/>
    </x:row>
    <x:row r="136">
      <x:c r="A136" s="27" t="str">
        <x:v>S12-SEL-01</x:v>
      </x:c>
      <x:c r="B136" s="37" t="n">
        <x:v>132</x:v>
      </x:c>
      <x:c r="C136" s="27" t="str">
        <x:v>S12</x:v>
      </x:c>
      <x:c r="D136" s="37" t="n">
        <x:v>12</x:v>
      </x:c>
      <x:c r="E136" s="27" t="str">
        <x:v>Kindergarten</x:v>
      </x:c>
      <x:c r="F136" s="27" t="str">
        <x:v>K</x:v>
      </x:c>
      <x:c r="G136" s="27" t="str">
        <x:v>Foundational decoding, number, and inquiry</x:v>
      </x:c>
      <x:c r="H136" s="27" t="str">
        <x:v>Social-Emotional</x:v>
      </x:c>
      <x:c r="I136" s="27" t="str">
        <x:v>Community</x:v>
      </x:c>
      <x:c r="J136" s="27" t="str">
        <x:v>Rules, feelings, and repair</x:v>
      </x:c>
      <x:c r="K136" s="27" t="str">
        <x:v>Explaining classroom expectations, naming feelings and needs, and using a taught process to repair a small conflict.</x:v>
      </x:c>
      <x:c r="L136" s="27" t="str">
        <x:v>Emotion knowledge, perspective-taking, and problem-options-choice.</x:v>
      </x:c>
      <x:c r="M136" s="27" t="str">
        <x:v>S11-SEL-01</x:v>
      </x:c>
      <x:c r="N136" s="27" t="str">
        <x:v>G4/G5 — Concrete model linked to coordinated representations</x:v>
      </x:c>
      <x:c r="O136" s="27" t="str">
        <x:v>Language and communication; health; collaboration in science, arts, civics, and projects; responsible digital/financial decisions.</x:v>
      </x:c>
      <x:c r="P136" s="27" t="str">
        <x:v>A predictable social process preserves attention and enables collaborative learning.</x:v>
      </x:c>
      <x:c r="Q136" s="27" t="str">
        <x:v>S13-SEL-01</x:v>
      </x:c>
      <x:c r="R136" s="27" t="str">
        <x:v>States the problem, listens to another view, and participates in a workable repair.</x:v>
      </x:c>
      <x:c r="S136" s="27" t="str">
        <x:v>SRC18; SRC25</x:v>
      </x:c>
      <x:c r="T136" s="27" t="str">
        <x:v>Development varies; use observed performance and appropriate supports rather than age alone.</x:v>
      </x:c>
      <x:c r="U136" s="27" t="str"/>
      <x:c r="V136" s="27" t="str"/>
      <x:c r="W136" s="39" t="str"/>
      <x:c r="X136" s="39" t="str"/>
    </x:row>
    <x:row r="137">
      <x:c r="A137" s="27" t="str">
        <x:v>S12-LANG-01</x:v>
      </x:c>
      <x:c r="B137" s="37" t="n">
        <x:v>133</x:v>
      </x:c>
      <x:c r="C137" s="27" t="str">
        <x:v>S12</x:v>
      </x:c>
      <x:c r="D137" s="37" t="n">
        <x:v>12</x:v>
      </x:c>
      <x:c r="E137" s="27" t="str">
        <x:v>Kindergarten</x:v>
      </x:c>
      <x:c r="F137" s="27" t="str">
        <x:v>K</x:v>
      </x:c>
      <x:c r="G137" s="27" t="str">
        <x:v>Foundational decoding, number, and inquiry</x:v>
      </x:c>
      <x:c r="H137" s="27" t="str">
        <x:v>Language &amp; Communication</x:v>
      </x:c>
      <x:c r="I137" s="27" t="str">
        <x:v>Oral language</x:v>
      </x:c>
      <x:c r="J137" s="27" t="str">
        <x:v>Discussion and complete response</x:v>
      </x:c>
      <x:c r="K137" s="27" t="str">
        <x:v>Listening to a question or peer, taking a turn, and answering in a complete, relevant statement with details.</x:v>
      </x:c>
      <x:c r="L137" s="27" t="str">
        <x:v>Detailed oral sentences, vocabulary networks, and turn-taking.</x:v>
      </x:c>
      <x:c r="M137" s="27" t="str">
        <x:v>S11-LANG-01</x:v>
      </x:c>
      <x:c r="N137" s="27" t="str">
        <x:v>G4/G5 — Concrete model linked to coordinated representations</x:v>
      </x:c>
      <x:c r="O137" s="27" t="str">
        <x:v>Reading and writing; vocabulary for math/science/social studies; discussion, music prosody, and world-language learning.</x:v>
      </x:c>
      <x:c r="P137" s="27" t="str">
        <x:v>Complete oral responses rehearse the language structures later used in reading and writing.</x:v>
      </x:c>
      <x:c r="Q137" s="27" t="str">
        <x:v>S13-LANG-01</x:v>
      </x:c>
      <x:c r="R137" s="27" t="str">
        <x:v>Answers and asks on-topic questions during a short group discussion.</x:v>
      </x:c>
      <x:c r="S137" s="27" t="str">
        <x:v>SRC10; SRC25</x:v>
      </x:c>
      <x:c r="T137" s="27" t="str">
        <x:v>Development varies; use observed performance and appropriate supports rather than age alone.</x:v>
      </x:c>
      <x:c r="U137" s="27" t="str"/>
      <x:c r="V137" s="27" t="str"/>
      <x:c r="W137" s="39" t="str"/>
      <x:c r="X137" s="39" t="str"/>
    </x:row>
    <x:row r="138">
      <x:c r="A138" s="27" t="str">
        <x:v>S12-READ-01</x:v>
      </x:c>
      <x:c r="B138" s="37" t="n">
        <x:v>134</x:v>
      </x:c>
      <x:c r="C138" s="27" t="str">
        <x:v>S12</x:v>
      </x:c>
      <x:c r="D138" s="37" t="n">
        <x:v>12</x:v>
      </x:c>
      <x:c r="E138" s="27" t="str">
        <x:v>Kindergarten</x:v>
      </x:c>
      <x:c r="F138" s="27" t="str">
        <x:v>K</x:v>
      </x:c>
      <x:c r="G138" s="27" t="str">
        <x:v>Foundational decoding, number, and inquiry</x:v>
      </x:c>
      <x:c r="H138" s="27" t="str">
        <x:v>Reading</x:v>
      </x:c>
      <x:c r="I138" s="27" t="str">
        <x:v>Print concepts</x:v>
      </x:c>
      <x:c r="J138" s="27" t="str">
        <x:v>Word, sentence, spacing, and direction</x:v>
      </x:c>
      <x:c r="K138" s="27" t="str">
        <x:v>Identifying that a sentence is made of separate ordered words, begins in a conventional position, and is tracked left-to-right and line-to-line in English.</x:v>
      </x:c>
      <x:c r="L138" s="27" t="str">
        <x:v>Print carries language and book handling.</x:v>
      </x:c>
      <x:c r="M138" s="27" t="str">
        <x:v>S11-READ-04</x:v>
      </x:c>
      <x:c r="N138" s="27" t="str">
        <x:v>G4/G5 — Concrete model linked to coordinated representations</x:v>
      </x:c>
      <x:c r="O138" s="27" t="str">
        <x:v>Oral language and writing; evidence in science/social studies; mathematical and technical problem interpretation; media verification.</x:v>
      </x:c>
      <x:c r="P138" s="27" t="str">
        <x:v>Locating word boundaries and print order is necessary for matching speech to text.</x:v>
      </x:c>
      <x:c r="Q138" s="27" t="str">
        <x:v>S12-READ-02</x:v>
      </x:c>
      <x:c r="R138" s="27" t="str">
        <x:v>Tracks a short sentence and points to a requested word or boundary.</x:v>
      </x:c>
      <x:c r="S138" s="27" t="str">
        <x:v>SRC08; SRC10</x:v>
      </x:c>
      <x:c r="T138" s="27" t="str">
        <x:v>Development varies; use observed performance and appropriate supports rather than age alone.</x:v>
      </x:c>
      <x:c r="U138" s="27" t="str"/>
      <x:c r="V138" s="27" t="str"/>
      <x:c r="W138" s="39" t="str"/>
      <x:c r="X138" s="39" t="str"/>
    </x:row>
    <x:row r="139">
      <x:c r="A139" s="27" t="str">
        <x:v>S12-READ-02</x:v>
      </x:c>
      <x:c r="B139" s="37" t="n">
        <x:v>135</x:v>
      </x:c>
      <x:c r="C139" s="27" t="str">
        <x:v>S12</x:v>
      </x:c>
      <x:c r="D139" s="37" t="n">
        <x:v>12</x:v>
      </x:c>
      <x:c r="E139" s="27" t="str">
        <x:v>Kindergarten</x:v>
      </x:c>
      <x:c r="F139" s="27" t="str">
        <x:v>K</x:v>
      </x:c>
      <x:c r="G139" s="27" t="str">
        <x:v>Foundational decoding, number, and inquiry</x:v>
      </x:c>
      <x:c r="H139" s="27" t="str">
        <x:v>Reading</x:v>
      </x:c>
      <x:c r="I139" s="27" t="str">
        <x:v>Phonemic awareness</x:v>
      </x:c>
      <x:c r="J139" s="27" t="str">
        <x:v>Phoneme isolation, blending, and segmentation</x:v>
      </x:c>
      <x:c r="K139" s="27" t="str">
        <x:v>Identifying beginning, ending, and later medial sounds; blending spoken phonemes into a word; and segmenting simple words into phonemes.</x:v>
      </x:c>
      <x:c r="L139" s="27" t="str">
        <x:v>Rhyme/onset work, oral blending introduction, and clear spoken vocabulary.</x:v>
      </x:c>
      <x:c r="M139" s="27" t="str">
        <x:v>S12-READ-01</x:v>
      </x:c>
      <x:c r="N139" s="27" t="str">
        <x:v>G4/G5 — Concrete model linked to coordinated representations</x:v>
      </x:c>
      <x:c r="O139" s="27" t="str">
        <x:v>Oral language and writing; evidence in science/social studies; mathematical and technical problem interpretation; media verification.</x:v>
      </x:c>
      <x:c r="P139" s="27" t="str">
        <x:v>Blending supports decoding and segmentation supports spelling; both make the alphabetic principle usable.</x:v>
      </x:c>
      <x:c r="Q139" s="27" t="str">
        <x:v>S12-READ-03</x:v>
      </x:c>
      <x:c r="R139" s="27" t="str">
        <x:v>Orally blends and segments taught simple words without print.</x:v>
      </x:c>
      <x:c r="S139" s="27" t="str">
        <x:v>SRC08; SRC10</x:v>
      </x:c>
      <x:c r="T139" s="27" t="str">
        <x:v>Development varies; use observed performance and appropriate supports rather than age alone.</x:v>
      </x:c>
      <x:c r="U139" s="27" t="str"/>
      <x:c r="V139" s="27" t="str"/>
      <x:c r="W139" s="39" t="str"/>
      <x:c r="X139" s="39" t="str"/>
    </x:row>
    <x:row r="140">
      <x:c r="A140" s="27" t="str">
        <x:v>S12-READ-03</x:v>
      </x:c>
      <x:c r="B140" s="37" t="n">
        <x:v>136</x:v>
      </x:c>
      <x:c r="C140" s="27" t="str">
        <x:v>S12</x:v>
      </x:c>
      <x:c r="D140" s="37" t="n">
        <x:v>12</x:v>
      </x:c>
      <x:c r="E140" s="27" t="str">
        <x:v>Kindergarten</x:v>
      </x:c>
      <x:c r="F140" s="27" t="str">
        <x:v>K</x:v>
      </x:c>
      <x:c r="G140" s="27" t="str">
        <x:v>Foundational decoding, number, and inquiry</x:v>
      </x:c>
      <x:c r="H140" s="27" t="str">
        <x:v>Reading</x:v>
      </x:c>
      <x:c r="I140" s="27" t="str">
        <x:v>Phonics</x:v>
      </x:c>
      <x:c r="J140" s="27" t="str">
        <x:v>Alphabetic principle</x:v>
      </x:c>
      <x:c r="K140" s="27" t="str">
        <x:v>Understanding that graphemes represent phonemes and applying common consonant and short-vowel correspondences in reading and spelling.</x:v>
      </x:c>
      <x:c r="L140" s="27" t="str">
        <x:v>Letter identity and phoneme awareness.</x:v>
      </x:c>
      <x:c r="M140" s="27" t="str">
        <x:v>S12-READ-02</x:v>
      </x:c>
      <x:c r="N140" s="27" t="str">
        <x:v>G4/G5 — Concrete model linked to coordinated representations</x:v>
      </x:c>
      <x:c r="O140" s="27" t="str">
        <x:v>Oral language and writing; evidence in science/social studies; mathematical and technical problem interpretation; media verification.</x:v>
      </x:c>
      <x:c r="P140" s="27" t="str">
        <x:v>The alphabetic principle converts speech knowledge into a generative reading system.</x:v>
      </x:c>
      <x:c r="Q140" s="27" t="str">
        <x:v>S12-READ-04</x:v>
      </x:c>
      <x:c r="R140" s="27" t="str">
        <x:v>Gives common letter sounds and maps a simple spoken sound sequence to letters.</x:v>
      </x:c>
      <x:c r="S140" s="27" t="str">
        <x:v>SRC08; SRC10</x:v>
      </x:c>
      <x:c r="T140" s="27" t="str">
        <x:v>Development varies; use observed performance and appropriate supports rather than age alone.</x:v>
      </x:c>
      <x:c r="U140" s="27" t="str"/>
      <x:c r="V140" s="27" t="str"/>
      <x:c r="W140" s="39" t="str"/>
      <x:c r="X140" s="39" t="str"/>
    </x:row>
    <x:row r="141">
      <x:c r="A141" s="27" t="str">
        <x:v>S12-READ-04</x:v>
      </x:c>
      <x:c r="B141" s="37" t="n">
        <x:v>137</x:v>
      </x:c>
      <x:c r="C141" s="27" t="str">
        <x:v>S12</x:v>
      </x:c>
      <x:c r="D141" s="37" t="n">
        <x:v>12</x:v>
      </x:c>
      <x:c r="E141" s="27" t="str">
        <x:v>Kindergarten</x:v>
      </x:c>
      <x:c r="F141" s="27" t="str">
        <x:v>K</x:v>
      </x:c>
      <x:c r="G141" s="27" t="str">
        <x:v>Foundational decoding, number, and inquiry</x:v>
      </x:c>
      <x:c r="H141" s="27" t="str">
        <x:v>Reading</x:v>
      </x:c>
      <x:c r="I141" s="27" t="str">
        <x:v>Decoding</x:v>
      </x:c>
      <x:c r="J141" s="27" t="str">
        <x:v>CVC and simple word decoding</x:v>
      </x:c>
      <x:c r="K141" s="27" t="str">
        <x:v>Blending grapheme-linked sounds to read regular consonant-vowel-consonant words and other explicitly taught simple patterns.</x:v>
      </x:c>
      <x:c r="L141" s="27" t="str">
        <x:v>Phoneme blending and letter-sound correspondences.</x:v>
      </x:c>
      <x:c r="M141" s="27" t="str">
        <x:v>S12-READ-03</x:v>
      </x:c>
      <x:c r="N141" s="27" t="str">
        <x:v>G4/G5 — Concrete model linked to coordinated representations</x:v>
      </x:c>
      <x:c r="O141" s="27" t="str">
        <x:v>Oral language and writing; evidence in science/social studies; mathematical and technical problem interpretation; media verification.</x:v>
      </x:c>
      <x:c r="P141" s="27" t="str">
        <x:v>Successful blending establishes a procedure for unfamiliar words rather than reliance on visual guessing.</x:v>
      </x:c>
      <x:c r="Q141" s="27" t="str">
        <x:v>S12-READ-05</x:v>
      </x:c>
      <x:c r="R141" s="27" t="str">
        <x:v>Reads a mixed list of taught regular words and checks the result against pronunciation and meaning.</x:v>
      </x:c>
      <x:c r="S141" s="27" t="str">
        <x:v>SRC08; SRC10</x:v>
      </x:c>
      <x:c r="T141" s="27" t="str">
        <x:v>Development varies; use observed performance and appropriate supports rather than age alone.</x:v>
      </x:c>
      <x:c r="U141" s="27" t="str"/>
      <x:c r="V141" s="27" t="str"/>
      <x:c r="W141" s="39" t="str"/>
      <x:c r="X141" s="39" t="str"/>
    </x:row>
    <x:row r="142">
      <x:c r="A142" s="27" t="str">
        <x:v>S12-READ-05</x:v>
      </x:c>
      <x:c r="B142" s="37" t="n">
        <x:v>138</x:v>
      </x:c>
      <x:c r="C142" s="27" t="str">
        <x:v>S12</x:v>
      </x:c>
      <x:c r="D142" s="37" t="n">
        <x:v>12</x:v>
      </x:c>
      <x:c r="E142" s="27" t="str">
        <x:v>Kindergarten</x:v>
      </x:c>
      <x:c r="F142" s="27" t="str">
        <x:v>K</x:v>
      </x:c>
      <x:c r="G142" s="27" t="str">
        <x:v>Foundational decoding, number, and inquiry</x:v>
      </x:c>
      <x:c r="H142" s="27" t="str">
        <x:v>Reading</x:v>
      </x:c>
      <x:c r="I142" s="27" t="str">
        <x:v>Word recognition</x:v>
      </x:c>
      <x:c r="J142" s="27" t="str">
        <x:v>High-frequency irregular word mapping</x:v>
      </x:c>
      <x:c r="K142" s="27" t="str">
        <x:v>Learning the regular and unexpected sound-spelling parts of frequently used words so the complete written word becomes retrievable.</x:v>
      </x:c>
      <x:c r="L142" s="27" t="str">
        <x:v>Phoneme awareness, letter knowledge, and partial decoding.</x:v>
      </x:c>
      <x:c r="M142" s="27" t="str">
        <x:v>S12-READ-04</x:v>
      </x:c>
      <x:c r="N142" s="27" t="str">
        <x:v>G4/G5 — Concrete model linked to coordinated representations</x:v>
      </x:c>
      <x:c r="O142" s="27" t="str">
        <x:v>Oral language and writing; evidence in science/social studies; mathematical and technical problem interpretation; media verification.</x:v>
      </x:c>
      <x:c r="P142" s="27" t="str">
        <x:v>Analysis of irregularity supports durable word memory and fluent text reading.</x:v>
      </x:c>
      <x:c r="Q142" s="27" t="str">
        <x:v>S12-READ-06</x:v>
      </x:c>
      <x:c r="R142" s="27" t="str">
        <x:v>Reads and spells taught high-frequency words and identifies the unexpected part.</x:v>
      </x:c>
      <x:c r="S142" s="27" t="str">
        <x:v>SRC08; SRC10</x:v>
      </x:c>
      <x:c r="T142" s="27" t="str">
        <x:v>Development varies; use observed performance and appropriate supports rather than age alone.</x:v>
      </x:c>
      <x:c r="U142" s="27" t="str"/>
      <x:c r="V142" s="27" t="str"/>
      <x:c r="W142" s="39" t="str"/>
      <x:c r="X142" s="39" t="str"/>
    </x:row>
    <x:row r="143">
      <x:c r="A143" s="27" t="str">
        <x:v>S12-READ-06</x:v>
      </x:c>
      <x:c r="B143" s="37" t="n">
        <x:v>139</x:v>
      </x:c>
      <x:c r="C143" s="27" t="str">
        <x:v>S12</x:v>
      </x:c>
      <x:c r="D143" s="37" t="n">
        <x:v>12</x:v>
      </x:c>
      <x:c r="E143" s="27" t="str">
        <x:v>Kindergarten</x:v>
      </x:c>
      <x:c r="F143" s="27" t="str">
        <x:v>K</x:v>
      </x:c>
      <x:c r="G143" s="27" t="str">
        <x:v>Foundational decoding, number, and inquiry</x:v>
      </x:c>
      <x:c r="H143" s="27" t="str">
        <x:v>Reading</x:v>
      </x:c>
      <x:c r="I143" s="27" t="str">
        <x:v>Comprehension</x:v>
      </x:c>
      <x:c r="J143" s="27" t="str">
        <x:v>Story elements and key details</x:v>
      </x:c>
      <x:c r="K143" s="27" t="str">
        <x:v>Identifying characters, setting, major events, topic, and important details in read-aloud and accessible emergent text.</x:v>
      </x:c>
      <x:c r="L143" s="27" t="str">
        <x:v>Oral narrative, vocabulary, and picture interpretation.</x:v>
      </x:c>
      <x:c r="M143" s="27" t="str">
        <x:v>S12-READ-05</x:v>
      </x:c>
      <x:c r="N143" s="27" t="str">
        <x:v>G4/G5 — Concrete model linked to coordinated representations</x:v>
      </x:c>
      <x:c r="O143" s="27" t="str">
        <x:v>Oral language and writing; evidence in science/social studies; mathematical and technical problem interpretation; media verification.</x:v>
      </x:c>
      <x:c r="P143" s="27" t="str">
        <x:v>Story and topic structures organize memory and prepare retell, inference, and main-idea work.</x:v>
      </x:c>
      <x:c r="Q143" s="27" t="str">
        <x:v>S13-READ-01</x:v>
      </x:c>
      <x:c r="R143" s="27" t="str">
        <x:v>Retells a text in order and answers who/what/where/why questions using text details.</x:v>
      </x:c>
      <x:c r="S143" s="27" t="str">
        <x:v>SRC10</x:v>
      </x:c>
      <x:c r="T143" s="27" t="str">
        <x:v>Development varies; use observed performance and appropriate supports rather than age alone.</x:v>
      </x:c>
      <x:c r="U143" s="27" t="str"/>
      <x:c r="V143" s="27" t="str"/>
      <x:c r="W143" s="39" t="str"/>
      <x:c r="X143" s="39" t="str"/>
    </x:row>
    <x:row r="144">
      <x:c r="A144" s="27" t="str">
        <x:v>S12-WRITE-01</x:v>
      </x:c>
      <x:c r="B144" s="37" t="n">
        <x:v>140</x:v>
      </x:c>
      <x:c r="C144" s="27" t="str">
        <x:v>S12</x:v>
      </x:c>
      <x:c r="D144" s="37" t="n">
        <x:v>12</x:v>
      </x:c>
      <x:c r="E144" s="27" t="str">
        <x:v>Kindergarten</x:v>
      </x:c>
      <x:c r="F144" s="27" t="str">
        <x:v>K</x:v>
      </x:c>
      <x:c r="G144" s="27" t="str">
        <x:v>Foundational decoding, number, and inquiry</x:v>
      </x:c>
      <x:c r="H144" s="27" t="str">
        <x:v>Writing &amp; Language</x:v>
      </x:c>
      <x:c r="I144" s="27" t="str">
        <x:v>Handwriting</x:v>
      </x:c>
      <x:c r="J144" s="27" t="str">
        <x:v>Letter production and spacing</x:v>
      </x:c>
      <x:c r="K144" s="27" t="str">
        <x:v>Producing upper- and lowercase letters with recognizable form, direction, and placement and separating written words.</x:v>
      </x:c>
      <x:c r="L144" s="27" t="str">
        <x:v>Basic letter formation, visual discrimination, and motor/access method.</x:v>
      </x:c>
      <x:c r="M144" s="27" t="str">
        <x:v>S11-WRITE-02</x:v>
      </x:c>
      <x:c r="N144" s="27" t="str">
        <x:v>G4/G5 — Concrete model linked to coordinated representations</x:v>
      </x:c>
      <x:c r="O144" s="27" t="str">
        <x:v>Reading models; evidence from science/social studies; mathematical explanation; research, media, and presentation.</x:v>
      </x:c>
      <x:c r="P144" s="27" t="str">
        <x:v>More automatic transcription leaves attention for spelling and composition.</x:v>
      </x:c>
      <x:c r="Q144" s="27" t="str">
        <x:v>S12-WRITE-02</x:v>
      </x:c>
      <x:c r="R144" s="27" t="str">
        <x:v>Writes taught letters and a short dictated phrase legibly or through an efficient accessible input method.</x:v>
      </x:c>
      <x:c r="S144" s="27" t="str">
        <x:v>SRC10; SRC21</x:v>
      </x:c>
      <x:c r="T144" s="27" t="str">
        <x:v>Development varies; use observed performance and appropriate supports rather than age alone.</x:v>
      </x:c>
      <x:c r="U144" s="27" t="str"/>
      <x:c r="V144" s="27" t="str"/>
      <x:c r="W144" s="39" t="str"/>
      <x:c r="X144" s="39" t="str"/>
    </x:row>
    <x:row r="145">
      <x:c r="A145" s="27" t="str">
        <x:v>S12-WRITE-02</x:v>
      </x:c>
      <x:c r="B145" s="37" t="n">
        <x:v>141</x:v>
      </x:c>
      <x:c r="C145" s="27" t="str">
        <x:v>S12</x:v>
      </x:c>
      <x:c r="D145" s="37" t="n">
        <x:v>12</x:v>
      </x:c>
      <x:c r="E145" s="27" t="str">
        <x:v>Kindergarten</x:v>
      </x:c>
      <x:c r="F145" s="27" t="str">
        <x:v>K</x:v>
      </x:c>
      <x:c r="G145" s="27" t="str">
        <x:v>Foundational decoding, number, and inquiry</x:v>
      </x:c>
      <x:c r="H145" s="27" t="str">
        <x:v>Writing &amp; Language</x:v>
      </x:c>
      <x:c r="I145" s="27" t="str">
        <x:v>Spelling</x:v>
      </x:c>
      <x:c r="J145" s="27" t="str">
        <x:v>Phoneme–grapheme encoding</x:v>
      </x:c>
      <x:c r="K145" s="27" t="str">
        <x:v>Segmenting simple spoken words and writing a plausible grapheme for each identified phoneme, including short vowels.</x:v>
      </x:c>
      <x:c r="L145" s="27" t="str">
        <x:v>Phoneme segmentation and alphabetic principle.</x:v>
      </x:c>
      <x:c r="M145" s="27" t="str">
        <x:v>S12-WRITE-01</x:v>
      </x:c>
      <x:c r="N145" s="27" t="str">
        <x:v>G4/G5 — Concrete model linked to coordinated representations</x:v>
      </x:c>
      <x:c r="O145" s="27" t="str">
        <x:v>Reading models; evidence from science/social studies; mathematical explanation; research, media, and presentation.</x:v>
      </x:c>
      <x:c r="P145" s="27" t="str">
        <x:v>Full sound mapping supports conventional spelling patterns and reinforces decoding.</x:v>
      </x:c>
      <x:c r="Q145" s="27" t="str">
        <x:v>S12-WRITE-03</x:v>
      </x:c>
      <x:c r="R145" s="27" t="str">
        <x:v>Writes regular CVC words from dictation with each phoneme represented.</x:v>
      </x:c>
      <x:c r="S145" s="27" t="str">
        <x:v>SRC08; SRC10</x:v>
      </x:c>
      <x:c r="T145" s="27" t="str">
        <x:v>Development varies; use observed performance and appropriate supports rather than age alone.</x:v>
      </x:c>
      <x:c r="U145" s="27" t="str"/>
      <x:c r="V145" s="27" t="str"/>
      <x:c r="W145" s="39" t="str"/>
      <x:c r="X145" s="39" t="str"/>
    </x:row>
    <x:row r="146">
      <x:c r="A146" s="27" t="str">
        <x:v>S12-WRITE-03</x:v>
      </x:c>
      <x:c r="B146" s="37" t="n">
        <x:v>142</x:v>
      </x:c>
      <x:c r="C146" s="27" t="str">
        <x:v>S12</x:v>
      </x:c>
      <x:c r="D146" s="37" t="n">
        <x:v>12</x:v>
      </x:c>
      <x:c r="E146" s="27" t="str">
        <x:v>Kindergarten</x:v>
      </x:c>
      <x:c r="F146" s="27" t="str">
        <x:v>K</x:v>
      </x:c>
      <x:c r="G146" s="27" t="str">
        <x:v>Foundational decoding, number, and inquiry</x:v>
      </x:c>
      <x:c r="H146" s="27" t="str">
        <x:v>Writing &amp; Language</x:v>
      </x:c>
      <x:c r="I146" s="27" t="str">
        <x:v>Composition</x:v>
      </x:c>
      <x:c r="J146" s="27" t="str">
        <x:v>Complete sentence</x:v>
      </x:c>
      <x:c r="K146" s="27" t="str">
        <x:v>Expressing one complete idea with a subject/topic and predicate/comment, capitalizing the beginning, and using ending punctuation.</x:v>
      </x:c>
      <x:c r="L146" s="27" t="str">
        <x:v>Complete oral responses, word boundaries, handwriting, and sound-based spelling.</x:v>
      </x:c>
      <x:c r="M146" s="27" t="str">
        <x:v>S12-WRITE-02</x:v>
      </x:c>
      <x:c r="N146" s="27" t="str">
        <x:v>G4/G5 — Concrete model linked to coordinated representations</x:v>
      </x:c>
      <x:c r="O146" s="27" t="str">
        <x:v>Reading models; evidence from science/social studies; mathematical explanation; research, media, and presentation.</x:v>
      </x:c>
      <x:c r="P146" s="27" t="str">
        <x:v>The sentence is the base compositional unit for narratives, explanations, and arguments.</x:v>
      </x:c>
      <x:c r="Q146" s="27" t="str">
        <x:v>S13-WRITE-01</x:v>
      </x:c>
      <x:c r="R146" s="27" t="str">
        <x:v>Writes or constructs a readable complete sentence matching the intended message.</x:v>
      </x:c>
      <x:c r="S146" s="27" t="str">
        <x:v>SRC10; SRC21</x:v>
      </x:c>
      <x:c r="T146" s="27" t="str">
        <x:v>Development varies; use observed performance and appropriate supports rather than age alone.</x:v>
      </x:c>
      <x:c r="U146" s="27" t="str"/>
      <x:c r="V146" s="27" t="str"/>
      <x:c r="W146" s="39" t="str"/>
      <x:c r="X146" s="39" t="str"/>
    </x:row>
    <x:row r="147">
      <x:c r="A147" s="27" t="str">
        <x:v>S12-MATH-01</x:v>
      </x:c>
      <x:c r="B147" s="37" t="n">
        <x:v>143</x:v>
      </x:c>
      <x:c r="C147" s="27" t="str">
        <x:v>S12</x:v>
      </x:c>
      <x:c r="D147" s="37" t="n">
        <x:v>12</x:v>
      </x:c>
      <x:c r="E147" s="27" t="str">
        <x:v>Kindergarten</x:v>
      </x:c>
      <x:c r="F147" s="27" t="str">
        <x:v>K</x:v>
      </x:c>
      <x:c r="G147" s="27" t="str">
        <x:v>Foundational decoding, number, and inquiry</x:v>
      </x:c>
      <x:c r="H147" s="27" t="str">
        <x:v>Mathematics</x:v>
      </x:c>
      <x:c r="I147" s="27" t="str">
        <x:v>Counting and cardinality</x:v>
      </x:c>
      <x:c r="J147" s="27" t="str">
        <x:v>Count sequence and objects to 100</x:v>
      </x:c>
      <x:c r="K147" s="27" t="str">
        <x:v>Reciting the count sequence to 100 by ones and tens and accurately counting arranged objects, with written numeral work focused on the kindergarten range.</x:v>
      </x:c>
      <x:c r="L147" s="27" t="str">
        <x:v>Stable number-word order, one-to-one counting, and cardinality.</x:v>
      </x:c>
      <x:c r="M147" s="27" t="str">
        <x:v>S11-MATH-04</x:v>
      </x:c>
      <x:c r="N147" s="27" t="str">
        <x:v>G4/G5 — Concrete model linked to coordinated representations</x:v>
      </x:c>
      <x:c r="O147" s="27" t="str">
        <x:v>Physical quantity and spatial action; science measurement/models; computing/algorithms; finance; music rhythm/pattern; geographic data.</x:v>
      </x:c>
      <x:c r="P147" s="27" t="str">
        <x:v>Extended counting reveals recurring base-ten patterns and supports place value.</x:v>
      </x:c>
      <x:c r="Q147" s="27" t="str">
        <x:v>S12-MATH-02</x:v>
      </x:c>
      <x:c r="R147" s="27" t="str">
        <x:v>Counts forward from a stated number and counts a collection without skipping or double-counting.</x:v>
      </x:c>
      <x:c r="S147" s="27" t="str">
        <x:v>SRC07; SRC09</x:v>
      </x:c>
      <x:c r="T147" s="27" t="str">
        <x:v>Development varies; use observed performance and appropriate supports rather than age alone.</x:v>
      </x:c>
      <x:c r="U147" s="27" t="str"/>
      <x:c r="V147" s="27" t="str"/>
      <x:c r="W147" s="39" t="str"/>
      <x:c r="X147" s="39" t="str"/>
    </x:row>
    <x:row r="148">
      <x:c r="A148" s="27" t="str">
        <x:v>S12-MATH-02</x:v>
      </x:c>
      <x:c r="B148" s="37" t="n">
        <x:v>144</x:v>
      </x:c>
      <x:c r="C148" s="27" t="str">
        <x:v>S12</x:v>
      </x:c>
      <x:c r="D148" s="37" t="n">
        <x:v>12</x:v>
      </x:c>
      <x:c r="E148" s="27" t="str">
        <x:v>Kindergarten</x:v>
      </x:c>
      <x:c r="F148" s="27" t="str">
        <x:v>K</x:v>
      </x:c>
      <x:c r="G148" s="27" t="str">
        <x:v>Foundational decoding, number, and inquiry</x:v>
      </x:c>
      <x:c r="H148" s="27" t="str">
        <x:v>Mathematics</x:v>
      </x:c>
      <x:c r="I148" s="27" t="str">
        <x:v>Number representation</x:v>
      </x:c>
      <x:c r="J148" s="27" t="str">
        <x:v>Numerals 0–20 and quantity mapping</x:v>
      </x:c>
      <x:c r="K148" s="27" t="str">
        <x:v>Reading and writing numerals 0–20 and connecting each numeral to a counted quantity, including zero as no objects.</x:v>
      </x:c>
      <x:c r="L148" s="27" t="str">
        <x:v>Cardinality and emerging numeral mapping.</x:v>
      </x:c>
      <x:c r="M148" s="27" t="str">
        <x:v>S12-MATH-01</x:v>
      </x:c>
      <x:c r="N148" s="27" t="str">
        <x:v>G4/G5 — Concrete model linked to coordinated representations</x:v>
      </x:c>
      <x:c r="O148" s="27" t="str">
        <x:v>Physical quantity and spatial action; science measurement/models; computing/algorithms; finance; music rhythm/pattern; geographic data.</x:v>
      </x:c>
      <x:c r="P148" s="27" t="str">
        <x:v>Exact symbol-quantity links are required for written operations and place value.</x:v>
      </x:c>
      <x:c r="Q148" s="27" t="str">
        <x:v>S12-MATH-03</x:v>
      </x:c>
      <x:c r="R148" s="27" t="str">
        <x:v>Given any quantity in range, selects or writes its numeral and constructs a matching set.</x:v>
      </x:c>
      <x:c r="S148" s="27" t="str">
        <x:v>SRC07; SRC09</x:v>
      </x:c>
      <x:c r="T148" s="27" t="str">
        <x:v>Development varies; use observed performance and appropriate supports rather than age alone.</x:v>
      </x:c>
      <x:c r="U148" s="27" t="str"/>
      <x:c r="V148" s="27" t="str"/>
      <x:c r="W148" s="39" t="str"/>
      <x:c r="X148" s="39" t="str"/>
    </x:row>
    <x:row r="149">
      <x:c r="A149" s="27" t="str">
        <x:v>S12-MATH-03</x:v>
      </x:c>
      <x:c r="B149" s="37" t="n">
        <x:v>145</x:v>
      </x:c>
      <x:c r="C149" s="27" t="str">
        <x:v>S12</x:v>
      </x:c>
      <x:c r="D149" s="37" t="n">
        <x:v>12</x:v>
      </x:c>
      <x:c r="E149" s="27" t="str">
        <x:v>Kindergarten</x:v>
      </x:c>
      <x:c r="F149" s="27" t="str">
        <x:v>K</x:v>
      </x:c>
      <x:c r="G149" s="27" t="str">
        <x:v>Foundational decoding, number, and inquiry</x:v>
      </x:c>
      <x:c r="H149" s="27" t="str">
        <x:v>Mathematics</x:v>
      </x:c>
      <x:c r="I149" s="27" t="str">
        <x:v>Comparison</x:v>
      </x:c>
      <x:c r="J149" s="27" t="str">
        <x:v>Compare numbers 1–10</x:v>
      </x:c>
      <x:c r="K149" s="27" t="str">
        <x:v>Determining whether one represented number is greater than, less than, or equal to another by matching, counting, or reasoning about quantity.</x:v>
      </x:c>
      <x:c r="L149" s="27" t="str">
        <x:v>Quantity mapping and one-to-one comparison.</x:v>
      </x:c>
      <x:c r="M149" s="27" t="str">
        <x:v>S12-MATH-02</x:v>
      </x:c>
      <x:c r="N149" s="27" t="str">
        <x:v>G4/G5 — Concrete model linked to coordinated representations</x:v>
      </x:c>
      <x:c r="O149" s="27" t="str">
        <x:v>Physical quantity and spatial action; science measurement/models; computing/algorithms; finance; music rhythm/pattern; geographic data.</x:v>
      </x:c>
      <x:c r="P149" s="27" t="str">
        <x:v>Numerical order supports number lines, inequality, estimation, and operation reasonableness.</x:v>
      </x:c>
      <x:c r="Q149" s="27" t="str">
        <x:v>S12-MATH-04</x:v>
      </x:c>
      <x:c r="R149" s="27" t="str">
        <x:v>Explains a comparison using objects, drawings, or number order.</x:v>
      </x:c>
      <x:c r="S149" s="27" t="str">
        <x:v>SRC07; SRC09</x:v>
      </x:c>
      <x:c r="T149" s="27" t="str">
        <x:v>Development varies; use observed performance and appropriate supports rather than age alone.</x:v>
      </x:c>
      <x:c r="U149" s="27" t="str"/>
      <x:c r="V149" s="27" t="str"/>
      <x:c r="W149" s="39" t="str"/>
      <x:c r="X149" s="39" t="str"/>
    </x:row>
    <x:row r="150">
      <x:c r="A150" s="27" t="str">
        <x:v>S12-MATH-04</x:v>
      </x:c>
      <x:c r="B150" s="37" t="n">
        <x:v>146</x:v>
      </x:c>
      <x:c r="C150" s="27" t="str">
        <x:v>S12</x:v>
      </x:c>
      <x:c r="D150" s="37" t="n">
        <x:v>12</x:v>
      </x:c>
      <x:c r="E150" s="27" t="str">
        <x:v>Kindergarten</x:v>
      </x:c>
      <x:c r="F150" s="27" t="str">
        <x:v>K</x:v>
      </x:c>
      <x:c r="G150" s="27" t="str">
        <x:v>Foundational decoding, number, and inquiry</x:v>
      </x:c>
      <x:c r="H150" s="27" t="str">
        <x:v>Mathematics</x:v>
      </x:c>
      <x:c r="I150" s="27" t="str">
        <x:v>Operations</x:v>
      </x:c>
      <x:c r="J150" s="27" t="str">
        <x:v>Addition and subtraction within 10</x:v>
      </x:c>
      <x:c r="K150" s="27" t="str">
        <x:v>Representing joining, separating, part–part–whole, and comparison situations with objects, drawings, fingers, words, and equations.</x:v>
      </x:c>
      <x:c r="L150" s="27" t="str">
        <x:v>Compose/decompose small quantities and exact counting.</x:v>
      </x:c>
      <x:c r="M150" s="27" t="str">
        <x:v>S12-MATH-03</x:v>
      </x:c>
      <x:c r="N150" s="27" t="str">
        <x:v>G4/G5 — Concrete model linked to coordinated representations</x:v>
      </x:c>
      <x:c r="O150" s="27" t="str">
        <x:v>Physical quantity and spatial action; science measurement/models; computing/algorithms; finance; music rhythm/pattern; geographic data.</x:v>
      </x:c>
      <x:c r="P150" s="27" t="str">
        <x:v>Multiple meanings prevent operations from becoming isolated symbol rules.</x:v>
      </x:c>
      <x:c r="Q150" s="27" t="str">
        <x:v>S12-MATH-05</x:v>
      </x:c>
      <x:c r="R150" s="27" t="str">
        <x:v>Models and solves an unfamiliar story within 10 and explains the action represented.</x:v>
      </x:c>
      <x:c r="S150" s="27" t="str">
        <x:v>SRC07; SRC09</x:v>
      </x:c>
      <x:c r="T150" s="27" t="str">
        <x:v>Development varies; use observed performance and appropriate supports rather than age alone.</x:v>
      </x:c>
      <x:c r="U150" s="27" t="str"/>
      <x:c r="V150" s="27" t="str"/>
      <x:c r="W150" s="39" t="str"/>
      <x:c r="X150" s="39" t="str"/>
    </x:row>
    <x:row r="151">
      <x:c r="A151" s="27" t="str">
        <x:v>S12-MATH-05</x:v>
      </x:c>
      <x:c r="B151" s="37" t="n">
        <x:v>147</x:v>
      </x:c>
      <x:c r="C151" s="27" t="str">
        <x:v>S12</x:v>
      </x:c>
      <x:c r="D151" s="37" t="n">
        <x:v>12</x:v>
      </x:c>
      <x:c r="E151" s="27" t="str">
        <x:v>Kindergarten</x:v>
      </x:c>
      <x:c r="F151" s="27" t="str">
        <x:v>K</x:v>
      </x:c>
      <x:c r="G151" s="27" t="str">
        <x:v>Foundational decoding, number, and inquiry</x:v>
      </x:c>
      <x:c r="H151" s="27" t="str">
        <x:v>Mathematics</x:v>
      </x:c>
      <x:c r="I151" s="27" t="str">
        <x:v>Base ten</x:v>
      </x:c>
      <x:c r="J151" s="27" t="str">
        <x:v>Teen numbers as ten and ones</x:v>
      </x:c>
      <x:c r="K151" s="27" t="str">
        <x:v>Understanding 11–19 as one group of ten and some additional ones.</x:v>
      </x:c>
      <x:c r="L151" s="27" t="str">
        <x:v>Quantity composition, numeral mapping, and counting to 20.</x:v>
      </x:c>
      <x:c r="M151" s="27" t="str">
        <x:v>S12-MATH-04</x:v>
      </x:c>
      <x:c r="N151" s="27" t="str">
        <x:v>G4/G5 — Concrete model linked to coordinated representations</x:v>
      </x:c>
      <x:c r="O151" s="27" t="str">
        <x:v>Physical quantity and spatial action; science measurement/models; computing/algorithms; finance; music rhythm/pattern; geographic data.</x:v>
      </x:c>
      <x:c r="P151" s="27" t="str">
        <x:v>Unitizing ten is the conceptual entry to place value and multi-digit arithmetic.</x:v>
      </x:c>
      <x:c r="Q151" s="27" t="str">
        <x:v>S12-MATH-06</x:v>
      </x:c>
      <x:c r="R151" s="27" t="str">
        <x:v>Builds, draws, and names a teen number as 10 + ones.</x:v>
      </x:c>
      <x:c r="S151" s="27" t="str">
        <x:v>SRC09</x:v>
      </x:c>
      <x:c r="T151" s="27" t="str">
        <x:v>Development varies; use observed performance and appropriate supports rather than age alone.</x:v>
      </x:c>
      <x:c r="U151" s="27" t="str"/>
      <x:c r="V151" s="27" t="str"/>
      <x:c r="W151" s="39" t="str"/>
      <x:c r="X151" s="39" t="str"/>
    </x:row>
    <x:row r="152">
      <x:c r="A152" s="27" t="str">
        <x:v>S12-MATH-06</x:v>
      </x:c>
      <x:c r="B152" s="37" t="n">
        <x:v>148</x:v>
      </x:c>
      <x:c r="C152" s="27" t="str">
        <x:v>S12</x:v>
      </x:c>
      <x:c r="D152" s="37" t="n">
        <x:v>12</x:v>
      </x:c>
      <x:c r="E152" s="27" t="str">
        <x:v>Kindergarten</x:v>
      </x:c>
      <x:c r="F152" s="27" t="str">
        <x:v>K</x:v>
      </x:c>
      <x:c r="G152" s="27" t="str">
        <x:v>Foundational decoding, number, and inquiry</x:v>
      </x:c>
      <x:c r="H152" s="27" t="str">
        <x:v>Mathematics</x:v>
      </x:c>
      <x:c r="I152" s="27" t="str">
        <x:v>Geometry</x:v>
      </x:c>
      <x:c r="J152" s="27" t="str">
        <x:v>Describe, compare, build, and partition shapes</x:v>
      </x:c>
      <x:c r="K152" s="27" t="str">
        <x:v>Naming 2D/3D shapes, describing position and defining attributes, composing shapes, and partitioning simple wholes into equal parts informally.</x:v>
      </x:c>
      <x:c r="L152" s="27" t="str">
        <x:v>Pre-K shape attributes, spatial language, and composition.</x:v>
      </x:c>
      <x:c r="M152" s="27" t="str">
        <x:v>S12-MATH-05</x:v>
      </x:c>
      <x:c r="N152" s="27" t="str">
        <x:v>G4/G5 — Concrete model linked to coordinated representations</x:v>
      </x:c>
      <x:c r="O152" s="27" t="str">
        <x:v>Physical quantity and spatial action; science measurement/models; computing/algorithms; finance; music rhythm/pattern; geographic data.</x:v>
      </x:c>
      <x:c r="P152" s="27" t="str">
        <x:v>Attribute reasoning and composition prepare measurement, fractions, area, and proof.</x:v>
      </x:c>
      <x:c r="Q152" s="27" t="str">
        <x:v>S13-MATH-01</x:v>
      </x:c>
      <x:c r="R152" s="27" t="str">
        <x:v>Classifies an unfamiliar example by attributes and builds a requested composite shape.</x:v>
      </x:c>
      <x:c r="S152" s="27" t="str">
        <x:v>SRC07; SRC09</x:v>
      </x:c>
      <x:c r="T152" s="27" t="str">
        <x:v>Development varies; use observed performance and appropriate supports rather than age alone.</x:v>
      </x:c>
      <x:c r="U152" s="27" t="str"/>
      <x:c r="V152" s="27" t="str"/>
      <x:c r="W152" s="39" t="str"/>
      <x:c r="X152" s="39" t="str"/>
    </x:row>
    <x:row r="153">
      <x:c r="A153" s="27" t="str">
        <x:v>S12-SCI-01</x:v>
      </x:c>
      <x:c r="B153" s="37" t="n">
        <x:v>149</x:v>
      </x:c>
      <x:c r="C153" s="27" t="str">
        <x:v>S12</x:v>
      </x:c>
      <x:c r="D153" s="37" t="n">
        <x:v>12</x:v>
      </x:c>
      <x:c r="E153" s="27" t="str">
        <x:v>Kindergarten</x:v>
      </x:c>
      <x:c r="F153" s="27" t="str">
        <x:v>K</x:v>
      </x:c>
      <x:c r="G153" s="27" t="str">
        <x:v>Foundational decoding, number, and inquiry</x:v>
      </x:c>
      <x:c r="H153" s="27" t="str">
        <x:v>Science &amp; Engineering</x:v>
      </x:c>
      <x:c r="I153" s="27" t="str">
        <x:v>Physical science</x:v>
      </x:c>
      <x:c r="J153" s="27" t="str">
        <x:v>Pushes, pulls, and motion</x:v>
      </x:c>
      <x:c r="K153" s="27" t="str">
        <x:v>Investigating how strength and direction of pushes and pulls change an object’s motion.</x:v>
      </x:c>
      <x:c r="L153" s="27" t="str">
        <x:v>Prediction-test-record-explain cycle and movement concepts.</x:v>
      </x:c>
      <x:c r="M153" s="27" t="str">
        <x:v>S11-SCI-01</x:v>
      </x:c>
      <x:c r="N153" s="27" t="str">
        <x:v>G4/G5 — Concrete model linked to coordinated representations</x:v>
      </x:c>
      <x:c r="O153" s="27" t="str">
        <x:v>Sensory observation and action; mathematics/data; reading/writing evidence; computing/models; health and environmental/civic decisions.</x:v>
      </x:c>
      <x:c r="P153" s="27" t="str">
        <x:v>Observable motion links forces to cause and effect before formal measurement.</x:v>
      </x:c>
      <x:c r="Q153" s="27" t="str">
        <x:v>S12-SCI-02</x:v>
      </x:c>
      <x:c r="R153" s="27" t="str">
        <x:v>Compares two tests and uses the observed motion to explain the effect of a push or pull.</x:v>
      </x:c>
      <x:c r="S153" s="27" t="str">
        <x:v>SRC11</x:v>
      </x:c>
      <x:c r="T153" s="27" t="str">
        <x:v>Development varies; use observed performance and appropriate supports rather than age alone.</x:v>
      </x:c>
      <x:c r="U153" s="27" t="str"/>
      <x:c r="V153" s="27" t="str"/>
      <x:c r="W153" s="39" t="str"/>
      <x:c r="X153" s="39" t="str"/>
    </x:row>
    <x:row r="154">
      <x:c r="A154" s="27" t="str">
        <x:v>S12-SCI-02</x:v>
      </x:c>
      <x:c r="B154" s="37" t="n">
        <x:v>150</x:v>
      </x:c>
      <x:c r="C154" s="27" t="str">
        <x:v>S12</x:v>
      </x:c>
      <x:c r="D154" s="37" t="n">
        <x:v>12</x:v>
      </x:c>
      <x:c r="E154" s="27" t="str">
        <x:v>Kindergarten</x:v>
      </x:c>
      <x:c r="F154" s="27" t="str">
        <x:v>K</x:v>
      </x:c>
      <x:c r="G154" s="27" t="str">
        <x:v>Foundational decoding, number, and inquiry</x:v>
      </x:c>
      <x:c r="H154" s="27" t="str">
        <x:v>Science &amp; Engineering</x:v>
      </x:c>
      <x:c r="I154" s="27" t="str">
        <x:v>Life science</x:v>
      </x:c>
      <x:c r="J154" s="27" t="str">
        <x:v>Needs and environmental relationships</x:v>
      </x:c>
      <x:c r="K154" s="27" t="str">
        <x:v>Explaining that plants and animals have needs and that living things affect and depend on their surroundings.</x:v>
      </x:c>
      <x:c r="L154" s="27" t="str">
        <x:v>Living/nonliving experience, care routines, and observation.</x:v>
      </x:c>
      <x:c r="M154" s="27" t="str">
        <x:v>S12-SCI-01</x:v>
      </x:c>
      <x:c r="N154" s="27" t="str">
        <x:v>G4/G5 — Concrete model linked to coordinated representations</x:v>
      </x:c>
      <x:c r="O154" s="27" t="str">
        <x:v>Sensory observation and action; mathematics/data; reading/writing evidence; computing/models; health and environmental/civic decisions.</x:v>
      </x:c>
      <x:c r="P154" s="27" t="str">
        <x:v>Needs and relationships are the entry model for ecosystems.</x:v>
      </x:c>
      <x:c r="Q154" s="27" t="str">
        <x:v>S12-SCI-03</x:v>
      </x:c>
      <x:c r="R154" s="27" t="str">
        <x:v>Uses observations to connect a living thing to a resource or environmental change.</x:v>
      </x:c>
      <x:c r="S154" s="27" t="str">
        <x:v>SRC11</x:v>
      </x:c>
      <x:c r="T154" s="27" t="str">
        <x:v>Development varies; use observed performance and appropriate supports rather than age alone.</x:v>
      </x:c>
      <x:c r="U154" s="27" t="str"/>
      <x:c r="V154" s="27" t="str"/>
      <x:c r="W154" s="39" t="str"/>
      <x:c r="X154" s="39" t="str"/>
    </x:row>
    <x:row r="155">
      <x:c r="A155" s="27" t="str">
        <x:v>S12-SCI-03</x:v>
      </x:c>
      <x:c r="B155" s="37" t="n">
        <x:v>151</x:v>
      </x:c>
      <x:c r="C155" s="27" t="str">
        <x:v>S12</x:v>
      </x:c>
      <x:c r="D155" s="37" t="n">
        <x:v>12</x:v>
      </x:c>
      <x:c r="E155" s="27" t="str">
        <x:v>Kindergarten</x:v>
      </x:c>
      <x:c r="F155" s="27" t="str">
        <x:v>K</x:v>
      </x:c>
      <x:c r="G155" s="27" t="str">
        <x:v>Foundational decoding, number, and inquiry</x:v>
      </x:c>
      <x:c r="H155" s="27" t="str">
        <x:v>Science &amp; Engineering</x:v>
      </x:c>
      <x:c r="I155" s="27" t="str">
        <x:v>Earth science</x:v>
      </x:c>
      <x:c r="J155" s="27" t="str">
        <x:v>Weather observations and patterns</x:v>
      </x:c>
      <x:c r="K155" s="27" t="str">
        <x:v>Recording local weather conditions and comparing patterns across days or seasons, including severe-weather preparation.</x:v>
      </x:c>
      <x:c r="L155" s="27" t="str">
        <x:v>Attribute description, counting, and picture recording.</x:v>
      </x:c>
      <x:c r="M155" s="27" t="str">
        <x:v>S12-SCI-02</x:v>
      </x:c>
      <x:c r="N155" s="27" t="str">
        <x:v>G4/G5 — Concrete model linked to coordinated representations</x:v>
      </x:c>
      <x:c r="O155" s="27" t="str">
        <x:v>Sensory observation and action; mathematics/data; reading/writing evidence; computing/models; health and environmental/civic decisions.</x:v>
      </x:c>
      <x:c r="P155" s="27" t="str">
        <x:v>Repeated observations create data for pattern-based prediction.</x:v>
      </x:c>
      <x:c r="Q155" s="27" t="str">
        <x:v>S13-SCI-01</x:v>
      </x:c>
      <x:c r="R155" s="27" t="str">
        <x:v>Uses a record to describe a weather pattern and a related preparation choice.</x:v>
      </x:c>
      <x:c r="S155" s="27" t="str">
        <x:v>SRC11</x:v>
      </x:c>
      <x:c r="T155" s="27" t="str">
        <x:v>Development varies; use observed performance and appropriate supports rather than age alone.</x:v>
      </x:c>
      <x:c r="U155" s="27" t="str"/>
      <x:c r="V155" s="27" t="str"/>
      <x:c r="W155" s="39" t="str"/>
      <x:c r="X155" s="39" t="str"/>
    </x:row>
    <x:row r="156">
      <x:c r="A156" s="27" t="str">
        <x:v>S12-SST-01</x:v>
      </x:c>
      <x:c r="B156" s="37" t="n">
        <x:v>152</x:v>
      </x:c>
      <x:c r="C156" s="27" t="str">
        <x:v>S12</x:v>
      </x:c>
      <x:c r="D156" s="37" t="n">
        <x:v>12</x:v>
      </x:c>
      <x:c r="E156" s="27" t="str">
        <x:v>Kindergarten</x:v>
      </x:c>
      <x:c r="F156" s="27" t="str">
        <x:v>K</x:v>
      </x:c>
      <x:c r="G156" s="27" t="str">
        <x:v>Foundational decoding, number, and inquiry</x:v>
      </x:c>
      <x:c r="H156" s="27" t="str">
        <x:v>Social Studies</x:v>
      </x:c>
      <x:c r="I156" s="27" t="str">
        <x:v>Inquiry and community</x:v>
      </x:c>
      <x:c r="J156" s="27" t="str">
        <x:v>Self, family, classroom, and neighborhood</x:v>
      </x:c>
      <x:c r="K156" s="27" t="str">
        <x:v>Using questions, simple sources, maps, timelines, rules, roles, needs/wants, and symbols to understand immediate communities.</x:v>
      </x:c>
      <x:c r="L156" s="27" t="str">
        <x:v>Pre-K roles/rules/maps/time and oral discussion.</x:v>
      </x:c>
      <x:c r="M156" s="27" t="str">
        <x:v>S11-SST-01</x:v>
      </x:c>
      <x:c r="N156" s="27" t="str">
        <x:v>G4/G5 — Concrete model linked to coordinated representations</x:v>
      </x:c>
      <x:c r="O156" s="27" t="str">
        <x:v>Language/literacy and source evidence; maps/data/economics; ethics/SEL; media literacy; arts/culture; civic action.</x:v>
      </x:c>
      <x:c r="P156" s="27" t="str">
        <x:v>Concrete community systems supply referents for later civics, geography, history, and economics.</x:v>
      </x:c>
      <x:c r="Q156" s="27" t="str">
        <x:v>S13-SST-01</x:v>
      </x:c>
      <x:c r="R156" s="27" t="str">
        <x:v>Answers a community question using a picture, object, map, interview, or classroom record.</x:v>
      </x:c>
      <x:c r="S156" s="27" t="str">
        <x:v>SRC12; SRC25</x:v>
      </x:c>
      <x:c r="T156" s="27" t="str">
        <x:v>Development varies; use observed performance and appropriate supports rather than age alone.</x:v>
      </x:c>
      <x:c r="U156" s="27" t="str"/>
      <x:c r="V156" s="27" t="str"/>
      <x:c r="W156" s="39" t="str"/>
      <x:c r="X156" s="39" t="str"/>
    </x:row>
    <x:row r="157">
      <x:c r="A157" s="27" t="str">
        <x:v>S12-ARTS-01</x:v>
      </x:c>
      <x:c r="B157" s="37" t="n">
        <x:v>153</x:v>
      </x:c>
      <x:c r="C157" s="27" t="str">
        <x:v>S12</x:v>
      </x:c>
      <x:c r="D157" s="37" t="n">
        <x:v>12</x:v>
      </x:c>
      <x:c r="E157" s="27" t="str">
        <x:v>Kindergarten</x:v>
      </x:c>
      <x:c r="F157" s="27" t="str">
        <x:v>K</x:v>
      </x:c>
      <x:c r="G157" s="27" t="str">
        <x:v>Foundational decoding, number, and inquiry</x:v>
      </x:c>
      <x:c r="H157" s="27" t="str">
        <x:v>Music &amp; Arts</x:v>
      </x:c>
      <x:c r="I157" s="27" t="str">
        <x:v>Artistic processes</x:v>
      </x:c>
      <x:c r="J157" s="27" t="str">
        <x:v>Create–perform–respond–connect</x:v>
      </x:c>
      <x:c r="K157" s="27" t="str">
        <x:v>Generating an idea, making or performing a simple work, describing an observed feature, and connecting the work to experience or culture.</x:v>
      </x:c>
      <x:c r="L157" s="27" t="str">
        <x:v>Symbolic play, beat/contrast, mark making, and role enactment.</x:v>
      </x:c>
      <x:c r="M157" s="27" t="str">
        <x:v>S11-ARTS-01</x:v>
      </x:c>
      <x:c r="N157" s="27" t="str">
        <x:v>G4/G5 — Concrete model linked to coordinated representations</x:v>
      </x:c>
      <x:c r="O157" s="27" t="str">
        <x:v>Sensory discrimination; motor timing; language/prosody; mathematics/pattern; history/culture; emotion, design, and technology.</x:v>
      </x:c>
      <x:c r="P157" s="27" t="str">
        <x:v>The four artistic processes organize increasing technical and expressive depth across arts.</x:v>
      </x:c>
      <x:c r="Q157" s="27" t="str">
        <x:v>S13-ARTS-01</x:v>
      </x:c>
      <x:c r="R157" s="27" t="str">
        <x:v>Creates or performs a short work and explains one choice or connection.</x:v>
      </x:c>
      <x:c r="S157" s="27" t="str">
        <x:v>SRC13</x:v>
      </x:c>
      <x:c r="T157" s="27" t="str">
        <x:v>Development varies; use observed performance and appropriate supports rather than age alone.</x:v>
      </x:c>
      <x:c r="U157" s="27" t="str"/>
      <x:c r="V157" s="27" t="str"/>
      <x:c r="W157" s="39" t="str"/>
      <x:c r="X157" s="39" t="str"/>
    </x:row>
    <x:row r="158">
      <x:c r="A158" s="27" t="str">
        <x:v>S12-HLTH-01</x:v>
      </x:c>
      <x:c r="B158" s="37" t="n">
        <x:v>154</x:v>
      </x:c>
      <x:c r="C158" s="27" t="str">
        <x:v>S12</x:v>
      </x:c>
      <x:c r="D158" s="37" t="n">
        <x:v>12</x:v>
      </x:c>
      <x:c r="E158" s="27" t="str">
        <x:v>Kindergarten</x:v>
      </x:c>
      <x:c r="F158" s="27" t="str">
        <x:v>K</x:v>
      </x:c>
      <x:c r="G158" s="27" t="str">
        <x:v>Foundational decoding, number, and inquiry</x:v>
      </x:c>
      <x:c r="H158" s="27" t="str">
        <x:v>Physical &amp; Health</x:v>
      </x:c>
      <x:c r="I158" s="27" t="str">
        <x:v>Movement and wellness</x:v>
      </x:c>
      <x:c r="J158" s="27" t="str">
        <x:v>Movement patterns, body signals, and safety</x:v>
      </x:c>
      <x:c r="K158" s="27" t="str">
        <x:v>Refining locomotor/object-control skills, recognizing exertion and body needs, and applying hygiene, boundary, emergency, and safe-participation rules.</x:v>
      </x:c>
      <x:c r="L158" s="27" t="str">
        <x:v>Fundamental movement exploration and pre-K health literacy.</x:v>
      </x:c>
      <x:c r="M158" s="27" t="str">
        <x:v>S11-HLTH-01</x:v>
      </x:c>
      <x:c r="N158" s="27" t="str">
        <x:v>G4/G5 — Concrete model linked to coordinated representations</x:v>
      </x:c>
      <x:c r="O158" s="27" t="str">
        <x:v>Motor/sensory development; life science; measurement/data; SEL/self-management; communication, safety, and decision-making.</x:v>
      </x:c>
      <x:c r="P158" s="27" t="str">
        <x:v>Competence plus health knowledge supports confident, safe participation.</x:v>
      </x:c>
      <x:c r="Q158" s="27" t="str">
        <x:v>S13-HLTH-01</x:v>
      </x:c>
      <x:c r="R158" s="27" t="str">
        <x:v>Demonstrates a taught movement pattern and explains a related safety or wellness choice.</x:v>
      </x:c>
      <x:c r="S158" s="27" t="str">
        <x:v>SRC14; SRC15</x:v>
      </x:c>
      <x:c r="T158" s="27" t="str">
        <x:v>Development varies; use observed performance and appropriate supports rather than age alone.</x:v>
      </x:c>
      <x:c r="U158" s="27" t="str"/>
      <x:c r="V158" s="27" t="str"/>
      <x:c r="W158" s="39" t="str"/>
      <x:c r="X158" s="39" t="str"/>
    </x:row>
    <x:row r="159">
      <x:c r="A159" s="27" t="str">
        <x:v>S12-COMP-01</x:v>
      </x:c>
      <x:c r="B159" s="37" t="n">
        <x:v>155</x:v>
      </x:c>
      <x:c r="C159" s="27" t="str">
        <x:v>S12</x:v>
      </x:c>
      <x:c r="D159" s="37" t="n">
        <x:v>12</x:v>
      </x:c>
      <x:c r="E159" s="27" t="str">
        <x:v>Kindergarten</x:v>
      </x:c>
      <x:c r="F159" s="27" t="str">
        <x:v>K</x:v>
      </x:c>
      <x:c r="G159" s="27" t="str">
        <x:v>Foundational decoding, number, and inquiry</x:v>
      </x:c>
      <x:c r="H159" s="27" t="str">
        <x:v>Computing &amp; Media</x:v>
      </x:c>
      <x:c r="I159" s="27" t="str">
        <x:v>Algorithms and responsibility</x:v>
      </x:c>
      <x:c r="J159" s="27" t="str">
        <x:v>Sequences, events, choices, and device care</x:v>
      </x:c>
      <x:c r="K159" s="27" t="str">
        <x:v>Representing a task as ordered steps, using events or simple choices in an age-appropriate program, and following privacy, care, and media-use rules.</x:v>
      </x:c>
      <x:c r="L159" s="27" t="str">
        <x:v>Ordered commands, debugging, rules, and symbolic representation.</x:v>
      </x:c>
      <x:c r="M159" s="27" t="str">
        <x:v>S11-COMP-01</x:v>
      </x:c>
      <x:c r="N159" s="27" t="str">
        <x:v>G4/G5 — Concrete model linked to coordinated representations</x:v>
      </x:c>
      <x:c r="O159" s="27" t="str">
        <x:v>Mathematics/logic/data; language and media evidence; science/engineering models; art/design; civics, privacy, finance, and ethics.</x:v>
      </x:c>
      <x:c r="P159" s="27" t="str">
        <x:v>Algorithms make procedures explicit; responsible use establishes safe computing habits.</x:v>
      </x:c>
      <x:c r="Q159" s="27" t="str">
        <x:v>S13-COMP-01</x:v>
      </x:c>
      <x:c r="R159" s="27" t="str">
        <x:v>Creates or follows a simple algorithm, fixes one error, and applies a stated digital rule.</x:v>
      </x:c>
      <x:c r="S159" s="27" t="str">
        <x:v>SRC16; SRC20</x:v>
      </x:c>
      <x:c r="T159" s="27" t="str">
        <x:v>Development varies; use observed performance and appropriate supports rather than age alone.</x:v>
      </x:c>
      <x:c r="U159" s="27" t="str"/>
      <x:c r="V159" s="27" t="str"/>
      <x:c r="W159" s="39" t="str"/>
      <x:c r="X159" s="39" t="str"/>
    </x:row>
    <x:row r="160">
      <x:c r="A160" s="27" t="str">
        <x:v>S13-LEARN-01</x:v>
      </x:c>
      <x:c r="B160" s="37" t="n">
        <x:v>156</x:v>
      </x:c>
      <x:c r="C160" s="27" t="str">
        <x:v>S13</x:v>
      </x:c>
      <x:c r="D160" s="37" t="n">
        <x:v>13</x:v>
      </x:c>
      <x:c r="E160" s="27" t="str">
        <x:v>Grade 1</x:v>
      </x:c>
      <x:c r="F160" s="27" t="str">
        <x:v>1</x:v>
      </x:c>
      <x:c r="G160" s="27" t="str">
        <x:v>Code fluency and whole-number structure</x:v>
      </x:c>
      <x:c r="H160" s="27" t="str">
        <x:v>Learning Foundations</x:v>
      </x:c>
      <x:c r="I160" s="27" t="str">
        <x:v>Study habits</x:v>
      </x:c>
      <x:c r="J160" s="27" t="str">
        <x:v>Retrieval and spaced review</x:v>
      </x:c>
      <x:c r="K160" s="27" t="str">
        <x:v>Recalling previously learned information without seeing the answer and revisiting it after time has passed.</x:v>
      </x:c>
      <x:c r="L160" s="27" t="str">
        <x:v>Independent task cycle and basic memory monitoring.</x:v>
      </x:c>
      <x:c r="M160" s="27" t="str">
        <x:v>S12-LEARN-01</x:v>
      </x:c>
      <x:c r="N160" s="27" t="str">
        <x:v>G4/G5 — Concrete model linked to coordinated representations</x:v>
      </x:c>
      <x:c r="O160" s="27" t="str">
        <x:v>All domains: attention, memory, strategy choice, monitoring, retrieval, and transfer.</x:v>
      </x:c>
      <x:c r="P160" s="27" t="str">
        <x:v>Retrieval strengthens access; spacing helps learning remain available beyond the lesson.</x:v>
      </x:c>
      <x:c r="Q160" s="27" t="str">
        <x:v>S14-LEARN-01</x:v>
      </x:c>
      <x:c r="R160" s="27" t="str">
        <x:v>Recalls a taught fact or process after a delay and identifies what needs another review.</x:v>
      </x:c>
      <x:c r="S160" s="27" t="str">
        <x:v>SRC23</x:v>
      </x:c>
      <x:c r="T160" s="27" t="str">
        <x:v>Development varies; use observed performance and appropriate supports rather than age alone.</x:v>
      </x:c>
      <x:c r="U160" s="27" t="str"/>
      <x:c r="V160" s="27" t="str"/>
      <x:c r="W160" s="39" t="str"/>
      <x:c r="X160" s="39" t="str"/>
    </x:row>
    <x:row r="161">
      <x:c r="A161" s="27" t="str">
        <x:v>S13-SEL-01</x:v>
      </x:c>
      <x:c r="B161" s="37" t="n">
        <x:v>157</x:v>
      </x:c>
      <x:c r="C161" s="27" t="str">
        <x:v>S13</x:v>
      </x:c>
      <x:c r="D161" s="37" t="n">
        <x:v>13</x:v>
      </x:c>
      <x:c r="E161" s="27" t="str">
        <x:v>Grade 1</x:v>
      </x:c>
      <x:c r="F161" s="27" t="str">
        <x:v>1</x:v>
      </x:c>
      <x:c r="G161" s="27" t="str">
        <x:v>Code fluency and whole-number structure</x:v>
      </x:c>
      <x:c r="H161" s="27" t="str">
        <x:v>Social-Emotional</x:v>
      </x:c>
      <x:c r="I161" s="27" t="str">
        <x:v>Self-management</x:v>
      </x:c>
      <x:c r="J161" s="27" t="str">
        <x:v>Goal, strategy, reflection</x:v>
      </x:c>
      <x:c r="K161" s="27" t="str">
        <x:v>Setting a short specific learning or behavior goal, using one strategy, and reflecting on the result.</x:v>
      </x:c>
      <x:c r="L161" s="27" t="str">
        <x:v>Plan–do–review and help calibration.</x:v>
      </x:c>
      <x:c r="M161" s="27" t="str">
        <x:v>S12-SEL-01</x:v>
      </x:c>
      <x:c r="N161" s="27" t="str">
        <x:v>G4/G5 — Concrete model linked to coordinated representations</x:v>
      </x:c>
      <x:c r="O161" s="27" t="str">
        <x:v>Language and communication; health; collaboration in science, arts, civics, and projects; responsible digital/financial decisions.</x:v>
      </x:c>
      <x:c r="P161" s="27" t="str">
        <x:v>An explicit goal cycle turns adult-supported routines into self-managed learning.</x:v>
      </x:c>
      <x:c r="Q161" s="27" t="str">
        <x:v>S14-SEL-01</x:v>
      </x:c>
      <x:c r="R161" s="27" t="str">
        <x:v>States a goal and later explains whether the strategy moved work toward it.</x:v>
      </x:c>
      <x:c r="S161" s="27" t="str">
        <x:v>SRC18</x:v>
      </x:c>
      <x:c r="T161" s="27" t="str">
        <x:v>Development varies; use observed performance and appropriate supports rather than age alone.</x:v>
      </x:c>
      <x:c r="U161" s="27" t="str"/>
      <x:c r="V161" s="27" t="str"/>
      <x:c r="W161" s="39" t="str"/>
      <x:c r="X161" s="39" t="str"/>
    </x:row>
    <x:row r="162">
      <x:c r="A162" s="27" t="str">
        <x:v>S13-LANG-01</x:v>
      </x:c>
      <x:c r="B162" s="37" t="n">
        <x:v>158</x:v>
      </x:c>
      <x:c r="C162" s="27" t="str">
        <x:v>S13</x:v>
      </x:c>
      <x:c r="D162" s="37" t="n">
        <x:v>13</x:v>
      </x:c>
      <x:c r="E162" s="27" t="str">
        <x:v>Grade 1</x:v>
      </x:c>
      <x:c r="F162" s="27" t="str">
        <x:v>1</x:v>
      </x:c>
      <x:c r="G162" s="27" t="str">
        <x:v>Code fluency and whole-number structure</x:v>
      </x:c>
      <x:c r="H162" s="27" t="str">
        <x:v>Language &amp; Communication</x:v>
      </x:c>
      <x:c r="I162" s="27" t="str">
        <x:v>Oral language</x:v>
      </x:c>
      <x:c r="J162" s="27" t="str">
        <x:v>Elaboration and clarification</x:v>
      </x:c>
      <x:c r="K162" s="27" t="str">
        <x:v>Adding relevant details, asking for clarification, and restating an idea when a listener does not understand.</x:v>
      </x:c>
      <x:c r="L162" s="27" t="str">
        <x:v>Complete responses and perspective-taking.</x:v>
      </x:c>
      <x:c r="M162" s="27" t="str">
        <x:v>S12-LANG-01</x:v>
      </x:c>
      <x:c r="N162" s="27" t="str">
        <x:v>G4/G5 — Concrete model linked to coordinated representations</x:v>
      </x:c>
      <x:c r="O162" s="27" t="str">
        <x:v>Reading and writing; vocabulary for math/science/social studies; discussion, music prosody, and world-language learning.</x:v>
      </x:c>
      <x:c r="P162" s="27" t="str">
        <x:v>Audience-aware explanation supports comprehension, collaboration, and writing revision.</x:v>
      </x:c>
      <x:c r="Q162" s="27" t="str">
        <x:v>S14-LANG-01</x:v>
      </x:c>
      <x:c r="R162" s="27" t="str">
        <x:v>Clarifies an idea using an example, description, or rephrasing.</x:v>
      </x:c>
      <x:c r="S162" s="27" t="str">
        <x:v>SRC10</x:v>
      </x:c>
      <x:c r="T162" s="27" t="str">
        <x:v>Development varies; use observed performance and appropriate supports rather than age alone.</x:v>
      </x:c>
      <x:c r="U162" s="27" t="str"/>
      <x:c r="V162" s="27" t="str"/>
      <x:c r="W162" s="39" t="str"/>
      <x:c r="X162" s="39" t="str"/>
    </x:row>
    <x:row r="163">
      <x:c r="A163" s="27" t="str">
        <x:v>S13-READ-01</x:v>
      </x:c>
      <x:c r="B163" s="37" t="n">
        <x:v>159</x:v>
      </x:c>
      <x:c r="C163" s="27" t="str">
        <x:v>S13</x:v>
      </x:c>
      <x:c r="D163" s="37" t="n">
        <x:v>13</x:v>
      </x:c>
      <x:c r="E163" s="27" t="str">
        <x:v>Grade 1</x:v>
      </x:c>
      <x:c r="F163" s="27" t="str">
        <x:v>1</x:v>
      </x:c>
      <x:c r="G163" s="27" t="str">
        <x:v>Code fluency and whole-number structure</x:v>
      </x:c>
      <x:c r="H163" s="27" t="str">
        <x:v>Reading</x:v>
      </x:c>
      <x:c r="I163" s="27" t="str">
        <x:v>Phonics</x:v>
      </x:c>
      <x:c r="J163" s="27" t="str">
        <x:v>Digraphs, blends, final-e, and common vowel teams</x:v>
      </x:c>
      <x:c r="K163" s="27" t="str">
        <x:v>Decoding and encoding words with common consonant digraphs/blends, silent-e long vowels, and explicitly taught vowel teams.</x:v>
      </x:c>
      <x:c r="L163" s="27" t="str">
        <x:v>CVC decoding, phoneme manipulation, and alphabetic principle.</x:v>
      </x:c>
      <x:c r="M163" s="27" t="str">
        <x:v>S12-READ-06</x:v>
      </x:c>
      <x:c r="N163" s="27" t="str">
        <x:v>G4/G5 — Concrete model linked to coordinated representations</x:v>
      </x:c>
      <x:c r="O163" s="27" t="str">
        <x:v>Oral language and writing; evidence in science/social studies; mathematical and technical problem interpretation; media verification.</x:v>
      </x:c>
      <x:c r="P163" s="27" t="str">
        <x:v>Expanding grapheme patterns greatly increases decodable vocabulary.</x:v>
      </x:c>
      <x:c r="Q163" s="27" t="str">
        <x:v>S13-READ-02</x:v>
      </x:c>
      <x:c r="R163" s="27" t="str">
        <x:v>Reads and spells mixed words containing taught patterns and explains the pattern used.</x:v>
      </x:c>
      <x:c r="S163" s="27" t="str">
        <x:v>SRC08; SRC10</x:v>
      </x:c>
      <x:c r="T163" s="27" t="str">
        <x:v>Development varies; use observed performance and appropriate supports rather than age alone.</x:v>
      </x:c>
      <x:c r="U163" s="27" t="str"/>
      <x:c r="V163" s="27" t="str"/>
      <x:c r="W163" s="39" t="str"/>
      <x:c r="X163" s="39" t="str"/>
    </x:row>
    <x:row r="164">
      <x:c r="A164" s="27" t="str">
        <x:v>S13-READ-02</x:v>
      </x:c>
      <x:c r="B164" s="37" t="n">
        <x:v>160</x:v>
      </x:c>
      <x:c r="C164" s="27" t="str">
        <x:v>S13</x:v>
      </x:c>
      <x:c r="D164" s="37" t="n">
        <x:v>13</x:v>
      </x:c>
      <x:c r="E164" s="27" t="str">
        <x:v>Grade 1</x:v>
      </x:c>
      <x:c r="F164" s="27" t="str">
        <x:v>1</x:v>
      </x:c>
      <x:c r="G164" s="27" t="str">
        <x:v>Code fluency and whole-number structure</x:v>
      </x:c>
      <x:c r="H164" s="27" t="str">
        <x:v>Reading</x:v>
      </x:c>
      <x:c r="I164" s="27" t="str">
        <x:v>Word analysis</x:v>
      </x:c>
      <x:c r="J164" s="27" t="str">
        <x:v>Syllable and inflection awareness</x:v>
      </x:c>
      <x:c r="K164" s="27" t="str">
        <x:v>Reading one- and two-syllable words and using common endings such as -s, -es, -ed, and -ing while preserving base-word meaning.</x:v>
      </x:c>
      <x:c r="L164" s="27" t="str">
        <x:v>Basic decoding, syllable awareness, and vocabulary.</x:v>
      </x:c>
      <x:c r="M164" s="27" t="str">
        <x:v>S13-READ-01</x:v>
      </x:c>
      <x:c r="N164" s="27" t="str">
        <x:v>G4/G5 — Concrete model linked to coordinated representations</x:v>
      </x:c>
      <x:c r="O164" s="27" t="str">
        <x:v>Oral language and writing; evidence in science/social studies; mathematical and technical problem interpretation; media verification.</x:v>
      </x:c>
      <x:c r="P164" s="27" t="str">
        <x:v>Syllables and morphemes provide manageable units for longer words.</x:v>
      </x:c>
      <x:c r="Q164" s="27" t="str">
        <x:v>S13-READ-03</x:v>
      </x:c>
      <x:c r="R164" s="27" t="str">
        <x:v>Breaks a taught longer word into pronounceable/meaningful parts and reads it accurately.</x:v>
      </x:c>
      <x:c r="S164" s="27" t="str">
        <x:v>SRC08; SRC10</x:v>
      </x:c>
      <x:c r="T164" s="27" t="str">
        <x:v>Development varies; use observed performance and appropriate supports rather than age alone.</x:v>
      </x:c>
      <x:c r="U164" s="27" t="str"/>
      <x:c r="V164" s="27" t="str"/>
      <x:c r="W164" s="39" t="str"/>
      <x:c r="X164" s="39" t="str"/>
    </x:row>
    <x:row r="165">
      <x:c r="A165" s="27" t="str">
        <x:v>S13-READ-03</x:v>
      </x:c>
      <x:c r="B165" s="37" t="n">
        <x:v>161</x:v>
      </x:c>
      <x:c r="C165" s="27" t="str">
        <x:v>S13</x:v>
      </x:c>
      <x:c r="D165" s="37" t="n">
        <x:v>13</x:v>
      </x:c>
      <x:c r="E165" s="27" t="str">
        <x:v>Grade 1</x:v>
      </x:c>
      <x:c r="F165" s="27" t="str">
        <x:v>1</x:v>
      </x:c>
      <x:c r="G165" s="27" t="str">
        <x:v>Code fluency and whole-number structure</x:v>
      </x:c>
      <x:c r="H165" s="27" t="str">
        <x:v>Reading</x:v>
      </x:c>
      <x:c r="I165" s="27" t="str">
        <x:v>Fluency</x:v>
      </x:c>
      <x:c r="J165" s="27" t="str">
        <x:v>Accurate connected-text reading</x:v>
      </x:c>
      <x:c r="K165" s="27" t="str">
        <x:v>Reading decodable and grade-appropriate text accurately with growing automaticity, phrasing, and self-correction.</x:v>
      </x:c>
      <x:c r="L165" s="27" t="str">
        <x:v>Reliable word decoding and mapped high-frequency words.</x:v>
      </x:c>
      <x:c r="M165" s="27" t="str">
        <x:v>S13-READ-02</x:v>
      </x:c>
      <x:c r="N165" s="27" t="str">
        <x:v>G4/G5 — Concrete model linked to coordinated representations</x:v>
      </x:c>
      <x:c r="O165" s="27" t="str">
        <x:v>Oral language and writing; evidence in science/social studies; mathematical and technical problem interpretation; media verification.</x:v>
      </x:c>
      <x:c r="P165" s="27" t="str">
        <x:v>Accuracy and automaticity free working memory for comprehension.</x:v>
      </x:c>
      <x:c r="Q165" s="27" t="str">
        <x:v>S13-READ-04</x:v>
      </x:c>
      <x:c r="R165" s="27" t="str">
        <x:v>Reads a short unfamiliar passage accurately and corrects a mismatch with syntax or meaning.</x:v>
      </x:c>
      <x:c r="S165" s="27" t="str">
        <x:v>SRC08; SRC10</x:v>
      </x:c>
      <x:c r="T165" s="27" t="str">
        <x:v>Development varies; use observed performance and appropriate supports rather than age alone.</x:v>
      </x:c>
      <x:c r="U165" s="27" t="str"/>
      <x:c r="V165" s="27" t="str"/>
      <x:c r="W165" s="39" t="str"/>
      <x:c r="X165" s="39" t="str"/>
    </x:row>
    <x:row r="166">
      <x:c r="A166" s="27" t="str">
        <x:v>S13-READ-04</x:v>
      </x:c>
      <x:c r="B166" s="37" t="n">
        <x:v>162</x:v>
      </x:c>
      <x:c r="C166" s="27" t="str">
        <x:v>S13</x:v>
      </x:c>
      <x:c r="D166" s="37" t="n">
        <x:v>13</x:v>
      </x:c>
      <x:c r="E166" s="27" t="str">
        <x:v>Grade 1</x:v>
      </x:c>
      <x:c r="F166" s="27" t="str">
        <x:v>1</x:v>
      </x:c>
      <x:c r="G166" s="27" t="str">
        <x:v>Code fluency and whole-number structure</x:v>
      </x:c>
      <x:c r="H166" s="27" t="str">
        <x:v>Reading</x:v>
      </x:c>
      <x:c r="I166" s="27" t="str">
        <x:v>Comprehension</x:v>
      </x:c>
      <x:c r="J166" s="27" t="str">
        <x:v>Retell, central message, and evidence</x:v>
      </x:c>
      <x:c r="K166" s="27" t="str">
        <x:v>Retelling key events in order, identifying a lesson or main topic, and pointing to words/pictures that support an answer.</x:v>
      </x:c>
      <x:c r="L166" s="27" t="str">
        <x:v>Story elements, connected-text reading, and oral narrative.</x:v>
      </x:c>
      <x:c r="M166" s="27" t="str">
        <x:v>S13-READ-03</x:v>
      </x:c>
      <x:c r="N166" s="27" t="str">
        <x:v>G4/G5 — Concrete model linked to coordinated representations</x:v>
      </x:c>
      <x:c r="O166" s="27" t="str">
        <x:v>Oral language and writing; evidence in science/social studies; mathematical and technical problem interpretation; media verification.</x:v>
      </x:c>
      <x:c r="P166" s="27" t="str">
        <x:v>Text-linked answers establish the habit of evidence-based comprehension.</x:v>
      </x:c>
      <x:c r="Q166" s="27" t="str">
        <x:v>S14-READ-01</x:v>
      </x:c>
      <x:c r="R166" s="27" t="str">
        <x:v>States a central message or topic and supports it with at least two relevant details.</x:v>
      </x:c>
      <x:c r="S166" s="27" t="str">
        <x:v>SRC10</x:v>
      </x:c>
      <x:c r="T166" s="27" t="str">
        <x:v>Development varies; use observed performance and appropriate supports rather than age alone.</x:v>
      </x:c>
      <x:c r="U166" s="27" t="str"/>
      <x:c r="V166" s="27" t="str"/>
      <x:c r="W166" s="39" t="str"/>
      <x:c r="X166" s="39" t="str"/>
    </x:row>
    <x:row r="167">
      <x:c r="A167" s="27" t="str">
        <x:v>S13-WRITE-01</x:v>
      </x:c>
      <x:c r="B167" s="37" t="n">
        <x:v>163</x:v>
      </x:c>
      <x:c r="C167" s="27" t="str">
        <x:v>S13</x:v>
      </x:c>
      <x:c r="D167" s="37" t="n">
        <x:v>13</x:v>
      </x:c>
      <x:c r="E167" s="27" t="str">
        <x:v>Grade 1</x:v>
      </x:c>
      <x:c r="F167" s="27" t="str">
        <x:v>1</x:v>
      </x:c>
      <x:c r="G167" s="27" t="str">
        <x:v>Code fluency and whole-number structure</x:v>
      </x:c>
      <x:c r="H167" s="27" t="str">
        <x:v>Writing &amp; Language</x:v>
      </x:c>
      <x:c r="I167" s="27" t="str">
        <x:v>Sentence craft</x:v>
      </x:c>
      <x:c r="J167" s="27" t="str">
        <x:v>Sentence types and conjunctions</x:v>
      </x:c>
      <x:c r="K167" s="27" t="str">
        <x:v>Writing statements, questions, commands, and exclamations and joining related ideas with common conjunctions.</x:v>
      </x:c>
      <x:c r="L167" s="27" t="str">
        <x:v>Complete sentence, capitalization, and ending punctuation.</x:v>
      </x:c>
      <x:c r="M167" s="27" t="str">
        <x:v>S12-WRITE-03</x:v>
      </x:c>
      <x:c r="N167" s="27" t="str">
        <x:v>G4/G5 — Concrete model linked to coordinated representations</x:v>
      </x:c>
      <x:c r="O167" s="27" t="str">
        <x:v>Reading models; evidence from science/social studies; mathematical explanation; research, media, and presentation.</x:v>
      </x:c>
      <x:c r="P167" s="27" t="str">
        <x:v>Sentence variety and coordination support paragraph development.</x:v>
      </x:c>
      <x:c r="Q167" s="27" t="str">
        <x:v>S13-WRITE-02</x:v>
      </x:c>
      <x:c r="R167" s="27" t="str">
        <x:v>Writes several sentence types and combines two related ideas without losing meaning.</x:v>
      </x:c>
      <x:c r="S167" s="27" t="str">
        <x:v>SRC10; SRC21</x:v>
      </x:c>
      <x:c r="T167" s="27" t="str">
        <x:v>Development varies; use observed performance and appropriate supports rather than age alone.</x:v>
      </x:c>
      <x:c r="U167" s="27" t="str"/>
      <x:c r="V167" s="27" t="str"/>
      <x:c r="W167" s="39" t="str"/>
      <x:c r="X167" s="39" t="str"/>
    </x:row>
    <x:row r="168">
      <x:c r="A168" s="27" t="str">
        <x:v>S13-WRITE-02</x:v>
      </x:c>
      <x:c r="B168" s="37" t="n">
        <x:v>164</x:v>
      </x:c>
      <x:c r="C168" s="27" t="str">
        <x:v>S13</x:v>
      </x:c>
      <x:c r="D168" s="37" t="n">
        <x:v>13</x:v>
      </x:c>
      <x:c r="E168" s="27" t="str">
        <x:v>Grade 1</x:v>
      </x:c>
      <x:c r="F168" s="27" t="str">
        <x:v>1</x:v>
      </x:c>
      <x:c r="G168" s="27" t="str">
        <x:v>Code fluency and whole-number structure</x:v>
      </x:c>
      <x:c r="H168" s="27" t="str">
        <x:v>Writing &amp; Language</x:v>
      </x:c>
      <x:c r="I168" s="27" t="str">
        <x:v>Spelling</x:v>
      </x:c>
      <x:c r="J168" s="27" t="str">
        <x:v>Common patterns and inflections</x:v>
      </x:c>
      <x:c r="K168" s="27" t="str">
        <x:v>Applying taught one-syllable spelling patterns, consonant doubling where introduced, and common inflectional endings.</x:v>
      </x:c>
      <x:c r="L168" s="27" t="str">
        <x:v>Phoneme-grapheme encoding and Grade 1 phonics.</x:v>
      </x:c>
      <x:c r="M168" s="27" t="str">
        <x:v>S13-WRITE-01</x:v>
      </x:c>
      <x:c r="N168" s="27" t="str">
        <x:v>G4/G5 — Concrete model linked to coordinated representations</x:v>
      </x:c>
      <x:c r="O168" s="27" t="str">
        <x:v>Reading models; evidence from science/social studies; mathematical explanation; research, media, and presentation.</x:v>
      </x:c>
      <x:c r="P168" s="27" t="str">
        <x:v>Pattern-based spelling makes word storage and morphological consistency visible.</x:v>
      </x:c>
      <x:c r="Q168" s="27" t="str">
        <x:v>S13-WRITE-03</x:v>
      </x:c>
      <x:c r="R168" s="27" t="str">
        <x:v>Spells unfamiliar regular words by explaining sounds, pattern, base, and ending.</x:v>
      </x:c>
      <x:c r="S168" s="27" t="str">
        <x:v>SRC08; SRC10</x:v>
      </x:c>
      <x:c r="T168" s="27" t="str">
        <x:v>Development varies; use observed performance and appropriate supports rather than age alone.</x:v>
      </x:c>
      <x:c r="U168" s="27" t="str"/>
      <x:c r="V168" s="27" t="str"/>
      <x:c r="W168" s="39" t="str"/>
      <x:c r="X168" s="39" t="str"/>
    </x:row>
    <x:row r="169">
      <x:c r="A169" s="27" t="str">
        <x:v>S13-WRITE-03</x:v>
      </x:c>
      <x:c r="B169" s="37" t="n">
        <x:v>165</x:v>
      </x:c>
      <x:c r="C169" s="27" t="str">
        <x:v>S13</x:v>
      </x:c>
      <x:c r="D169" s="37" t="n">
        <x:v>13</x:v>
      </x:c>
      <x:c r="E169" s="27" t="str">
        <x:v>Grade 1</x:v>
      </x:c>
      <x:c r="F169" s="27" t="str">
        <x:v>1</x:v>
      </x:c>
      <x:c r="G169" s="27" t="str">
        <x:v>Code fluency and whole-number structure</x:v>
      </x:c>
      <x:c r="H169" s="27" t="str">
        <x:v>Writing &amp; Language</x:v>
      </x:c>
      <x:c r="I169" s="27" t="str">
        <x:v>Composition</x:v>
      </x:c>
      <x:c r="J169" s="27" t="str">
        <x:v>Sequenced narrative, informative, and opinion pieces</x:v>
      </x:c>
      <x:c r="K169" s="27" t="str">
        <x:v>Writing several connected sentences that recount events, explain a topic, or state an opinion with a reason and closure.</x:v>
      </x:c>
      <x:c r="L169" s="27" t="str">
        <x:v>Sentence craft, oral elaboration, and event order.</x:v>
      </x:c>
      <x:c r="M169" s="27" t="str">
        <x:v>S13-WRITE-02</x:v>
      </x:c>
      <x:c r="N169" s="27" t="str">
        <x:v>G4/G5 — Concrete model linked to coordinated representations</x:v>
      </x:c>
      <x:c r="O169" s="27" t="str">
        <x:v>Reading models; evidence from science/social studies; mathematical explanation; research, media, and presentation.</x:v>
      </x:c>
      <x:c r="P169" s="27" t="str">
        <x:v>Purpose-specific connected writing prepares paragraph structure and genre knowledge.</x:v>
      </x:c>
      <x:c r="Q169" s="27" t="str">
        <x:v>S14-WRITE-01</x:v>
      </x:c>
      <x:c r="R169" s="27" t="str">
        <x:v>Produces a focused piece whose sentences follow a clear purpose and order.</x:v>
      </x:c>
      <x:c r="S169" s="27" t="str">
        <x:v>SRC10; SRC21</x:v>
      </x:c>
      <x:c r="T169" s="27" t="str">
        <x:v>Development varies; use observed performance and appropriate supports rather than age alone.</x:v>
      </x:c>
      <x:c r="U169" s="27" t="str"/>
      <x:c r="V169" s="27" t="str"/>
      <x:c r="W169" s="39" t="str"/>
      <x:c r="X169" s="39" t="str"/>
    </x:row>
    <x:row r="170">
      <x:c r="A170" s="27" t="str">
        <x:v>S13-MATH-01</x:v>
      </x:c>
      <x:c r="B170" s="37" t="n">
        <x:v>166</x:v>
      </x:c>
      <x:c r="C170" s="27" t="str">
        <x:v>S13</x:v>
      </x:c>
      <x:c r="D170" s="37" t="n">
        <x:v>13</x:v>
      </x:c>
      <x:c r="E170" s="27" t="str">
        <x:v>Grade 1</x:v>
      </x:c>
      <x:c r="F170" s="27" t="str">
        <x:v>1</x:v>
      </x:c>
      <x:c r="G170" s="27" t="str">
        <x:v>Code fluency and whole-number structure</x:v>
      </x:c>
      <x:c r="H170" s="27" t="str">
        <x:v>Mathematics</x:v>
      </x:c>
      <x:c r="I170" s="27" t="str">
        <x:v>Operations</x:v>
      </x:c>
      <x:c r="J170" s="27" t="str">
        <x:v>Addition and subtraction within 20</x:v>
      </x:c>
      <x:c r="K170" s="27" t="str">
        <x:v>Using counting-on, making ten, decomposing, inverse relationships, and properties to solve and explain addition/subtraction, with fluency developing within 10.</x:v>
      </x:c>
      <x:c r="L170" s="27" t="str">
        <x:v>Kindergarten operations within 10 and teen-number structure.</x:v>
      </x:c>
      <x:c r="M170" s="27" t="str">
        <x:v>S12-MATH-06</x:v>
      </x:c>
      <x:c r="N170" s="27" t="str">
        <x:v>G4/G5 — Concrete model linked to coordinated representations</x:v>
      </x:c>
      <x:c r="O170" s="27" t="str">
        <x:v>Physical quantity and spatial action; science measurement/models; computing/algorithms; finance; music rhythm/pattern; geographic data.</x:v>
      </x:c>
      <x:c r="P170" s="27" t="str">
        <x:v>Strategic fact reasoning supports fluency and later multi-digit algorithms.</x:v>
      </x:c>
      <x:c r="Q170" s="27" t="str">
        <x:v>S13-MATH-02</x:v>
      </x:c>
      <x:c r="R170" s="27" t="str">
        <x:v>Solves mixed facts and explains a relationship-based strategy rather than recounting every item.</x:v>
      </x:c>
      <x:c r="S170" s="27" t="str">
        <x:v>SRC09</x:v>
      </x:c>
      <x:c r="T170" s="27" t="str">
        <x:v>Development varies; use observed performance and appropriate supports rather than age alone.</x:v>
      </x:c>
      <x:c r="U170" s="27" t="str"/>
      <x:c r="V170" s="27" t="str"/>
      <x:c r="W170" s="39" t="str"/>
      <x:c r="X170" s="39" t="str"/>
    </x:row>
    <x:row r="171">
      <x:c r="A171" s="27" t="str">
        <x:v>S13-MATH-02</x:v>
      </x:c>
      <x:c r="B171" s="37" t="n">
        <x:v>167</x:v>
      </x:c>
      <x:c r="C171" s="27" t="str">
        <x:v>S13</x:v>
      </x:c>
      <x:c r="D171" s="37" t="n">
        <x:v>13</x:v>
      </x:c>
      <x:c r="E171" s="27" t="str">
        <x:v>Grade 1</x:v>
      </x:c>
      <x:c r="F171" s="27" t="str">
        <x:v>1</x:v>
      </x:c>
      <x:c r="G171" s="27" t="str">
        <x:v>Code fluency and whole-number structure</x:v>
      </x:c>
      <x:c r="H171" s="27" t="str">
        <x:v>Mathematics</x:v>
      </x:c>
      <x:c r="I171" s="27" t="str">
        <x:v>Equations</x:v>
      </x:c>
      <x:c r="J171" s="27" t="str">
        <x:v>Unknowns in all positions</x:v>
      </x:c>
      <x:c r="K171" s="27" t="str">
        <x:v>Interpreting and solving addition/subtraction equations and stories with the unknown at the start, change, or result.</x:v>
      </x:c>
      <x:c r="L171" s="27" t="str">
        <x:v>Operation meanings and part–whole structure.</x:v>
      </x:c>
      <x:c r="M171" s="27" t="str">
        <x:v>S13-MATH-01</x:v>
      </x:c>
      <x:c r="N171" s="27" t="str">
        <x:v>G4/G5 — Concrete model linked to coordinated representations</x:v>
      </x:c>
      <x:c r="O171" s="27" t="str">
        <x:v>Physical quantity and spatial action; science measurement/models; computing/algorithms; finance; music rhythm/pattern; geographic data.</x:v>
      </x:c>
      <x:c r="P171" s="27" t="str">
        <x:v>Varying unknown position develops relational equality and algebraic reasoning.</x:v>
      </x:c>
      <x:c r="Q171" s="27" t="str">
        <x:v>S13-MATH-03</x:v>
      </x:c>
      <x:c r="R171" s="27" t="str">
        <x:v>Models and solves an equation such as □ + 5 = 12 or 14 − □ = 8.</x:v>
      </x:c>
      <x:c r="S171" s="27" t="str">
        <x:v>SRC09</x:v>
      </x:c>
      <x:c r="T171" s="27" t="str">
        <x:v>Development varies; use observed performance and appropriate supports rather than age alone.</x:v>
      </x:c>
      <x:c r="U171" s="27" t="str"/>
      <x:c r="V171" s="27" t="str"/>
      <x:c r="W171" s="39" t="str"/>
      <x:c r="X171" s="39" t="str"/>
    </x:row>
    <x:row r="172">
      <x:c r="A172" s="27" t="str">
        <x:v>S13-MATH-03</x:v>
      </x:c>
      <x:c r="B172" s="37" t="n">
        <x:v>168</x:v>
      </x:c>
      <x:c r="C172" s="27" t="str">
        <x:v>S13</x:v>
      </x:c>
      <x:c r="D172" s="37" t="n">
        <x:v>13</x:v>
      </x:c>
      <x:c r="E172" s="27" t="str">
        <x:v>Grade 1</x:v>
      </x:c>
      <x:c r="F172" s="27" t="str">
        <x:v>1</x:v>
      </x:c>
      <x:c r="G172" s="27" t="str">
        <x:v>Code fluency and whole-number structure</x:v>
      </x:c>
      <x:c r="H172" s="27" t="str">
        <x:v>Mathematics</x:v>
      </x:c>
      <x:c r="I172" s="27" t="str">
        <x:v>Place value</x:v>
      </x:c>
      <x:c r="J172" s="27" t="str">
        <x:v>Tens and ones to 120</x:v>
      </x:c>
      <x:c r="K172" s="27" t="str">
        <x:v>Reading, writing, comparing, and representing two-digit numbers as tens and ones.</x:v>
      </x:c>
      <x:c r="L172" s="27" t="str">
        <x:v>Unitizing ten and extended count sequence.</x:v>
      </x:c>
      <x:c r="M172" s="27" t="str">
        <x:v>S13-MATH-02</x:v>
      </x:c>
      <x:c r="N172" s="27" t="str">
        <x:v>G4/G5 — Concrete model linked to coordinated representations</x:v>
      </x:c>
      <x:c r="O172" s="27" t="str">
        <x:v>Physical quantity and spatial action; science measurement/models; computing/algorithms; finance; music rhythm/pattern; geographic data.</x:v>
      </x:c>
      <x:c r="P172" s="27" t="str">
        <x:v>Place-value units organize comparison and multi-digit operations.</x:v>
      </x:c>
      <x:c r="Q172" s="27" t="str">
        <x:v>S13-MATH-04</x:v>
      </x:c>
      <x:c r="R172" s="27" t="str">
        <x:v>Represents a number in units, expanded form, words, and numeral and explains each digit.</x:v>
      </x:c>
      <x:c r="S172" s="27" t="str">
        <x:v>SRC09</x:v>
      </x:c>
      <x:c r="T172" s="27" t="str">
        <x:v>Development varies; use observed performance and appropriate supports rather than age alone.</x:v>
      </x:c>
      <x:c r="U172" s="27" t="str"/>
      <x:c r="V172" s="27" t="str"/>
      <x:c r="W172" s="39" t="str"/>
      <x:c r="X172" s="39" t="str"/>
    </x:row>
    <x:row r="173">
      <x:c r="A173" s="27" t="str">
        <x:v>S13-MATH-04</x:v>
      </x:c>
      <x:c r="B173" s="37" t="n">
        <x:v>169</x:v>
      </x:c>
      <x:c r="C173" s="27" t="str">
        <x:v>S13</x:v>
      </x:c>
      <x:c r="D173" s="37" t="n">
        <x:v>13</x:v>
      </x:c>
      <x:c r="E173" s="27" t="str">
        <x:v>Grade 1</x:v>
      </x:c>
      <x:c r="F173" s="27" t="str">
        <x:v>1</x:v>
      </x:c>
      <x:c r="G173" s="27" t="str">
        <x:v>Code fluency and whole-number structure</x:v>
      </x:c>
      <x:c r="H173" s="27" t="str">
        <x:v>Mathematics</x:v>
      </x:c>
      <x:c r="I173" s="27" t="str">
        <x:v>Multi-digit operations</x:v>
      </x:c>
      <x:c r="J173" s="27" t="str">
        <x:v>Add/subtract within 100 conceptually</x:v>
      </x:c>
      <x:c r="K173" s="27" t="str">
        <x:v>Using concrete models, drawings, place value, and properties to add and subtract within 100, including cases that compose a ten.</x:v>
      </x:c>
      <x:c r="L173" s="27" t="str">
        <x:v>Tens/ones and facts within 20.</x:v>
      </x:c>
      <x:c r="M173" s="27" t="str">
        <x:v>S13-MATH-03</x:v>
      </x:c>
      <x:c r="N173" s="27" t="str">
        <x:v>G4/G5 — Concrete model linked to coordinated representations</x:v>
      </x:c>
      <x:c r="O173" s="27" t="str">
        <x:v>Physical quantity and spatial action; science measurement/models; computing/algorithms; finance; music rhythm/pattern; geographic data.</x:v>
      </x:c>
      <x:c r="P173" s="27" t="str">
        <x:v>Conceptual regrouping prepares efficient written algorithms.</x:v>
      </x:c>
      <x:c r="Q173" s="27" t="str">
        <x:v>S13-MATH-05</x:v>
      </x:c>
      <x:c r="R173" s="27" t="str">
        <x:v>Explains how ones and tens change in a two-digit calculation.</x:v>
      </x:c>
      <x:c r="S173" s="27" t="str">
        <x:v>SRC09</x:v>
      </x:c>
      <x:c r="T173" s="27" t="str">
        <x:v>Development varies; use observed performance and appropriate supports rather than age alone.</x:v>
      </x:c>
      <x:c r="U173" s="27" t="str"/>
      <x:c r="V173" s="27" t="str"/>
      <x:c r="W173" s="39" t="str"/>
      <x:c r="X173" s="39" t="str"/>
    </x:row>
    <x:row r="174">
      <x:c r="A174" s="27" t="str">
        <x:v>S13-MATH-05</x:v>
      </x:c>
      <x:c r="B174" s="37" t="n">
        <x:v>170</x:v>
      </x:c>
      <x:c r="C174" s="27" t="str">
        <x:v>S13</x:v>
      </x:c>
      <x:c r="D174" s="37" t="n">
        <x:v>13</x:v>
      </x:c>
      <x:c r="E174" s="27" t="str">
        <x:v>Grade 1</x:v>
      </x:c>
      <x:c r="F174" s="27" t="str">
        <x:v>1</x:v>
      </x:c>
      <x:c r="G174" s="27" t="str">
        <x:v>Code fluency and whole-number structure</x:v>
      </x:c>
      <x:c r="H174" s="27" t="str">
        <x:v>Mathematics</x:v>
      </x:c>
      <x:c r="I174" s="27" t="str">
        <x:v>Measurement</x:v>
      </x:c>
      <x:c r="J174" s="27" t="str">
        <x:v>Length iteration and time</x:v>
      </x:c>
      <x:c r="K174" s="27" t="str">
        <x:v>Measuring length by placing equal units end-to-end without gaps/overlaps and telling/ordering time to the hour and half-hour.</x:v>
      </x:c>
      <x:c r="L174" s="27" t="str">
        <x:v>Direct comparison, counting, and spatial alignment.</x:v>
      </x:c>
      <x:c r="M174" s="27" t="str">
        <x:v>S13-MATH-04</x:v>
      </x:c>
      <x:c r="N174" s="27" t="str">
        <x:v>G4/G5 — Concrete model linked to coordinated representations</x:v>
      </x:c>
      <x:c r="O174" s="27" t="str">
        <x:v>Physical quantity and spatial action; science measurement/models; computing/algorithms; finance; music rhythm/pattern; geographic data.</x:v>
      </x:c>
      <x:c r="P174" s="27" t="str">
        <x:v>Iterated equal units define measurement and support number lines and fractions.</x:v>
      </x:c>
      <x:c r="Q174" s="27" t="str">
        <x:v>S13-MATH-06</x:v>
      </x:c>
      <x:c r="R174" s="27" t="str">
        <x:v>Measures with a repeated unit and explains why equal units and alignment matter.</x:v>
      </x:c>
      <x:c r="S174" s="27" t="str">
        <x:v>SRC09</x:v>
      </x:c>
      <x:c r="T174" s="27" t="str">
        <x:v>Development varies; use observed performance and appropriate supports rather than age alone.</x:v>
      </x:c>
      <x:c r="U174" s="27" t="str"/>
      <x:c r="V174" s="27" t="str"/>
      <x:c r="W174" s="39" t="str"/>
      <x:c r="X174" s="39" t="str"/>
    </x:row>
    <x:row r="175">
      <x:c r="A175" s="27" t="str">
        <x:v>S13-MATH-06</x:v>
      </x:c>
      <x:c r="B175" s="37" t="n">
        <x:v>171</x:v>
      </x:c>
      <x:c r="C175" s="27" t="str">
        <x:v>S13</x:v>
      </x:c>
      <x:c r="D175" s="37" t="n">
        <x:v>13</x:v>
      </x:c>
      <x:c r="E175" s="27" t="str">
        <x:v>Grade 1</x:v>
      </x:c>
      <x:c r="F175" s="27" t="str">
        <x:v>1</x:v>
      </x:c>
      <x:c r="G175" s="27" t="str">
        <x:v>Code fluency and whole-number structure</x:v>
      </x:c>
      <x:c r="H175" s="27" t="str">
        <x:v>Mathematics</x:v>
      </x:c>
      <x:c r="I175" s="27" t="str">
        <x:v>Data and geometry</x:v>
      </x:c>
      <x:c r="J175" s="27" t="str">
        <x:v>Categorical data and equal shares</x:v>
      </x:c>
      <x:c r="K175" s="27" t="str">
        <x:v>Organizing categorical data with up to three categories and composing/partitioning shapes into halves and fourths using equal shares.</x:v>
      </x:c>
      <x:c r="L175" s="27" t="str">
        <x:v>Sorting, counting, shape composition, and part–whole reasoning.</x:v>
      </x:c>
      <x:c r="M175" s="27" t="str">
        <x:v>S13-MATH-05</x:v>
      </x:c>
      <x:c r="N175" s="27" t="str">
        <x:v>G4/G5 — Concrete model linked to coordinated representations</x:v>
      </x:c>
      <x:c r="O175" s="27" t="str">
        <x:v>Physical quantity and spatial action; science measurement/models; computing/algorithms; finance; music rhythm/pattern; geographic data.</x:v>
      </x:c>
      <x:c r="P175" s="27" t="str">
        <x:v>Data counts introduce quantitative comparison; equal shares introduce fractional language.</x:v>
      </x:c>
      <x:c r="Q175" s="27" t="str">
        <x:v>S14-MATH-01</x:v>
      </x:c>
      <x:c r="R175" s="27" t="str">
        <x:v>Answers comparison questions from a data display and justifies whether shape shares are equal.</x:v>
      </x:c>
      <x:c r="S175" s="27" t="str">
        <x:v>SRC09</x:v>
      </x:c>
      <x:c r="T175" s="27" t="str">
        <x:v>Development varies; use observed performance and appropriate supports rather than age alone.</x:v>
      </x:c>
      <x:c r="U175" s="27" t="str"/>
      <x:c r="V175" s="27" t="str"/>
      <x:c r="W175" s="39" t="str"/>
      <x:c r="X175" s="39" t="str"/>
    </x:row>
    <x:row r="176">
      <x:c r="A176" s="27" t="str">
        <x:v>S13-SCI-01</x:v>
      </x:c>
      <x:c r="B176" s="37" t="n">
        <x:v>172</x:v>
      </x:c>
      <x:c r="C176" s="27" t="str">
        <x:v>S13</x:v>
      </x:c>
      <x:c r="D176" s="37" t="n">
        <x:v>13</x:v>
      </x:c>
      <x:c r="E176" s="27" t="str">
        <x:v>Grade 1</x:v>
      </x:c>
      <x:c r="F176" s="27" t="str">
        <x:v>1</x:v>
      </x:c>
      <x:c r="G176" s="27" t="str">
        <x:v>Code fluency and whole-number structure</x:v>
      </x:c>
      <x:c r="H176" s="27" t="str">
        <x:v>Science &amp; Engineering</x:v>
      </x:c>
      <x:c r="I176" s="27" t="str">
        <x:v>Physical science</x:v>
      </x:c>
      <x:c r="J176" s="27" t="str">
        <x:v>Light and sound</x:v>
      </x:c>
      <x:c r="K176" s="27" t="str">
        <x:v>Investigating how vibrating materials make sound and how light is needed to see and interacts with materials.</x:v>
      </x:c>
      <x:c r="L176" s="27" t="str">
        <x:v>Kindergarten observation, pushes/pulls, and sound contrast.</x:v>
      </x:c>
      <x:c r="M176" s="27" t="str">
        <x:v>S12-SCI-03</x:v>
      </x:c>
      <x:c r="N176" s="27" t="str">
        <x:v>G4/G5 — Concrete model linked to coordinated representations</x:v>
      </x:c>
      <x:c r="O176" s="27" t="str">
        <x:v>Sensory observation and action; mathematics/data; reading/writing evidence; computing/models; health and environmental/civic decisions.</x:v>
      </x:c>
      <x:c r="P176" s="27" t="str">
        <x:v>Observable waves prepare later energy-transfer models.</x:v>
      </x:c>
      <x:c r="Q176" s="27" t="str">
        <x:v>S13-SCI-02</x:v>
      </x:c>
      <x:c r="R176" s="27" t="str">
        <x:v>Uses an investigation to explain a sound or light phenomenon.</x:v>
      </x:c>
      <x:c r="S176" s="27" t="str">
        <x:v>SRC11</x:v>
      </x:c>
      <x:c r="T176" s="27" t="str">
        <x:v>Development varies; use observed performance and appropriate supports rather than age alone.</x:v>
      </x:c>
      <x:c r="U176" s="27" t="str"/>
      <x:c r="V176" s="27" t="str"/>
      <x:c r="W176" s="39" t="str"/>
      <x:c r="X176" s="39" t="str"/>
    </x:row>
    <x:row r="177">
      <x:c r="A177" s="27" t="str">
        <x:v>S13-SCI-02</x:v>
      </x:c>
      <x:c r="B177" s="37" t="n">
        <x:v>173</x:v>
      </x:c>
      <x:c r="C177" s="27" t="str">
        <x:v>S13</x:v>
      </x:c>
      <x:c r="D177" s="37" t="n">
        <x:v>13</x:v>
      </x:c>
      <x:c r="E177" s="27" t="str">
        <x:v>Grade 1</x:v>
      </x:c>
      <x:c r="F177" s="27" t="str">
        <x:v>1</x:v>
      </x:c>
      <x:c r="G177" s="27" t="str">
        <x:v>Code fluency and whole-number structure</x:v>
      </x:c>
      <x:c r="H177" s="27" t="str">
        <x:v>Science &amp; Engineering</x:v>
      </x:c>
      <x:c r="I177" s="27" t="str">
        <x:v>Life science</x:v>
      </x:c>
      <x:c r="J177" s="27" t="str">
        <x:v>Structures, functions, and information</x:v>
      </x:c>
      <x:c r="K177" s="27" t="str">
        <x:v>Comparing external plant/animal structures, how they support survival, and how parents/offspring use signals and behaviors.</x:v>
      </x:c>
      <x:c r="L177" s="27" t="str">
        <x:v>Needs/environment relationships and attribute comparison.</x:v>
      </x:c>
      <x:c r="M177" s="27" t="str">
        <x:v>S13-SCI-01</x:v>
      </x:c>
      <x:c r="N177" s="27" t="str">
        <x:v>G4/G5 — Concrete model linked to coordinated representations</x:v>
      </x:c>
      <x:c r="O177" s="27" t="str">
        <x:v>Sensory observation and action; mathematics/data; reading/writing evidence; computing/models; health and environmental/civic decisions.</x:v>
      </x:c>
      <x:c r="P177" s="27" t="str">
        <x:v>Structure–function and information processing recur across biology and engineering.</x:v>
      </x:c>
      <x:c r="Q177" s="27" t="str">
        <x:v>S13-SCI-03</x:v>
      </x:c>
      <x:c r="R177" s="27" t="str">
        <x:v>Connects an observed structure or signal to a function using evidence.</x:v>
      </x:c>
      <x:c r="S177" s="27" t="str">
        <x:v>SRC11</x:v>
      </x:c>
      <x:c r="T177" s="27" t="str">
        <x:v>Development varies; use observed performance and appropriate supports rather than age alone.</x:v>
      </x:c>
      <x:c r="U177" s="27" t="str"/>
      <x:c r="V177" s="27" t="str"/>
      <x:c r="W177" s="39" t="str"/>
      <x:c r="X177" s="39" t="str"/>
    </x:row>
    <x:row r="178">
      <x:c r="A178" s="27" t="str">
        <x:v>S13-SCI-03</x:v>
      </x:c>
      <x:c r="B178" s="37" t="n">
        <x:v>174</x:v>
      </x:c>
      <x:c r="C178" s="27" t="str">
        <x:v>S13</x:v>
      </x:c>
      <x:c r="D178" s="37" t="n">
        <x:v>13</x:v>
      </x:c>
      <x:c r="E178" s="27" t="str">
        <x:v>Grade 1</x:v>
      </x:c>
      <x:c r="F178" s="27" t="str">
        <x:v>1</x:v>
      </x:c>
      <x:c r="G178" s="27" t="str">
        <x:v>Code fluency and whole-number structure</x:v>
      </x:c>
      <x:c r="H178" s="27" t="str">
        <x:v>Science &amp; Engineering</x:v>
      </x:c>
      <x:c r="I178" s="27" t="str">
        <x:v>Earth and space</x:v>
      </x:c>
      <x:c r="J178" s="27" t="str">
        <x:v>Sky patterns</x:v>
      </x:c>
      <x:c r="K178" s="27" t="str">
        <x:v>Using observations to describe predictable patterns of sun, moon, stars, daylight, and seasons at an age-appropriate level.</x:v>
      </x:c>
      <x:c r="L178" s="27" t="str">
        <x:v>Weather records, event order, and repeated patterns.</x:v>
      </x:c>
      <x:c r="M178" s="27" t="str">
        <x:v>S13-SCI-02</x:v>
      </x:c>
      <x:c r="N178" s="27" t="str">
        <x:v>G4/G5 — Concrete model linked to coordinated representations</x:v>
      </x:c>
      <x:c r="O178" s="27" t="str">
        <x:v>Sensory observation and action; mathematics/data; reading/writing evidence; computing/models; health and environmental/civic decisions.</x:v>
      </x:c>
      <x:c r="P178" s="27" t="str">
        <x:v>Long-term pattern records support astronomical models and prediction.</x:v>
      </x:c>
      <x:c r="Q178" s="27" t="str">
        <x:v>S14-SCI-01</x:v>
      </x:c>
      <x:c r="R178" s="27" t="str">
        <x:v>Uses a record or model to state a recurring sky pattern.</x:v>
      </x:c>
      <x:c r="S178" s="27" t="str">
        <x:v>SRC11</x:v>
      </x:c>
      <x:c r="T178" s="27" t="str">
        <x:v>Development varies; use observed performance and appropriate supports rather than age alone.</x:v>
      </x:c>
      <x:c r="U178" s="27" t="str"/>
      <x:c r="V178" s="27" t="str"/>
      <x:c r="W178" s="39" t="str"/>
      <x:c r="X178" s="39" t="str"/>
    </x:row>
    <x:row r="179">
      <x:c r="A179" s="27" t="str">
        <x:v>S13-SST-01</x:v>
      </x:c>
      <x:c r="B179" s="37" t="n">
        <x:v>175</x:v>
      </x:c>
      <x:c r="C179" s="27" t="str">
        <x:v>S13</x:v>
      </x:c>
      <x:c r="D179" s="37" t="n">
        <x:v>13</x:v>
      </x:c>
      <x:c r="E179" s="27" t="str">
        <x:v>Grade 1</x:v>
      </x:c>
      <x:c r="F179" s="27" t="str">
        <x:v>1</x:v>
      </x:c>
      <x:c r="G179" s="27" t="str">
        <x:v>Code fluency and whole-number structure</x:v>
      </x:c>
      <x:c r="H179" s="27" t="str">
        <x:v>Social Studies</x:v>
      </x:c>
      <x:c r="I179" s="27" t="str">
        <x:v>Inquiry</x:v>
      </x:c>
      <x:c r="J179" s="27" t="str">
        <x:v>Past, place, rules, and exchange</x:v>
      </x:c>
      <x:c r="K179" s="27" t="str">
        <x:v>Using timelines, maps, artifacts/stories, civic rules, goods/services, and choices to investigate family and local community change.</x:v>
      </x:c>
      <x:c r="L179" s="27" t="str">
        <x:v>Kindergarten community inquiry and connected-text comprehension.</x:v>
      </x:c>
      <x:c r="M179" s="27" t="str">
        <x:v>S12-SST-01</x:v>
      </x:c>
      <x:c r="N179" s="27" t="str">
        <x:v>G4/G5 — Concrete model linked to coordinated representations</x:v>
      </x:c>
      <x:c r="O179" s="27" t="str">
        <x:v>Language/literacy and source evidence; maps/data/economics; ethics/SEL; media literacy; arts/culture; civic action.</x:v>
      </x:c>
      <x:c r="P179" s="27" t="str">
        <x:v>Multiple disciplinary lenses deepen the same concrete community context.</x:v>
      </x:c>
      <x:c r="Q179" s="27" t="str">
        <x:v>S14-SST-01</x:v>
      </x:c>
      <x:c r="R179" s="27" t="str">
        <x:v>Answers a question using a map or timeline plus a relevant source detail.</x:v>
      </x:c>
      <x:c r="S179" s="27" t="str">
        <x:v>SRC12</x:v>
      </x:c>
      <x:c r="T179" s="27" t="str">
        <x:v>Development varies; use observed performance and appropriate supports rather than age alone.</x:v>
      </x:c>
      <x:c r="U179" s="27" t="str"/>
      <x:c r="V179" s="27" t="str"/>
      <x:c r="W179" s="39" t="str"/>
      <x:c r="X179" s="39" t="str"/>
    </x:row>
    <x:row r="180">
      <x:c r="A180" s="27" t="str">
        <x:v>S13-ARTS-01</x:v>
      </x:c>
      <x:c r="B180" s="37" t="n">
        <x:v>176</x:v>
      </x:c>
      <x:c r="C180" s="27" t="str">
        <x:v>S13</x:v>
      </x:c>
      <x:c r="D180" s="37" t="n">
        <x:v>13</x:v>
      </x:c>
      <x:c r="E180" s="27" t="str">
        <x:v>Grade 1</x:v>
      </x:c>
      <x:c r="F180" s="27" t="str">
        <x:v>1</x:v>
      </x:c>
      <x:c r="G180" s="27" t="str">
        <x:v>Code fluency and whole-number structure</x:v>
      </x:c>
      <x:c r="H180" s="27" t="str">
        <x:v>Music &amp; Arts</x:v>
      </x:c>
      <x:c r="I180" s="27" t="str">
        <x:v>Music</x:v>
      </x:c>
      <x:c r="J180" s="27" t="str">
        <x:v>Rhythm/pitch patterns and performance choices</x:v>
      </x:c>
      <x:c r="K180" s="27" t="str">
        <x:v>Reading or inventing simple iconic/conventional patterns, singing or playing with steady beat and contour, and explaining an expressive choice.</x:v>
      </x:c>
      <x:c r="L180" s="27" t="str">
        <x:v>Pre-K music symbols and kindergarten artistic processes.</x:v>
      </x:c>
      <x:c r="M180" s="27" t="str">
        <x:v>S12-ARTS-01</x:v>
      </x:c>
      <x:c r="N180" s="27" t="str">
        <x:v>G4/G5 — Concrete model linked to coordinated representations</x:v>
      </x:c>
      <x:c r="O180" s="27" t="str">
        <x:v>Sensory discrimination; motor timing; language/prosody; mathematics/pattern; history/culture; emotion, design, and technology.</x:v>
      </x:c>
      <x:c r="P180" s="27" t="str">
        <x:v>Pattern notation and reflection connect aural memory to intentional performance.</x:v>
      </x:c>
      <x:c r="Q180" s="27" t="str">
        <x:v>S14-ARTS-01</x:v>
      </x:c>
      <x:c r="R180" s="27" t="str">
        <x:v>Performs a short pattern accurately and identifies one element changed for expression.</x:v>
      </x:c>
      <x:c r="S180" s="27" t="str">
        <x:v>SRC13</x:v>
      </x:c>
      <x:c r="T180" s="27" t="str">
        <x:v>Development varies; use observed performance and appropriate supports rather than age alone.</x:v>
      </x:c>
      <x:c r="U180" s="27" t="str"/>
      <x:c r="V180" s="27" t="str"/>
      <x:c r="W180" s="39" t="str"/>
      <x:c r="X180" s="39" t="str"/>
    </x:row>
    <x:row r="181">
      <x:c r="A181" s="27" t="str">
        <x:v>S13-HLTH-01</x:v>
      </x:c>
      <x:c r="B181" s="37" t="n">
        <x:v>177</x:v>
      </x:c>
      <x:c r="C181" s="27" t="str">
        <x:v>S13</x:v>
      </x:c>
      <x:c r="D181" s="37" t="n">
        <x:v>13</x:v>
      </x:c>
      <x:c r="E181" s="27" t="str">
        <x:v>Grade 1</x:v>
      </x:c>
      <x:c r="F181" s="27" t="str">
        <x:v>1</x:v>
      </x:c>
      <x:c r="G181" s="27" t="str">
        <x:v>Code fluency and whole-number structure</x:v>
      </x:c>
      <x:c r="H181" s="27" t="str">
        <x:v>Physical &amp; Health</x:v>
      </x:c>
      <x:c r="I181" s="27" t="str">
        <x:v>Movement and health</x:v>
      </x:c>
      <x:c r="J181" s="27" t="str">
        <x:v>Skill combinations and healthy routines</x:v>
      </x:c>
      <x:c r="K181" s="27" t="str">
        <x:v>Combining two fundamental movements, participating cooperatively, and explaining how sleep, food, hydration, activity, hygiene, and safety support well-being.</x:v>
      </x:c>
      <x:c r="L181" s="27" t="str">
        <x:v>Kindergarten movement/wellness and multi-step routines.</x:v>
      </x:c>
      <x:c r="M181" s="27" t="str">
        <x:v>S12-HLTH-01</x:v>
      </x:c>
      <x:c r="N181" s="27" t="str">
        <x:v>G4/G5 — Concrete model linked to coordinated representations</x:v>
      </x:c>
      <x:c r="O181" s="27" t="str">
        <x:v>Motor/sensory development; life science; measurement/data; SEL/self-management; communication, safety, and decision-making.</x:v>
      </x:c>
      <x:c r="P181" s="27" t="str">
        <x:v>Combined skills and reasons for routines support transfer beyond a single drill.</x:v>
      </x:c>
      <x:c r="Q181" s="27" t="str">
        <x:v>S14-HLTH-01</x:v>
      </x:c>
      <x:c r="R181" s="27" t="str">
        <x:v>Performs a simple movement sequence and chooses a health-supporting action for a scenario.</x:v>
      </x:c>
      <x:c r="S181" s="27" t="str">
        <x:v>SRC14; SRC15</x:v>
      </x:c>
      <x:c r="T181" s="27" t="str">
        <x:v>Development varies; use observed performance and appropriate supports rather than age alone.</x:v>
      </x:c>
      <x:c r="U181" s="27" t="str"/>
      <x:c r="V181" s="27" t="str"/>
      <x:c r="W181" s="39" t="str"/>
      <x:c r="X181" s="39" t="str"/>
    </x:row>
    <x:row r="182">
      <x:c r="A182" s="27" t="str">
        <x:v>S13-COMP-01</x:v>
      </x:c>
      <x:c r="B182" s="37" t="n">
        <x:v>178</x:v>
      </x:c>
      <x:c r="C182" s="27" t="str">
        <x:v>S13</x:v>
      </x:c>
      <x:c r="D182" s="37" t="n">
        <x:v>13</x:v>
      </x:c>
      <x:c r="E182" s="27" t="str">
        <x:v>Grade 1</x:v>
      </x:c>
      <x:c r="F182" s="27" t="str">
        <x:v>1</x:v>
      </x:c>
      <x:c r="G182" s="27" t="str">
        <x:v>Code fluency and whole-number structure</x:v>
      </x:c>
      <x:c r="H182" s="27" t="str">
        <x:v>Computing &amp; Media</x:v>
      </x:c>
      <x:c r="I182" s="27" t="str">
        <x:v>Programming</x:v>
      </x:c>
      <x:c r="J182" s="27" t="str">
        <x:v>Sequence, loops, events, and debugging</x:v>
      </x:c>
      <x:c r="K182" s="27" t="str">
        <x:v>Creating a simple program using ordered instructions, repeated actions, and events, then locating and correcting an error.</x:v>
      </x:c>
      <x:c r="L182" s="27" t="str">
        <x:v>Kindergarten algorithms, pattern units, and goal reflection.</x:v>
      </x:c>
      <x:c r="M182" s="27" t="str">
        <x:v>S12-COMP-01</x:v>
      </x:c>
      <x:c r="N182" s="27" t="str">
        <x:v>G4/G5 — Concrete model linked to coordinated representations</x:v>
      </x:c>
      <x:c r="O182" s="27" t="str">
        <x:v>Mathematics/logic/data; language and media evidence; science/engineering models; art/design; civics, privacy, finance, and ethics.</x:v>
      </x:c>
      <x:c r="P182" s="27" t="str">
        <x:v>Loops express repetition efficiently and debugging develops test-revise reasoning.</x:v>
      </x:c>
      <x:c r="Q182" s="27" t="str">
        <x:v>S13-COMP-02</x:v>
      </x:c>
      <x:c r="R182" s="27" t="str">
        <x:v>Builds a working program and explains what the loop/event does and what was fixed.</x:v>
      </x:c>
      <x:c r="S182" s="27" t="str">
        <x:v>SRC16</x:v>
      </x:c>
      <x:c r="T182" s="27" t="str">
        <x:v>Development varies; use observed performance and appropriate supports rather than age alone.</x:v>
      </x:c>
      <x:c r="U182" s="27" t="str"/>
      <x:c r="V182" s="27" t="str"/>
      <x:c r="W182" s="39" t="str"/>
      <x:c r="X182" s="39" t="str"/>
    </x:row>
    <x:row r="183">
      <x:c r="A183" s="27" t="str">
        <x:v>S13-COMP-02</x:v>
      </x:c>
      <x:c r="B183" s="37" t="n">
        <x:v>179</x:v>
      </x:c>
      <x:c r="C183" s="27" t="str">
        <x:v>S13</x:v>
      </x:c>
      <x:c r="D183" s="37" t="n">
        <x:v>13</x:v>
      </x:c>
      <x:c r="E183" s="27" t="str">
        <x:v>Grade 1</x:v>
      </x:c>
      <x:c r="F183" s="27" t="str">
        <x:v>1</x:v>
      </x:c>
      <x:c r="G183" s="27" t="str">
        <x:v>Code fluency and whole-number structure</x:v>
      </x:c>
      <x:c r="H183" s="27" t="str">
        <x:v>Computing &amp; Media</x:v>
      </x:c>
      <x:c r="I183" s="27" t="str">
        <x:v>Media literacy</x:v>
      </x:c>
      <x:c r="J183" s="27" t="str">
        <x:v>Creator, purpose, and representation</x:v>
      </x:c>
      <x:c r="K183" s="27" t="str">
        <x:v>Identifying who created a message, its likely purpose, and how words/images/sounds represent people or events.</x:v>
      </x:c>
      <x:c r="L183" s="27" t="str">
        <x:v>Perspective-taking, text evidence, and artistic response.</x:v>
      </x:c>
      <x:c r="M183" s="27" t="str">
        <x:v>S13-COMP-01</x:v>
      </x:c>
      <x:c r="N183" s="27" t="str">
        <x:v>G4/G5 — Concrete model linked to coordinated representations</x:v>
      </x:c>
      <x:c r="O183" s="27" t="str">
        <x:v>Mathematics/logic/data; language and media evidence; science/engineering models; art/design; civics, privacy, finance, and ethics.</x:v>
      </x:c>
      <x:c r="P183" s="27" t="str">
        <x:v>Creator-purpose questions begin critical media interpretation.</x:v>
      </x:c>
      <x:c r="Q183" s="27" t="str">
        <x:v>S14-COMP-01</x:v>
      </x:c>
      <x:c r="R183" s="27" t="str">
        <x:v>Compares two simple messages and identifies a meaningful creator or purpose difference.</x:v>
      </x:c>
      <x:c r="S183" s="27" t="str">
        <x:v>SRC20</x:v>
      </x:c>
      <x:c r="T183" s="27" t="str">
        <x:v>Development varies; use observed performance and appropriate supports rather than age alone.</x:v>
      </x:c>
      <x:c r="U183" s="27" t="str"/>
      <x:c r="V183" s="27" t="str"/>
      <x:c r="W183" s="39" t="str"/>
      <x:c r="X183" s="39" t="str"/>
    </x:row>
    <x:row r="184">
      <x:c r="A184" s="27" t="str">
        <x:v>S13-LIFE-01</x:v>
      </x:c>
      <x:c r="B184" s="37" t="n">
        <x:v>180</x:v>
      </x:c>
      <x:c r="C184" s="27" t="str">
        <x:v>S13</x:v>
      </x:c>
      <x:c r="D184" s="37" t="n">
        <x:v>13</x:v>
      </x:c>
      <x:c r="E184" s="27" t="str">
        <x:v>Grade 1</x:v>
      </x:c>
      <x:c r="F184" s="27" t="str">
        <x:v>1</x:v>
      </x:c>
      <x:c r="G184" s="27" t="str">
        <x:v>Code fluency and whole-number structure</x:v>
      </x:c>
      <x:c r="H184" s="27" t="str">
        <x:v>Life, Finance &amp; Career</x:v>
      </x:c>
      <x:c r="I184" s="27" t="str">
        <x:v>Economic choices</x:v>
      </x:c>
      <x:c r="J184" s="27" t="str">
        <x:v>Needs, wants, earning, saving, and spending</x:v>
      </x:c>
      <x:c r="K184" s="27" t="str">
        <x:v>Distinguishing needs/wants and explaining that people earn money, make spending choices, and can save for later.</x:v>
      </x:c>
      <x:c r="L184" s="27" t="str">
        <x:v>Goods/services, counting, and problem-options-choice.</x:v>
      </x:c>
      <x:c r="M184" s="27" t="str">
        <x:v>FOUNDATION</x:v>
      </x:c>
      <x:c r="N184" s="27" t="str">
        <x:v>G4/G5 — Concrete model linked to coordinated representations</x:v>
      </x:c>
      <x:c r="O184" s="27" t="str">
        <x:v>Mathematics/percent/growth; economics/civics; reading contracts/sources; computing/privacy; SEL, planning, and risk decisions.</x:v>
      </x:c>
      <x:c r="P184" s="27" t="str">
        <x:v>Delayed choice and resource limits are the foundation of personal finance and economics.</x:v>
      </x:c>
      <x:c r="Q184" s="27" t="str">
        <x:v>S14-LIFE-01</x:v>
      </x:c>
      <x:c r="R184" s="27" t="str">
        <x:v>Makes and explains a simple choice among spending, saving, or waiting.</x:v>
      </x:c>
      <x:c r="S184" s="27" t="str">
        <x:v>SRC12; SRC19</x:v>
      </x:c>
      <x:c r="T184" s="27" t="str">
        <x:v>Development varies; use observed performance and appropriate supports rather than age alone.</x:v>
      </x:c>
      <x:c r="U184" s="27" t="str"/>
      <x:c r="V184" s="27" t="str"/>
      <x:c r="W184" s="39" t="str"/>
      <x:c r="X184" s="39" t="str"/>
    </x:row>
    <x:row r="185">
      <x:c r="A185" s="27" t="str">
        <x:v>S14-LEARN-01</x:v>
      </x:c>
      <x:c r="B185" s="37" t="n">
        <x:v>181</x:v>
      </x:c>
      <x:c r="C185" s="27" t="str">
        <x:v>S14</x:v>
      </x:c>
      <x:c r="D185" s="37" t="n">
        <x:v>14</x:v>
      </x:c>
      <x:c r="E185" s="27" t="str">
        <x:v>Grade 2</x:v>
      </x:c>
      <x:c r="F185" s="27" t="str">
        <x:v>2</x:v>
      </x:c>
      <x:c r="G185" s="27" t="str">
        <x:v>Fluency, place value, and connected text</x:v>
      </x:c>
      <x:c r="H185" s="27" t="str">
        <x:v>Learning Foundations</x:v>
      </x:c>
      <x:c r="I185" s="27" t="str">
        <x:v>Metacognition</x:v>
      </x:c>
      <x:c r="J185" s="27" t="str">
        <x:v>Worked example comparison</x:v>
      </x:c>
      <x:c r="K185" s="27" t="str">
        <x:v>Studying a correct model, naming why each step works, and comparing it with an own attempt.</x:v>
      </x:c>
      <x:c r="L185" s="27" t="str">
        <x:v>Goal reflection, retrieval, and explanation language.</x:v>
      </x:c>
      <x:c r="M185" s="27" t="str">
        <x:v>S13-LEARN-01</x:v>
      </x:c>
      <x:c r="N185" s="27" t="str">
        <x:v>G4/G5 — Concrete model linked to coordinated representations</x:v>
      </x:c>
      <x:c r="O185" s="27" t="str">
        <x:v>All domains: attention, memory, strategy choice, monitoring, retrieval, and transfer.</x:v>
      </x:c>
      <x:c r="P185" s="27" t="str">
        <x:v>Comparing structure helps learners generalize procedures and diagnose errors.</x:v>
      </x:c>
      <x:c r="Q185" s="27" t="str">
        <x:v>S15-LEARN-01</x:v>
      </x:c>
      <x:c r="R185" s="27" t="str">
        <x:v>Explains a key step and revises a mismatching part of own work.</x:v>
      </x:c>
      <x:c r="S185" s="27" t="str">
        <x:v>SRC23</x:v>
      </x:c>
      <x:c r="T185" s="27" t="str">
        <x:v>Development varies; use observed performance and appropriate supports rather than age alone.</x:v>
      </x:c>
      <x:c r="U185" s="27" t="str"/>
      <x:c r="V185" s="27" t="str"/>
      <x:c r="W185" s="39" t="str"/>
      <x:c r="X185" s="39" t="str"/>
    </x:row>
    <x:row r="186">
      <x:c r="A186" s="27" t="str">
        <x:v>S14-SEL-01</x:v>
      </x:c>
      <x:c r="B186" s="37" t="n">
        <x:v>182</x:v>
      </x:c>
      <x:c r="C186" s="27" t="str">
        <x:v>S14</x:v>
      </x:c>
      <x:c r="D186" s="37" t="n">
        <x:v>14</x:v>
      </x:c>
      <x:c r="E186" s="27" t="str">
        <x:v>Grade 2</x:v>
      </x:c>
      <x:c r="F186" s="27" t="str">
        <x:v>2</x:v>
      </x:c>
      <x:c r="G186" s="27" t="str">
        <x:v>Fluency, place value, and connected text</x:v>
      </x:c>
      <x:c r="H186" s="27" t="str">
        <x:v>Social-Emotional</x:v>
      </x:c>
      <x:c r="I186" s="27" t="str">
        <x:v>Collaboration</x:v>
      </x:c>
      <x:c r="J186" s="27" t="str">
        <x:v>Shared goal and feedback</x:v>
      </x:c>
      <x:c r="K186" s="27" t="str">
        <x:v>Dividing a short task, contributing a part, giving specific kind feedback, and combining work toward a shared result.</x:v>
      </x:c>
      <x:c r="L186" s="27" t="str">
        <x:v>Cooperative play plan, clarification, and regulation.</x:v>
      </x:c>
      <x:c r="M186" s="27" t="str">
        <x:v>S13-SEL-01</x:v>
      </x:c>
      <x:c r="N186" s="27" t="str">
        <x:v>G4/G5 — Concrete model linked to coordinated representations</x:v>
      </x:c>
      <x:c r="O186" s="27" t="str">
        <x:v>Language and communication; health; collaboration in science, arts, civics, and projects; responsible digital/financial decisions.</x:v>
      </x:c>
      <x:c r="P186" s="27" t="str">
        <x:v>Structured collaboration prepares group investigations and peer revision.</x:v>
      </x:c>
      <x:c r="Q186" s="27" t="str">
        <x:v>S15-SEL-01</x:v>
      </x:c>
      <x:c r="R186" s="27" t="str">
        <x:v>Completes an agreed role and uses feedback tied to the shared criteria.</x:v>
      </x:c>
      <x:c r="S186" s="27" t="str">
        <x:v>SRC18</x:v>
      </x:c>
      <x:c r="T186" s="27" t="str">
        <x:v>Development varies; use observed performance and appropriate supports rather than age alone.</x:v>
      </x:c>
      <x:c r="U186" s="27" t="str"/>
      <x:c r="V186" s="27" t="str"/>
      <x:c r="W186" s="39" t="str"/>
      <x:c r="X186" s="39" t="str"/>
    </x:row>
    <x:row r="187">
      <x:c r="A187" s="27" t="str">
        <x:v>S14-LANG-01</x:v>
      </x:c>
      <x:c r="B187" s="37" t="n">
        <x:v>183</x:v>
      </x:c>
      <x:c r="C187" s="27" t="str">
        <x:v>S14</x:v>
      </x:c>
      <x:c r="D187" s="37" t="n">
        <x:v>14</x:v>
      </x:c>
      <x:c r="E187" s="27" t="str">
        <x:v>Grade 2</x:v>
      </x:c>
      <x:c r="F187" s="27" t="str">
        <x:v>2</x:v>
      </x:c>
      <x:c r="G187" s="27" t="str">
        <x:v>Fluency, place value, and connected text</x:v>
      </x:c>
      <x:c r="H187" s="27" t="str">
        <x:v>Language &amp; Communication</x:v>
      </x:c>
      <x:c r="I187" s="27" t="str">
        <x:v>Vocabulary</x:v>
      </x:c>
      <x:c r="J187" s="27" t="str">
        <x:v>Morphology and context introduction</x:v>
      </x:c>
      <x:c r="K187" s="27" t="str">
        <x:v>Using sentence context and common prefixes, suffixes, roots/base words, synonyms, and antonyms to infer word meaning.</x:v>
      </x:c>
      <x:c r="L187" s="27" t="str">
        <x:v>Category/relationship vocabulary and inflection awareness.</x:v>
      </x:c>
      <x:c r="M187" s="27" t="str">
        <x:v>S13-LANG-01</x:v>
      </x:c>
      <x:c r="N187" s="27" t="str">
        <x:v>G4/G5 — Concrete model linked to coordinated representations</x:v>
      </x:c>
      <x:c r="O187" s="27" t="str">
        <x:v>Reading and writing; vocabulary for math/science/social studies; discussion, music prosody, and world-language learning.</x:v>
      </x:c>
      <x:c r="P187" s="27" t="str">
        <x:v>Word parts and context make vocabulary learning generative.</x:v>
      </x:c>
      <x:c r="Q187" s="27" t="str">
        <x:v>CULMINATION / CONTINUING STUDY</x:v>
      </x:c>
      <x:c r="R187" s="27" t="str">
        <x:v>Explains a plausible word meaning using a context clue or meaningful word part.</x:v>
      </x:c>
      <x:c r="S187" s="27" t="str">
        <x:v>SRC10</x:v>
      </x:c>
      <x:c r="T187" s="27" t="str">
        <x:v>Development varies; use observed performance and appropriate supports rather than age alone.</x:v>
      </x:c>
      <x:c r="U187" s="27" t="str"/>
      <x:c r="V187" s="27" t="str"/>
      <x:c r="W187" s="39" t="str"/>
      <x:c r="X187" s="39" t="str"/>
    </x:row>
    <x:row r="188">
      <x:c r="A188" s="27" t="str">
        <x:v>S14-READ-01</x:v>
      </x:c>
      <x:c r="B188" s="37" t="n">
        <x:v>184</x:v>
      </x:c>
      <x:c r="C188" s="27" t="str">
        <x:v>S14</x:v>
      </x:c>
      <x:c r="D188" s="37" t="n">
        <x:v>14</x:v>
      </x:c>
      <x:c r="E188" s="27" t="str">
        <x:v>Grade 2</x:v>
      </x:c>
      <x:c r="F188" s="27" t="str">
        <x:v>2</x:v>
      </x:c>
      <x:c r="G188" s="27" t="str">
        <x:v>Fluency, place value, and connected text</x:v>
      </x:c>
      <x:c r="H188" s="27" t="str">
        <x:v>Reading</x:v>
      </x:c>
      <x:c r="I188" s="27" t="str">
        <x:v>Phonics and word analysis</x:v>
      </x:c>
      <x:c r="J188" s="27" t="str">
        <x:v>Vowel patterns and two-syllable decoding</x:v>
      </x:c>
      <x:c r="K188" s="27" t="str">
        <x:v>Applying long-vowel teams, r-controlled vowels, diphthongs where taught, common syllable types, and known affixes to decode two-syllable words.</x:v>
      </x:c>
      <x:c r="L188" s="27" t="str">
        <x:v>Grade 1 vowel patterns, syllable awareness, and morphology introduction.</x:v>
      </x:c>
      <x:c r="M188" s="27" t="str">
        <x:v>S13-READ-04</x:v>
      </x:c>
      <x:c r="N188" s="27" t="str">
        <x:v>G4/G5 — Concrete model linked to coordinated representations</x:v>
      </x:c>
      <x:c r="O188" s="27" t="str">
        <x:v>Oral language and writing; evidence in science/social studies; mathematical and technical problem interpretation; media verification.</x:v>
      </x:c>
      <x:c r="P188" s="27" t="str">
        <x:v>Syllable-pattern coordination expands independent access to text.</x:v>
      </x:c>
      <x:c r="Q188" s="27" t="str">
        <x:v>S14-READ-02</x:v>
      </x:c>
      <x:c r="R188" s="27" t="str">
        <x:v>Divides, decodes, and recombines an unfamiliar taught-pattern word accurately.</x:v>
      </x:c>
      <x:c r="S188" s="27" t="str">
        <x:v>SRC08; SRC10</x:v>
      </x:c>
      <x:c r="T188" s="27" t="str">
        <x:v>Development varies; use observed performance and appropriate supports rather than age alone.</x:v>
      </x:c>
      <x:c r="U188" s="27" t="str"/>
      <x:c r="V188" s="27" t="str"/>
      <x:c r="W188" s="39" t="str"/>
      <x:c r="X188" s="39" t="str"/>
    </x:row>
    <x:row r="189">
      <x:c r="A189" s="27" t="str">
        <x:v>S14-READ-02</x:v>
      </x:c>
      <x:c r="B189" s="37" t="n">
        <x:v>185</x:v>
      </x:c>
      <x:c r="C189" s="27" t="str">
        <x:v>S14</x:v>
      </x:c>
      <x:c r="D189" s="37" t="n">
        <x:v>14</x:v>
      </x:c>
      <x:c r="E189" s="27" t="str">
        <x:v>Grade 2</x:v>
      </x:c>
      <x:c r="F189" s="27" t="str">
        <x:v>2</x:v>
      </x:c>
      <x:c r="G189" s="27" t="str">
        <x:v>Fluency, place value, and connected text</x:v>
      </x:c>
      <x:c r="H189" s="27" t="str">
        <x:v>Reading</x:v>
      </x:c>
      <x:c r="I189" s="27" t="str">
        <x:v>Fluency</x:v>
      </x:c>
      <x:c r="J189" s="27" t="str">
        <x:v>Accuracy, rate, and prosody</x:v>
      </x:c>
      <x:c r="K189" s="27" t="str">
        <x:v>Reading grade-level text with enough accuracy, appropriate pace, phrasing, and expression to preserve meaning.</x:v>
      </x:c>
      <x:c r="L189" s="27" t="str">
        <x:v>Automatic word recognition and connected-text self-correction.</x:v>
      </x:c>
      <x:c r="M189" s="27" t="str">
        <x:v>S14-READ-01</x:v>
      </x:c>
      <x:c r="N189" s="27" t="str">
        <x:v>G4/G5 — Concrete model linked to coordinated representations</x:v>
      </x:c>
      <x:c r="O189" s="27" t="str">
        <x:v>Oral language and writing; evidence in science/social studies; mathematical and technical problem interpretation; media verification.</x:v>
      </x:c>
      <x:c r="P189" s="27" t="str">
        <x:v>Prosody reflects syntax and comprehension while fluent access supports longer text.</x:v>
      </x:c>
      <x:c r="Q189" s="27" t="str">
        <x:v>S14-READ-03</x:v>
      </x:c>
      <x:c r="R189" s="27" t="str">
        <x:v>Reads a new passage smoothly and explains how punctuation or meaning guided phrasing.</x:v>
      </x:c>
      <x:c r="S189" s="27" t="str">
        <x:v>SRC08; SRC10</x:v>
      </x:c>
      <x:c r="T189" s="27" t="str">
        <x:v>Development varies; use observed performance and appropriate supports rather than age alone.</x:v>
      </x:c>
      <x:c r="U189" s="27" t="str"/>
      <x:c r="V189" s="27" t="str"/>
      <x:c r="W189" s="39" t="str"/>
      <x:c r="X189" s="39" t="str"/>
    </x:row>
    <x:row r="190">
      <x:c r="A190" s="27" t="str">
        <x:v>S14-READ-03</x:v>
      </x:c>
      <x:c r="B190" s="37" t="n">
        <x:v>186</x:v>
      </x:c>
      <x:c r="C190" s="27" t="str">
        <x:v>S14</x:v>
      </x:c>
      <x:c r="D190" s="37" t="n">
        <x:v>14</x:v>
      </x:c>
      <x:c r="E190" s="27" t="str">
        <x:v>Grade 2</x:v>
      </x:c>
      <x:c r="F190" s="27" t="str">
        <x:v>2</x:v>
      </x:c>
      <x:c r="G190" s="27" t="str">
        <x:v>Fluency, place value, and connected text</x:v>
      </x:c>
      <x:c r="H190" s="27" t="str">
        <x:v>Reading</x:v>
      </x:c>
      <x:c r="I190" s="27" t="str">
        <x:v>Comprehension</x:v>
      </x:c>
      <x:c r="J190" s="27" t="str">
        <x:v>Main idea, structure, and inference</x:v>
      </x:c>
      <x:c r="K190" s="27" t="str">
        <x:v>Identifying a central message/main topic, using text structure or sequence, and making a simple inference from details.</x:v>
      </x:c>
      <x:c r="L190" s="27" t="str">
        <x:v>Grade 1 evidence-based retell, vocabulary, and fluency.</x:v>
      </x:c>
      <x:c r="M190" s="27" t="str">
        <x:v>S14-READ-02</x:v>
      </x:c>
      <x:c r="N190" s="27" t="str">
        <x:v>G4/G5 — Concrete model linked to coordinated representations</x:v>
      </x:c>
      <x:c r="O190" s="27" t="str">
        <x:v>Oral language and writing; evidence in science/social studies; mathematical and technical problem interpretation; media verification.</x:v>
      </x:c>
      <x:c r="P190" s="27" t="str">
        <x:v>Structure and inference move comprehension beyond recall.</x:v>
      </x:c>
      <x:c r="Q190" s="27" t="str">
        <x:v>S14-READ-04</x:v>
      </x:c>
      <x:c r="R190" s="27" t="str">
        <x:v>States an inference and points to details that make it reasonable.</x:v>
      </x:c>
      <x:c r="S190" s="27" t="str">
        <x:v>SRC10</x:v>
      </x:c>
      <x:c r="T190" s="27" t="str">
        <x:v>Development varies; use observed performance and appropriate supports rather than age alone.</x:v>
      </x:c>
      <x:c r="U190" s="27" t="str"/>
      <x:c r="V190" s="27" t="str"/>
      <x:c r="W190" s="39" t="str"/>
      <x:c r="X190" s="39" t="str"/>
    </x:row>
    <x:row r="191">
      <x:c r="A191" s="27" t="str">
        <x:v>S14-READ-04</x:v>
      </x:c>
      <x:c r="B191" s="37" t="n">
        <x:v>187</x:v>
      </x:c>
      <x:c r="C191" s="27" t="str">
        <x:v>S14</x:v>
      </x:c>
      <x:c r="D191" s="37" t="n">
        <x:v>14</x:v>
      </x:c>
      <x:c r="E191" s="27" t="str">
        <x:v>Grade 2</x:v>
      </x:c>
      <x:c r="F191" s="27" t="str">
        <x:v>2</x:v>
      </x:c>
      <x:c r="G191" s="27" t="str">
        <x:v>Fluency, place value, and connected text</x:v>
      </x:c>
      <x:c r="H191" s="27" t="str">
        <x:v>Reading</x:v>
      </x:c>
      <x:c r="I191" s="27" t="str">
        <x:v>Text comparison</x:v>
      </x:c>
      <x:c r="J191" s="27" t="str">
        <x:v>Compare two texts on one topic</x:v>
      </x:c>
      <x:c r="K191" s="27" t="str">
        <x:v>Identifying important similarities and differences in information, viewpoint, version, or presentation across two accessible texts.</x:v>
      </x:c>
      <x:c r="L191" s="27" t="str">
        <x:v>Main idea, evidence, and creator/purpose awareness.</x:v>
      </x:c>
      <x:c r="M191" s="27" t="str">
        <x:v>S14-READ-03</x:v>
      </x:c>
      <x:c r="N191" s="27" t="str">
        <x:v>G4/G5 — Concrete model linked to coordinated representations</x:v>
      </x:c>
      <x:c r="O191" s="27" t="str">
        <x:v>Oral language and writing; evidence in science/social studies; mathematical and technical problem interpretation; media verification.</x:v>
      </x:c>
      <x:c r="P191" s="27" t="str">
        <x:v>Cross-text comparison is the base for research synthesis and source evaluation.</x:v>
      </x:c>
      <x:c r="Q191" s="27" t="str">
        <x:v>S15-READ-01</x:v>
      </x:c>
      <x:c r="R191" s="27" t="str">
        <x:v>Completes a comparison using details from both texts.</x:v>
      </x:c>
      <x:c r="S191" s="27" t="str">
        <x:v>SRC10; SRC20</x:v>
      </x:c>
      <x:c r="T191" s="27" t="str">
        <x:v>Development varies; use observed performance and appropriate supports rather than age alone.</x:v>
      </x:c>
      <x:c r="U191" s="27" t="str"/>
      <x:c r="V191" s="27" t="str"/>
      <x:c r="W191" s="39" t="str"/>
      <x:c r="X191" s="39" t="str"/>
    </x:row>
    <x:row r="192">
      <x:c r="A192" s="27" t="str">
        <x:v>S14-WRITE-01</x:v>
      </x:c>
      <x:c r="B192" s="37" t="n">
        <x:v>188</x:v>
      </x:c>
      <x:c r="C192" s="27" t="str">
        <x:v>S14</x:v>
      </x:c>
      <x:c r="D192" s="37" t="n">
        <x:v>14</x:v>
      </x:c>
      <x:c r="E192" s="27" t="str">
        <x:v>Grade 2</x:v>
      </x:c>
      <x:c r="F192" s="27" t="str">
        <x:v>2</x:v>
      </x:c>
      <x:c r="G192" s="27" t="str">
        <x:v>Fluency, place value, and connected text</x:v>
      </x:c>
      <x:c r="H192" s="27" t="str">
        <x:v>Writing &amp; Language</x:v>
      </x:c>
      <x:c r="I192" s="27" t="str">
        <x:v>Paragraph foundations</x:v>
      </x:c>
      <x:c r="J192" s="27" t="str">
        <x:v>Topic, details, and closure</x:v>
      </x:c>
      <x:c r="K192" s="27" t="str">
        <x:v>Organizing related sentences around one focus with an opening/topic statement, supporting details, and a concluding statement where appropriate.</x:v>
      </x:c>
      <x:c r="L192" s="27" t="str">
        <x:v>Connected genre writing and sentence conjunctions.</x:v>
      </x:c>
      <x:c r="M192" s="27" t="str">
        <x:v>S13-WRITE-03</x:v>
      </x:c>
      <x:c r="N192" s="27" t="str">
        <x:v>G4/G5 — Concrete model linked to coordinated representations</x:v>
      </x:c>
      <x:c r="O192" s="27" t="str">
        <x:v>Reading models; evidence from science/social studies; mathematical explanation; research, media, and presentation.</x:v>
      </x:c>
      <x:c r="P192" s="27" t="str">
        <x:v>A paragraph packages one idea for longer composition.</x:v>
      </x:c>
      <x:c r="Q192" s="27" t="str">
        <x:v>S14-WRITE-02</x:v>
      </x:c>
      <x:c r="R192" s="27" t="str">
        <x:v>Writes a focused paragraph in which every detail supports the topic.</x:v>
      </x:c>
      <x:c r="S192" s="27" t="str">
        <x:v>SRC10; SRC21</x:v>
      </x:c>
      <x:c r="T192" s="27" t="str">
        <x:v>Development varies; use observed performance and appropriate supports rather than age alone.</x:v>
      </x:c>
      <x:c r="U192" s="27" t="str"/>
      <x:c r="V192" s="27" t="str"/>
      <x:c r="W192" s="39" t="str"/>
      <x:c r="X192" s="39" t="str"/>
    </x:row>
    <x:row r="193">
      <x:c r="A193" s="27" t="str">
        <x:v>S14-WRITE-02</x:v>
      </x:c>
      <x:c r="B193" s="37" t="n">
        <x:v>189</x:v>
      </x:c>
      <x:c r="C193" s="27" t="str">
        <x:v>S14</x:v>
      </x:c>
      <x:c r="D193" s="37" t="n">
        <x:v>14</x:v>
      </x:c>
      <x:c r="E193" s="27" t="str">
        <x:v>Grade 2</x:v>
      </x:c>
      <x:c r="F193" s="27" t="str">
        <x:v>2</x:v>
      </x:c>
      <x:c r="G193" s="27" t="str">
        <x:v>Fluency, place value, and connected text</x:v>
      </x:c>
      <x:c r="H193" s="27" t="str">
        <x:v>Writing &amp; Language</x:v>
      </x:c>
      <x:c r="I193" s="27" t="str">
        <x:v>Revision and editing</x:v>
      </x:c>
      <x:c r="J193" s="27" t="str">
        <x:v>Add, remove, reorder, and correct</x:v>
      </x:c>
      <x:c r="K193" s="27" t="str">
        <x:v>Revising content for clarity and completeness and editing taught capitalization, punctuation, spelling, and grammar conventions.</x:v>
      </x:c>
      <x:c r="L193" s="27" t="str">
        <x:v>Paragraph structure, audience clarification, and worked-example comparison.</x:v>
      </x:c>
      <x:c r="M193" s="27" t="str">
        <x:v>S14-WRITE-01</x:v>
      </x:c>
      <x:c r="N193" s="27" t="str">
        <x:v>G4/G5 — Concrete model linked to coordinated representations</x:v>
      </x:c>
      <x:c r="O193" s="27" t="str">
        <x:v>Reading models; evidence from science/social studies; mathematical explanation; research, media, and presentation.</x:v>
      </x:c>
      <x:c r="P193" s="27" t="str">
        <x:v>Separating revision from editing establishes a repeatable writing process.</x:v>
      </x:c>
      <x:c r="Q193" s="27" t="str">
        <x:v>S14-WRITE-03</x:v>
      </x:c>
      <x:c r="R193" s="27" t="str">
        <x:v>Makes at least one meaning-level revision and one convention correction and explains each.</x:v>
      </x:c>
      <x:c r="S193" s="27" t="str">
        <x:v>SRC10; SRC21</x:v>
      </x:c>
      <x:c r="T193" s="27" t="str">
        <x:v>Development varies; use observed performance and appropriate supports rather than age alone.</x:v>
      </x:c>
      <x:c r="U193" s="27" t="str"/>
      <x:c r="V193" s="27" t="str"/>
      <x:c r="W193" s="39" t="str"/>
      <x:c r="X193" s="39" t="str"/>
    </x:row>
    <x:row r="194">
      <x:c r="A194" s="27" t="str">
        <x:v>S14-WRITE-03</x:v>
      </x:c>
      <x:c r="B194" s="37" t="n">
        <x:v>190</x:v>
      </x:c>
      <x:c r="C194" s="27" t="str">
        <x:v>S14</x:v>
      </x:c>
      <x:c r="D194" s="37" t="n">
        <x:v>14</x:v>
      </x:c>
      <x:c r="E194" s="27" t="str">
        <x:v>Grade 2</x:v>
      </x:c>
      <x:c r="F194" s="27" t="str">
        <x:v>2</x:v>
      </x:c>
      <x:c r="G194" s="27" t="str">
        <x:v>Fluency, place value, and connected text</x:v>
      </x:c>
      <x:c r="H194" s="27" t="str">
        <x:v>Writing &amp; Language</x:v>
      </x:c>
      <x:c r="I194" s="27" t="str">
        <x:v>Research</x:v>
      </x:c>
      <x:c r="J194" s="27" t="str">
        <x:v>Shared short research project</x:v>
      </x:c>
      <x:c r="K194" s="27" t="str">
        <x:v>Generating questions, gathering facts from provided sources, recording them by category, and producing a brief explanation while identifying sources.</x:v>
      </x:c>
      <x:c r="L194" s="27" t="str">
        <x:v>Text comparison, paragraph writing, and collaboration.</x:v>
      </x:c>
      <x:c r="M194" s="27" t="str">
        <x:v>S14-WRITE-02</x:v>
      </x:c>
      <x:c r="N194" s="27" t="str">
        <x:v>G4/G5 — Concrete model linked to coordinated representations</x:v>
      </x:c>
      <x:c r="O194" s="27" t="str">
        <x:v>Reading models; evidence from science/social studies; mathematical explanation; research, media, and presentation.</x:v>
      </x:c>
      <x:c r="P194" s="27" t="str">
        <x:v>Research integrates reading, source tracking, note organization, and composition.</x:v>
      </x:c>
      <x:c r="Q194" s="27" t="str">
        <x:v>S15-WRITE-01</x:v>
      </x:c>
      <x:c r="R194" s="27" t="str">
        <x:v>Answers the question with grouped facts traceable to the supplied sources.</x:v>
      </x:c>
      <x:c r="S194" s="27" t="str">
        <x:v>SRC10; SRC21</x:v>
      </x:c>
      <x:c r="T194" s="27" t="str">
        <x:v>Development varies; use observed performance and appropriate supports rather than age alone.</x:v>
      </x:c>
      <x:c r="U194" s="27" t="str"/>
      <x:c r="V194" s="27" t="str"/>
      <x:c r="W194" s="39" t="str"/>
      <x:c r="X194" s="39" t="str"/>
    </x:row>
    <x:row r="195">
      <x:c r="A195" s="27" t="str">
        <x:v>S14-MATH-01</x:v>
      </x:c>
      <x:c r="B195" s="37" t="n">
        <x:v>191</x:v>
      </x:c>
      <x:c r="C195" s="27" t="str">
        <x:v>S14</x:v>
      </x:c>
      <x:c r="D195" s="37" t="n">
        <x:v>14</x:v>
      </x:c>
      <x:c r="E195" s="27" t="str">
        <x:v>Grade 2</x:v>
      </x:c>
      <x:c r="F195" s="27" t="str">
        <x:v>2</x:v>
      </x:c>
      <x:c r="G195" s="27" t="str">
        <x:v>Fluency, place value, and connected text</x:v>
      </x:c>
      <x:c r="H195" s="27" t="str">
        <x:v>Mathematics</x:v>
      </x:c>
      <x:c r="I195" s="27" t="str">
        <x:v>Place value</x:v>
      </x:c>
      <x:c r="J195" s="27" t="str">
        <x:v>Numbers to 1,000</x:v>
      </x:c>
      <x:c r="K195" s="27" t="str">
        <x:v>Reading, writing, comparing, and representing hundreds, tens, and ones, including skip counting and number-line placement.</x:v>
      </x:c>
      <x:c r="L195" s="27" t="str">
        <x:v>Tens/ones to 120 and unitizing ten.</x:v>
      </x:c>
      <x:c r="M195" s="27" t="str">
        <x:v>S13-MATH-06</x:v>
      </x:c>
      <x:c r="N195" s="27" t="str">
        <x:v>G4/G5 — Concrete model linked to coordinated representations</x:v>
      </x:c>
      <x:c r="O195" s="27" t="str">
        <x:v>Physical quantity and spatial action; science measurement/models; computing/algorithms; finance; music rhythm/pattern; geographic data.</x:v>
      </x:c>
      <x:c r="P195" s="27" t="str">
        <x:v>A nested base-ten system supports three-digit operations, estimation, and rounding.</x:v>
      </x:c>
      <x:c r="Q195" s="27" t="str">
        <x:v>S14-MATH-02</x:v>
      </x:c>
      <x:c r="R195" s="27" t="str">
        <x:v>Explains the value of each digit and compares two numbers using place-value reasoning.</x:v>
      </x:c>
      <x:c r="S195" s="27" t="str">
        <x:v>SRC09</x:v>
      </x:c>
      <x:c r="T195" s="27" t="str">
        <x:v>Development varies; use observed performance and appropriate supports rather than age alone.</x:v>
      </x:c>
      <x:c r="U195" s="27" t="str"/>
      <x:c r="V195" s="27" t="str"/>
      <x:c r="W195" s="39" t="str"/>
      <x:c r="X195" s="39" t="str"/>
    </x:row>
    <x:row r="196">
      <x:c r="A196" s="27" t="str">
        <x:v>S14-MATH-02</x:v>
      </x:c>
      <x:c r="B196" s="37" t="n">
        <x:v>192</x:v>
      </x:c>
      <x:c r="C196" s="27" t="str">
        <x:v>S14</x:v>
      </x:c>
      <x:c r="D196" s="37" t="n">
        <x:v>14</x:v>
      </x:c>
      <x:c r="E196" s="27" t="str">
        <x:v>Grade 2</x:v>
      </x:c>
      <x:c r="F196" s="27" t="str">
        <x:v>2</x:v>
      </x:c>
      <x:c r="G196" s="27" t="str">
        <x:v>Fluency, place value, and connected text</x:v>
      </x:c>
      <x:c r="H196" s="27" t="str">
        <x:v>Mathematics</x:v>
      </x:c>
      <x:c r="I196" s="27" t="str">
        <x:v>Operations</x:v>
      </x:c>
      <x:c r="J196" s="27" t="str">
        <x:v>Add/subtract within 1,000</x:v>
      </x:c>
      <x:c r="K196" s="27" t="str">
        <x:v>Using place-value strategies and written methods to add/subtract within 1,000, explaining composition/decomposition of units; fluency within 100 develops.</x:v>
      </x:c>
      <x:c r="L196" s="27" t="str">
        <x:v>Place value to 1,000 and facts within 20.</x:v>
      </x:c>
      <x:c r="M196" s="27" t="str">
        <x:v>S14-MATH-01</x:v>
      </x:c>
      <x:c r="N196" s="27" t="str">
        <x:v>G4/G5 — Concrete model linked to coordinated representations</x:v>
      </x:c>
      <x:c r="O196" s="27" t="str">
        <x:v>Physical quantity and spatial action; science measurement/models; computing/algorithms; finance; music rhythm/pattern; geographic data.</x:v>
      </x:c>
      <x:c r="P196" s="27" t="str">
        <x:v>Regrouping across hundreds generalizes the base-ten algorithm.</x:v>
      </x:c>
      <x:c r="Q196" s="27" t="str">
        <x:v>S14-MATH-03</x:v>
      </x:c>
      <x:c r="R196" s="27" t="str">
        <x:v>Solves and checks a multi-digit problem and explains each regrouped unit.</x:v>
      </x:c>
      <x:c r="S196" s="27" t="str">
        <x:v>SRC09</x:v>
      </x:c>
      <x:c r="T196" s="27" t="str">
        <x:v>Development varies; use observed performance and appropriate supports rather than age alone.</x:v>
      </x:c>
      <x:c r="U196" s="27" t="str"/>
      <x:c r="V196" s="27" t="str"/>
      <x:c r="W196" s="39" t="str"/>
      <x:c r="X196" s="39" t="str"/>
    </x:row>
    <x:row r="197">
      <x:c r="A197" s="27" t="str">
        <x:v>S14-MATH-03</x:v>
      </x:c>
      <x:c r="B197" s="37" t="n">
        <x:v>193</x:v>
      </x:c>
      <x:c r="C197" s="27" t="str">
        <x:v>S14</x:v>
      </x:c>
      <x:c r="D197" s="37" t="n">
        <x:v>14</x:v>
      </x:c>
      <x:c r="E197" s="27" t="str">
        <x:v>Grade 2</x:v>
      </x:c>
      <x:c r="F197" s="27" t="str">
        <x:v>2</x:v>
      </x:c>
      <x:c r="G197" s="27" t="str">
        <x:v>Fluency, place value, and connected text</x:v>
      </x:c>
      <x:c r="H197" s="27" t="str">
        <x:v>Mathematics</x:v>
      </x:c>
      <x:c r="I197" s="27" t="str">
        <x:v>Multiplication foundations</x:v>
      </x:c>
      <x:c r="J197" s="27" t="str">
        <x:v>Equal groups, arrays, and repeated addition</x:v>
      </x:c>
      <x:c r="K197" s="27" t="str">
        <x:v>Representing collections as equal groups, rectangular arrays, and sums of equal addends and determining whether a number is even or odd.</x:v>
      </x:c>
      <x:c r="L197" s="27" t="str">
        <x:v>Addition fluency, one-to-one counting, and rows/columns.</x:v>
      </x:c>
      <x:c r="M197" s="27" t="str">
        <x:v>S14-MATH-02</x:v>
      </x:c>
      <x:c r="N197" s="27" t="str">
        <x:v>G4/G5 — Concrete model linked to coordinated representations</x:v>
      </x:c>
      <x:c r="O197" s="27" t="str">
        <x:v>Physical quantity and spatial action; science measurement/models; computing/algorithms; finance; music rhythm/pattern; geographic data.</x:v>
      </x:c>
      <x:c r="P197" s="27" t="str">
        <x:v>Equal-group and array structures become multiplication, division, area, and factors.</x:v>
      </x:c>
      <x:c r="Q197" s="27" t="str">
        <x:v>S14-MATH-04</x:v>
      </x:c>
      <x:c r="R197" s="27" t="str">
        <x:v>Builds an array for a situation and writes a matching repeated-addition expression.</x:v>
      </x:c>
      <x:c r="S197" s="27" t="str">
        <x:v>SRC09</x:v>
      </x:c>
      <x:c r="T197" s="27" t="str">
        <x:v>Development varies; use observed performance and appropriate supports rather than age alone.</x:v>
      </x:c>
      <x:c r="U197" s="27" t="str"/>
      <x:c r="V197" s="27" t="str"/>
      <x:c r="W197" s="39" t="str"/>
      <x:c r="X197" s="39" t="str"/>
    </x:row>
    <x:row r="198">
      <x:c r="A198" s="27" t="str">
        <x:v>S14-MATH-04</x:v>
      </x:c>
      <x:c r="B198" s="37" t="n">
        <x:v>194</x:v>
      </x:c>
      <x:c r="C198" s="27" t="str">
        <x:v>S14</x:v>
      </x:c>
      <x:c r="D198" s="37" t="n">
        <x:v>14</x:v>
      </x:c>
      <x:c r="E198" s="27" t="str">
        <x:v>Grade 2</x:v>
      </x:c>
      <x:c r="F198" s="27" t="str">
        <x:v>2</x:v>
      </x:c>
      <x:c r="G198" s="27" t="str">
        <x:v>Fluency, place value, and connected text</x:v>
      </x:c>
      <x:c r="H198" s="27" t="str">
        <x:v>Mathematics</x:v>
      </x:c>
      <x:c r="I198" s="27" t="str">
        <x:v>Measurement</x:v>
      </x:c>
      <x:c r="J198" s="27" t="str">
        <x:v>Standard units, time, and money</x:v>
      </x:c>
      <x:c r="K198" s="27" t="str">
        <x:v>Selecting and using appropriate length units/tools, relating measurement to number lines, telling time to five minutes, and solving simple coin/bill situations.</x:v>
      </x:c>
      <x:c r="L198" s="27" t="str">
        <x:v>Equal-unit iteration, place value, and addition/subtraction.</x:v>
      </x:c>
      <x:c r="M198" s="27" t="str">
        <x:v>S14-MATH-03</x:v>
      </x:c>
      <x:c r="N198" s="27" t="str">
        <x:v>G4/G5 — Concrete model linked to coordinated representations</x:v>
      </x:c>
      <x:c r="O198" s="27" t="str">
        <x:v>Physical quantity and spatial action; science measurement/models; computing/algorithms; finance; music rhythm/pattern; geographic data.</x:v>
      </x:c>
      <x:c r="P198" s="27" t="str">
        <x:v>Standard units make measurements communicable and connect arithmetic to real quantities.</x:v>
      </x:c>
      <x:c r="Q198" s="27" t="str">
        <x:v>S14-MATH-05</x:v>
      </x:c>
      <x:c r="R198" s="27" t="str">
        <x:v>Measures accurately, reads a time, or solves a money situation and labels units.</x:v>
      </x:c>
      <x:c r="S198" s="27" t="str">
        <x:v>SRC09</x:v>
      </x:c>
      <x:c r="T198" s="27" t="str">
        <x:v>Development varies; use observed performance and appropriate supports rather than age alone.</x:v>
      </x:c>
      <x:c r="U198" s="27" t="str"/>
      <x:c r="V198" s="27" t="str"/>
      <x:c r="W198" s="39" t="str"/>
      <x:c r="X198" s="39" t="str"/>
    </x:row>
    <x:row r="199">
      <x:c r="A199" s="27" t="str">
        <x:v>S14-MATH-05</x:v>
      </x:c>
      <x:c r="B199" s="37" t="n">
        <x:v>195</x:v>
      </x:c>
      <x:c r="C199" s="27" t="str">
        <x:v>S14</x:v>
      </x:c>
      <x:c r="D199" s="37" t="n">
        <x:v>14</x:v>
      </x:c>
      <x:c r="E199" s="27" t="str">
        <x:v>Grade 2</x:v>
      </x:c>
      <x:c r="F199" s="27" t="str">
        <x:v>2</x:v>
      </x:c>
      <x:c r="G199" s="27" t="str">
        <x:v>Fluency, place value, and connected text</x:v>
      </x:c>
      <x:c r="H199" s="27" t="str">
        <x:v>Mathematics</x:v>
      </x:c>
      <x:c r="I199" s="27" t="str">
        <x:v>Data</x:v>
      </x:c>
      <x:c r="J199" s="27" t="str">
        <x:v>Picture and bar graphs</x:v>
      </x:c>
      <x:c r="K199" s="27" t="str">
        <x:v>Collecting categorical measurement/count data, constructing scaled or unscaled displays appropriate to grade, and solving comparison questions.</x:v>
      </x:c>
      <x:c r="L199" s="27" t="str">
        <x:v>Grade 1 category data, place value, and subtraction.</x:v>
      </x:c>
      <x:c r="M199" s="27" t="str">
        <x:v>S14-MATH-04</x:v>
      </x:c>
      <x:c r="N199" s="27" t="str">
        <x:v>G4/G5 — Concrete model linked to coordinated representations</x:v>
      </x:c>
      <x:c r="O199" s="27" t="str">
        <x:v>Physical quantity and spatial action; science measurement/models; computing/algorithms; finance; music rhythm/pattern; geographic data.</x:v>
      </x:c>
      <x:c r="P199" s="27" t="str">
        <x:v>Graphs externalize distribution and support multi-step quantitative reasoning.</x:v>
      </x:c>
      <x:c r="Q199" s="27" t="str">
        <x:v>S14-MATH-06</x:v>
      </x:c>
      <x:c r="R199" s="27" t="str">
        <x:v>Builds a correct display and answers how-many-more/less questions from it.</x:v>
      </x:c>
      <x:c r="S199" s="27" t="str">
        <x:v>SRC09</x:v>
      </x:c>
      <x:c r="T199" s="27" t="str">
        <x:v>Development varies; use observed performance and appropriate supports rather than age alone.</x:v>
      </x:c>
      <x:c r="U199" s="27" t="str"/>
      <x:c r="V199" s="27" t="str"/>
      <x:c r="W199" s="39" t="str"/>
      <x:c r="X199" s="39" t="str"/>
    </x:row>
    <x:row r="200">
      <x:c r="A200" s="27" t="str">
        <x:v>S14-MATH-06</x:v>
      </x:c>
      <x:c r="B200" s="37" t="n">
        <x:v>196</x:v>
      </x:c>
      <x:c r="C200" s="27" t="str">
        <x:v>S14</x:v>
      </x:c>
      <x:c r="D200" s="37" t="n">
        <x:v>14</x:v>
      </x:c>
      <x:c r="E200" s="27" t="str">
        <x:v>Grade 2</x:v>
      </x:c>
      <x:c r="F200" s="27" t="str">
        <x:v>2</x:v>
      </x:c>
      <x:c r="G200" s="27" t="str">
        <x:v>Fluency, place value, and connected text</x:v>
      </x:c>
      <x:c r="H200" s="27" t="str">
        <x:v>Mathematics</x:v>
      </x:c>
      <x:c r="I200" s="27" t="str">
        <x:v>Geometry and fractions</x:v>
      </x:c>
      <x:c r="J200" s="27" t="str">
        <x:v>Attributes and halves/thirds/fourths</x:v>
      </x:c>
      <x:c r="K200" s="27" t="str">
        <x:v>Classifying shapes by sides/angles, partitioning rectangles and circles into equal shares, and naming the shares as fractions of one whole.</x:v>
      </x:c>
      <x:c r="L200" s="27" t="str">
        <x:v>Equal shares, shape attributes, and part–whole reasoning.</x:v>
      </x:c>
      <x:c r="M200" s="27" t="str">
        <x:v>S14-MATH-05</x:v>
      </x:c>
      <x:c r="N200" s="27" t="str">
        <x:v>G4/G5 — Concrete model linked to coordinated representations</x:v>
      </x:c>
      <x:c r="O200" s="27" t="str">
        <x:v>Physical quantity and spatial action; science measurement/models; computing/algorithms; finance; music rhythm/pattern; geographic data.</x:v>
      </x:c>
      <x:c r="P200" s="27" t="str">
        <x:v>Fraction names attach a denominator to the number of equal parts.</x:v>
      </x:c>
      <x:c r="Q200" s="27" t="str">
        <x:v>S15-MATH-01</x:v>
      </x:c>
      <x:c r="R200" s="27" t="str">
        <x:v>Explains why equal-looking count alone is insufficient when the shares have unequal size.</x:v>
      </x:c>
      <x:c r="S200" s="27" t="str">
        <x:v>SRC09</x:v>
      </x:c>
      <x:c r="T200" s="27" t="str">
        <x:v>Development varies; use observed performance and appropriate supports rather than age alone.</x:v>
      </x:c>
      <x:c r="U200" s="27" t="str"/>
      <x:c r="V200" s="27" t="str"/>
      <x:c r="W200" s="39" t="str"/>
      <x:c r="X200" s="39" t="str"/>
    </x:row>
    <x:row r="201">
      <x:c r="A201" s="27" t="str">
        <x:v>S14-SCI-01</x:v>
      </x:c>
      <x:c r="B201" s="37" t="n">
        <x:v>197</x:v>
      </x:c>
      <x:c r="C201" s="27" t="str">
        <x:v>S14</x:v>
      </x:c>
      <x:c r="D201" s="37" t="n">
        <x:v>14</x:v>
      </x:c>
      <x:c r="E201" s="27" t="str">
        <x:v>Grade 2</x:v>
      </x:c>
      <x:c r="F201" s="27" t="str">
        <x:v>2</x:v>
      </x:c>
      <x:c r="G201" s="27" t="str">
        <x:v>Fluency, place value, and connected text</x:v>
      </x:c>
      <x:c r="H201" s="27" t="str">
        <x:v>Science &amp; Engineering</x:v>
      </x:c>
      <x:c r="I201" s="27" t="str">
        <x:v>Physical science</x:v>
      </x:c>
      <x:c r="J201" s="27" t="str">
        <x:v>Matter and properties</x:v>
      </x:c>
      <x:c r="K201" s="27" t="str">
        <x:v>Classifying materials by observable properties, testing which materials suit a purpose, and observing reversible/irreversible changes at an age-appropriate level.</x:v>
      </x:c>
      <x:c r="L201" s="27" t="str">
        <x:v>Kindergarten/Grade 1 properties and investigation cycle.</x:v>
      </x:c>
      <x:c r="M201" s="27" t="str">
        <x:v>S13-SCI-03</x:v>
      </x:c>
      <x:c r="N201" s="27" t="str">
        <x:v>G4/G5 — Concrete model linked to coordinated representations</x:v>
      </x:c>
      <x:c r="O201" s="27" t="str">
        <x:v>Sensory observation and action; mathematics/data; reading/writing evidence; computing/models; health and environmental/civic decisions.</x:v>
      </x:c>
      <x:c r="P201" s="27" t="str">
        <x:v>Property-based classification links matter to engineering choices.</x:v>
      </x:c>
      <x:c r="Q201" s="27" t="str">
        <x:v>S14-SCI-02</x:v>
      </x:c>
      <x:c r="R201" s="27" t="str">
        <x:v>Uses test results to choose a material for a stated function.</x:v>
      </x:c>
      <x:c r="S201" s="27" t="str">
        <x:v>SRC11</x:v>
      </x:c>
      <x:c r="T201" s="27" t="str">
        <x:v>Development varies; use observed performance and appropriate supports rather than age alone.</x:v>
      </x:c>
      <x:c r="U201" s="27" t="str"/>
      <x:c r="V201" s="27" t="str"/>
      <x:c r="W201" s="39" t="str"/>
      <x:c r="X201" s="39" t="str"/>
    </x:row>
    <x:row r="202">
      <x:c r="A202" s="27" t="str">
        <x:v>S14-SCI-02</x:v>
      </x:c>
      <x:c r="B202" s="37" t="n">
        <x:v>198</x:v>
      </x:c>
      <x:c r="C202" s="27" t="str">
        <x:v>S14</x:v>
      </x:c>
      <x:c r="D202" s="37" t="n">
        <x:v>14</x:v>
      </x:c>
      <x:c r="E202" s="27" t="str">
        <x:v>Grade 2</x:v>
      </x:c>
      <x:c r="F202" s="27" t="str">
        <x:v>2</x:v>
      </x:c>
      <x:c r="G202" s="27" t="str">
        <x:v>Fluency, place value, and connected text</x:v>
      </x:c>
      <x:c r="H202" s="27" t="str">
        <x:v>Science &amp; Engineering</x:v>
      </x:c>
      <x:c r="I202" s="27" t="str">
        <x:v>Life science</x:v>
      </x:c>
      <x:c r="J202" s="27" t="str">
        <x:v>Biodiversity, pollination, and dispersal</x:v>
      </x:c>
      <x:c r="K202" s="27" t="str">
        <x:v>Comparing organisms in different habitats and modeling how animals help plants reproduce through pollination or seed dispersal.</x:v>
      </x:c>
      <x:c r="L202" s="27" t="str">
        <x:v>Needs/relationships and structure-function.</x:v>
      </x:c>
      <x:c r="M202" s="27" t="str">
        <x:v>S14-SCI-01</x:v>
      </x:c>
      <x:c r="N202" s="27" t="str">
        <x:v>G4/G5 — Concrete model linked to coordinated representations</x:v>
      </x:c>
      <x:c r="O202" s="27" t="str">
        <x:v>Sensory observation and action; mathematics/data; reading/writing evidence; computing/models; health and environmental/civic decisions.</x:v>
      </x:c>
      <x:c r="P202" s="27" t="str">
        <x:v>Organism diversity and interdependence deepen the ecosystem model.</x:v>
      </x:c>
      <x:c r="Q202" s="27" t="str">
        <x:v>S14-SCI-03</x:v>
      </x:c>
      <x:c r="R202" s="27" t="str">
        <x:v>Uses observations or a model to explain one plant-animal relationship.</x:v>
      </x:c>
      <x:c r="S202" s="27" t="str">
        <x:v>SRC11</x:v>
      </x:c>
      <x:c r="T202" s="27" t="str">
        <x:v>Development varies; use observed performance and appropriate supports rather than age alone.</x:v>
      </x:c>
      <x:c r="U202" s="27" t="str"/>
      <x:c r="V202" s="27" t="str"/>
      <x:c r="W202" s="39" t="str"/>
      <x:c r="X202" s="39" t="str"/>
    </x:row>
    <x:row r="203">
      <x:c r="A203" s="27" t="str">
        <x:v>S14-SCI-03</x:v>
      </x:c>
      <x:c r="B203" s="37" t="n">
        <x:v>199</x:v>
      </x:c>
      <x:c r="C203" s="27" t="str">
        <x:v>S14</x:v>
      </x:c>
      <x:c r="D203" s="37" t="n">
        <x:v>14</x:v>
      </x:c>
      <x:c r="E203" s="27" t="str">
        <x:v>Grade 2</x:v>
      </x:c>
      <x:c r="F203" s="27" t="str">
        <x:v>2</x:v>
      </x:c>
      <x:c r="G203" s="27" t="str">
        <x:v>Fluency, place value, and connected text</x:v>
      </x:c>
      <x:c r="H203" s="27" t="str">
        <x:v>Science &amp; Engineering</x:v>
      </x:c>
      <x:c r="I203" s="27" t="str">
        <x:v>Earth science</x:v>
      </x:c>
      <x:c r="J203" s="27" t="str">
        <x:v>Slow and rapid Earth changes</x:v>
      </x:c>
      <x:c r="K203" s="27" t="str">
        <x:v>Comparing slow processes and sudden events that shape land and using maps/models to represent land and water features.</x:v>
      </x:c>
      <x:c r="L203" s="27" t="str">
        <x:v>Weather patterns, observable change, and simple maps.</x:v>
      </x:c>
      <x:c r="M203" s="27" t="str">
        <x:v>S14-SCI-02</x:v>
      </x:c>
      <x:c r="N203" s="27" t="str">
        <x:v>G4/G5 — Concrete model linked to coordinated representations</x:v>
      </x:c>
      <x:c r="O203" s="27" t="str">
        <x:v>Sensory observation and action; mathematics/data; reading/writing evidence; computing/models; health and environmental/civic decisions.</x:v>
      </x:c>
      <x:c r="P203" s="27" t="str">
        <x:v>Rate of change and spatial models prepare geology and hazard reasoning.</x:v>
      </x:c>
      <x:c r="Q203" s="27" t="str">
        <x:v>S15-SCI-01</x:v>
      </x:c>
      <x:c r="R203" s="27" t="str">
        <x:v>Classifies a change by evidence about process/rate and interprets a land-water model.</x:v>
      </x:c>
      <x:c r="S203" s="27" t="str">
        <x:v>SRC11</x:v>
      </x:c>
      <x:c r="T203" s="27" t="str">
        <x:v>Development varies; use observed performance and appropriate supports rather than age alone.</x:v>
      </x:c>
      <x:c r="U203" s="27" t="str"/>
      <x:c r="V203" s="27" t="str"/>
      <x:c r="W203" s="39" t="str"/>
      <x:c r="X203" s="39" t="str"/>
    </x:row>
    <x:row r="204">
      <x:c r="A204" s="27" t="str">
        <x:v>S14-SST-01</x:v>
      </x:c>
      <x:c r="B204" s="37" t="n">
        <x:v>200</x:v>
      </x:c>
      <x:c r="C204" s="27" t="str">
        <x:v>S14</x:v>
      </x:c>
      <x:c r="D204" s="37" t="n">
        <x:v>14</x:v>
      </x:c>
      <x:c r="E204" s="27" t="str">
        <x:v>Grade 2</x:v>
      </x:c>
      <x:c r="F204" s="27" t="str">
        <x:v>2</x:v>
      </x:c>
      <x:c r="G204" s="27" t="str">
        <x:v>Fluency, place value, and connected text</x:v>
      </x:c>
      <x:c r="H204" s="27" t="str">
        <x:v>Social Studies</x:v>
      </x:c>
      <x:c r="I204" s="27" t="str">
        <x:v>Inquiry</x:v>
      </x:c>
      <x:c r="J204" s="27" t="str">
        <x:v>Local history, geography, civics, and markets</x:v>
      </x:c>
      <x:c r="K204" s="27" t="str">
        <x:v>Investigating local change with primary/secondary sources, maps, community decisions, producers/consumers, scarcity, and exchange.</x:v>
      </x:c>
      <x:c r="L204" s="27" t="str">
        <x:v>Grade 1 source/map/timeline work and text comparison.</x:v>
      </x:c>
      <x:c r="M204" s="27" t="str">
        <x:v>S13-SST-01</x:v>
      </x:c>
      <x:c r="N204" s="27" t="str">
        <x:v>G4/G5 — Concrete model linked to coordinated representations</x:v>
      </x:c>
      <x:c r="O204" s="27" t="str">
        <x:v>Language/literacy and source evidence; maps/data/economics; ethics/SEL; media literacy; arts/culture; civic action.</x:v>
      </x:c>
      <x:c r="P204" s="27" t="str">
        <x:v>Local evidence provides a manageable setting for evaluating perspectives and economic choices.</x:v>
      </x:c>
      <x:c r="Q204" s="27" t="str">
        <x:v>S15-SST-01</x:v>
      </x:c>
      <x:c r="R204" s="27" t="str">
        <x:v>Builds a claim about local life using two sources or disciplinary tools.</x:v>
      </x:c>
      <x:c r="S204" s="27" t="str">
        <x:v>SRC12</x:v>
      </x:c>
      <x:c r="T204" s="27" t="str">
        <x:v>Development varies; use observed performance and appropriate supports rather than age alone.</x:v>
      </x:c>
      <x:c r="U204" s="27" t="str"/>
      <x:c r="V204" s="27" t="str"/>
      <x:c r="W204" s="39" t="str"/>
      <x:c r="X204" s="39" t="str"/>
    </x:row>
    <x:row r="205">
      <x:c r="A205" s="27" t="str">
        <x:v>S14-ARTS-01</x:v>
      </x:c>
      <x:c r="B205" s="37" t="n">
        <x:v>201</x:v>
      </x:c>
      <x:c r="C205" s="27" t="str">
        <x:v>S14</x:v>
      </x:c>
      <x:c r="D205" s="37" t="n">
        <x:v>14</x:v>
      </x:c>
      <x:c r="E205" s="27" t="str">
        <x:v>Grade 2</x:v>
      </x:c>
      <x:c r="F205" s="27" t="str">
        <x:v>2</x:v>
      </x:c>
      <x:c r="G205" s="27" t="str">
        <x:v>Fluency, place value, and connected text</x:v>
      </x:c>
      <x:c r="H205" s="27" t="str">
        <x:v>Music &amp; Arts</x:v>
      </x:c>
      <x:c r="I205" s="27" t="str">
        <x:v>Music</x:v>
      </x:c>
      <x:c r="J205" s="27" t="str">
        <x:v>Meter, melodic direction, and form</x:v>
      </x:c>
      <x:c r="K205" s="27" t="str">
        <x:v>Performing and creating patterned phrases with steady beat, strong/weak beat awareness, pitch direction, dynamics, and simple forms such as AB/ABA.</x:v>
      </x:c>
      <x:c r="L205" s="27" t="str">
        <x:v>Grade 1 rhythm/pitch patterns and repeating units.</x:v>
      </x:c>
      <x:c r="M205" s="27" t="str">
        <x:v>S13-ARTS-01</x:v>
      </x:c>
      <x:c r="N205" s="27" t="str">
        <x:v>G4/G5 — Concrete model linked to coordinated representations</x:v>
      </x:c>
      <x:c r="O205" s="27" t="str">
        <x:v>Sensory discrimination; motor timing; language/prosody; mathematics/pattern; history/culture; emotion, design, and technology.</x:v>
      </x:c>
      <x:c r="P205" s="27" t="str">
        <x:v>Meter and form organize longer musical memory and coordinated ensemble performance.</x:v>
      </x:c>
      <x:c r="Q205" s="27" t="str">
        <x:v>S15-ARTS-01</x:v>
      </x:c>
      <x:c r="R205" s="27" t="str">
        <x:v>Performs or creates a phrase and identifies its beat grouping, contour, or section form.</x:v>
      </x:c>
      <x:c r="S205" s="27" t="str">
        <x:v>SRC13</x:v>
      </x:c>
      <x:c r="T205" s="27" t="str">
        <x:v>Development varies; use observed performance and appropriate supports rather than age alone.</x:v>
      </x:c>
      <x:c r="U205" s="27" t="str"/>
      <x:c r="V205" s="27" t="str"/>
      <x:c r="W205" s="39" t="str"/>
      <x:c r="X205" s="39" t="str"/>
    </x:row>
    <x:row r="206">
      <x:c r="A206" s="27" t="str">
        <x:v>S14-HLTH-01</x:v>
      </x:c>
      <x:c r="B206" s="37" t="n">
        <x:v>202</x:v>
      </x:c>
      <x:c r="C206" s="27" t="str">
        <x:v>S14</x:v>
      </x:c>
      <x:c r="D206" s="37" t="n">
        <x:v>14</x:v>
      </x:c>
      <x:c r="E206" s="27" t="str">
        <x:v>Grade 2</x:v>
      </x:c>
      <x:c r="F206" s="27" t="str">
        <x:v>2</x:v>
      </x:c>
      <x:c r="G206" s="27" t="str">
        <x:v>Fluency, place value, and connected text</x:v>
      </x:c>
      <x:c r="H206" s="27" t="str">
        <x:v>Physical &amp; Health</x:v>
      </x:c>
      <x:c r="I206" s="27" t="str">
        <x:v>Movement and health</x:v>
      </x:c>
      <x:c r="J206" s="27" t="str">
        <x:v>Skill application and decision process</x:v>
      </x:c>
      <x:c r="K206" s="27" t="str">
        <x:v>Applying movement combinations in simple games/dance and using a stop-think-options-choice process for health, safety, communication, and boundaries.</x:v>
      </x:c>
      <x:c r="L206" s="27" t="str">
        <x:v>Grade 1 skill combinations and problem-options-choice.</x:v>
      </x:c>
      <x:c r="M206" s="27" t="str">
        <x:v>S13-HLTH-01</x:v>
      </x:c>
      <x:c r="N206" s="27" t="str">
        <x:v>G4/G5 — Concrete model linked to coordinated representations</x:v>
      </x:c>
      <x:c r="O206" s="27" t="str">
        <x:v>Motor/sensory development; life science; measurement/data; SEL/self-management; communication, safety, and decision-making.</x:v>
      </x:c>
      <x:c r="P206" s="27" t="str">
        <x:v>Applying skills under changing conditions supports transfer and responsible participation.</x:v>
      </x:c>
      <x:c r="Q206" s="27" t="str">
        <x:v>S15-HLTH-01</x:v>
      </x:c>
      <x:c r="R206" s="27" t="str">
        <x:v>Chooses and explains an effective movement or health action for a scenario.</x:v>
      </x:c>
      <x:c r="S206" s="27" t="str">
        <x:v>SRC14; SRC15</x:v>
      </x:c>
      <x:c r="T206" s="27" t="str">
        <x:v>Development varies; use observed performance and appropriate supports rather than age alone.</x:v>
      </x:c>
      <x:c r="U206" s="27" t="str"/>
      <x:c r="V206" s="27" t="str"/>
      <x:c r="W206" s="39" t="str"/>
      <x:c r="X206" s="39" t="str"/>
    </x:row>
    <x:row r="207">
      <x:c r="A207" s="27" t="str">
        <x:v>S14-COMP-01</x:v>
      </x:c>
      <x:c r="B207" s="37" t="n">
        <x:v>203</x:v>
      </x:c>
      <x:c r="C207" s="27" t="str">
        <x:v>S14</x:v>
      </x:c>
      <x:c r="D207" s="37" t="n">
        <x:v>14</x:v>
      </x:c>
      <x:c r="E207" s="27" t="str">
        <x:v>Grade 2</x:v>
      </x:c>
      <x:c r="F207" s="27" t="str">
        <x:v>2</x:v>
      </x:c>
      <x:c r="G207" s="27" t="str">
        <x:v>Fluency, place value, and connected text</x:v>
      </x:c>
      <x:c r="H207" s="27" t="str">
        <x:v>Computing &amp; Media</x:v>
      </x:c>
      <x:c r="I207" s="27" t="str">
        <x:v>Data and programming</x:v>
      </x:c>
      <x:c r="J207" s="27" t="str">
        <x:v>Data representation, conditionals, and decomposition</x:v>
      </x:c>
      <x:c r="K207" s="27" t="str">
        <x:v>Representing information in simple data forms, breaking a problem into parts, and using if/then choices in a program.</x:v>
      </x:c>
      <x:c r="L207" s="27" t="str">
        <x:v>Loops/events, sorting/data displays, and two-rule thinking.</x:v>
      </x:c>
      <x:c r="M207" s="27" t="str">
        <x:v>S13-COMP-02</x:v>
      </x:c>
      <x:c r="N207" s="27" t="str">
        <x:v>G4/G5 — Concrete model linked to coordinated representations</x:v>
      </x:c>
      <x:c r="O207" s="27" t="str">
        <x:v>Mathematics/logic/data; language and media evidence; science/engineering models; art/design; civics, privacy, finance, and ethics.</x:v>
      </x:c>
      <x:c r="P207" s="27" t="str">
        <x:v>Conditionals connect decisions to algorithms; decomposition controls complexity.</x:v>
      </x:c>
      <x:c r="Q207" s="27" t="str">
        <x:v>S14-COMP-02</x:v>
      </x:c>
      <x:c r="R207" s="27" t="str">
        <x:v>Builds a program with a meaningful condition and explains how data or inputs affect output.</x:v>
      </x:c>
      <x:c r="S207" s="27" t="str">
        <x:v>SRC16</x:v>
      </x:c>
      <x:c r="T207" s="27" t="str">
        <x:v>Development varies; use observed performance and appropriate supports rather than age alone.</x:v>
      </x:c>
      <x:c r="U207" s="27" t="str"/>
      <x:c r="V207" s="27" t="str"/>
      <x:c r="W207" s="39" t="str"/>
      <x:c r="X207" s="39" t="str"/>
    </x:row>
    <x:row r="208">
      <x:c r="A208" s="27" t="str">
        <x:v>S14-COMP-02</x:v>
      </x:c>
      <x:c r="B208" s="37" t="n">
        <x:v>204</x:v>
      </x:c>
      <x:c r="C208" s="27" t="str">
        <x:v>S14</x:v>
      </x:c>
      <x:c r="D208" s="37" t="n">
        <x:v>14</x:v>
      </x:c>
      <x:c r="E208" s="27" t="str">
        <x:v>Grade 2</x:v>
      </x:c>
      <x:c r="F208" s="27" t="str">
        <x:v>2</x:v>
      </x:c>
      <x:c r="G208" s="27" t="str">
        <x:v>Fluency, place value, and connected text</x:v>
      </x:c>
      <x:c r="H208" s="27" t="str">
        <x:v>Computing &amp; Media</x:v>
      </x:c>
      <x:c r="I208" s="27" t="str">
        <x:v>Digital citizenship</x:v>
      </x:c>
      <x:c r="J208" s="27" t="str">
        <x:v>Private information and source clues</x:v>
      </x:c>
      <x:c r="K208" s="27" t="str">
        <x:v>Distinguishing public from personal/private information and using creator, date, evidence, and purpose clues when evaluating a simple online source.</x:v>
      </x:c>
      <x:c r="L208" s="27" t="str">
        <x:v>Grade 1 creator/purpose, safety rules, and text comparison.</x:v>
      </x:c>
      <x:c r="M208" s="27" t="str">
        <x:v>S14-COMP-01</x:v>
      </x:c>
      <x:c r="N208" s="27" t="str">
        <x:v>G4/G5 — Concrete model linked to coordinated representations</x:v>
      </x:c>
      <x:c r="O208" s="27" t="str">
        <x:v>Mathematics/logic/data; language and media evidence; science/engineering models; art/design; civics, privacy, finance, and ethics.</x:v>
      </x:c>
      <x:c r="P208" s="27" t="str">
        <x:v>Privacy control and source clues support safe, evidence-aware media use.</x:v>
      </x:c>
      <x:c r="Q208" s="27" t="str">
        <x:v>S15-COMP-01</x:v>
      </x:c>
      <x:c r="R208" s="27" t="str">
        <x:v>Explains whether information should be shared and cites one clue about source trustworthiness.</x:v>
      </x:c>
      <x:c r="S208" s="27" t="str">
        <x:v>SRC16; SRC20</x:v>
      </x:c>
      <x:c r="T208" s="27" t="str">
        <x:v>Development varies; use observed performance and appropriate supports rather than age alone.</x:v>
      </x:c>
      <x:c r="U208" s="27" t="str"/>
      <x:c r="V208" s="27" t="str"/>
      <x:c r="W208" s="39" t="str"/>
      <x:c r="X208" s="39" t="str"/>
    </x:row>
    <x:row r="209">
      <x:c r="A209" s="27" t="str">
        <x:v>S14-LIFE-01</x:v>
      </x:c>
      <x:c r="B209" s="37" t="n">
        <x:v>205</x:v>
      </x:c>
      <x:c r="C209" s="27" t="str">
        <x:v>S14</x:v>
      </x:c>
      <x:c r="D209" s="37" t="n">
        <x:v>14</x:v>
      </x:c>
      <x:c r="E209" s="27" t="str">
        <x:v>Grade 2</x:v>
      </x:c>
      <x:c r="F209" s="27" t="str">
        <x:v>2</x:v>
      </x:c>
      <x:c r="G209" s="27" t="str">
        <x:v>Fluency, place value, and connected text</x:v>
      </x:c>
      <x:c r="H209" s="27" t="str">
        <x:v>Life, Finance &amp; Career</x:v>
      </x:c>
      <x:c r="I209" s="27" t="str">
        <x:v>Personal finance</x:v>
      </x:c>
      <x:c r="J209" s="27" t="str">
        <x:v>Budgeting a small fixed amount</x:v>
      </x:c>
      <x:c r="K209" s="27" t="str">
        <x:v>Planning how to divide a limited amount among spending, saving, and giving or another goal, then comparing the plan with actual choices.</x:v>
      </x:c>
      <x:c r="L209" s="27" t="str">
        <x:v>Needs/wants, addition/subtraction, and delayed choice.</x:v>
      </x:c>
      <x:c r="M209" s="27" t="str">
        <x:v>S13-LIFE-01</x:v>
      </x:c>
      <x:c r="N209" s="27" t="str">
        <x:v>G4/G5 — Concrete model linked to coordinated representations</x:v>
      </x:c>
      <x:c r="O209" s="27" t="str">
        <x:v>Mathematics/percent/growth; economics/civics; reading contracts/sources; computing/privacy; SEL, planning, and risk decisions.</x:v>
      </x:c>
      <x:c r="P209" s="27" t="str">
        <x:v>A simple budget makes tradeoffs and goal alignment visible.</x:v>
      </x:c>
      <x:c r="Q209" s="27" t="str">
        <x:v>S15-LIFE-01</x:v>
      </x:c>
      <x:c r="R209" s="27" t="str">
        <x:v>Creates a balanced plan and explains one tradeoff.</x:v>
      </x:c>
      <x:c r="S209" s="27" t="str">
        <x:v>SRC19</x:v>
      </x:c>
      <x:c r="T209" s="27" t="str">
        <x:v>Development varies; use observed performance and appropriate supports rather than age alone.</x:v>
      </x:c>
      <x:c r="U209" s="27" t="str"/>
      <x:c r="V209" s="27" t="str"/>
      <x:c r="W209" s="39" t="str"/>
      <x:c r="X209" s="39" t="str"/>
    </x:row>
    <x:row r="210">
      <x:c r="A210" s="27" t="str">
        <x:v>S15-LEARN-01</x:v>
      </x:c>
      <x:c r="B210" s="37" t="n">
        <x:v>206</x:v>
      </x:c>
      <x:c r="C210" s="27" t="str">
        <x:v>S15</x:v>
      </x:c>
      <x:c r="D210" s="37" t="n">
        <x:v>15</x:v>
      </x:c>
      <x:c r="E210" s="27" t="str">
        <x:v>Grade 3</x:v>
      </x:c>
      <x:c r="F210" s="27" t="str">
        <x:v>3</x:v>
      </x:c>
      <x:c r="G210" s="27" t="str">
        <x:v>Multiplicative reasoning, fractions, and paragraphs</x:v>
      </x:c>
      <x:c r="H210" s="27" t="str">
        <x:v>Learning Foundations</x:v>
      </x:c>
      <x:c r="I210" s="27" t="str">
        <x:v>Learning strategies</x:v>
      </x:c>
      <x:c r="J210" s="27" t="str">
        <x:v>Strategy selection</x:v>
      </x:c>
      <x:c r="K210" s="27" t="str">
        <x:v>Choosing among a known set of reading, calculation, memory, planning, or help strategies based on the task and explaining the choice.</x:v>
      </x:c>
      <x:c r="L210" s="27" t="str">
        <x:v>Worked-example comparison, goal reflection, and help calibration.</x:v>
      </x:c>
      <x:c r="M210" s="27" t="str">
        <x:v>S14-LEARN-01</x:v>
      </x:c>
      <x:c r="N210" s="27" t="str">
        <x:v>G4/G5 — Concrete model linked to coordinated representations</x:v>
      </x:c>
      <x:c r="O210" s="27" t="str">
        <x:v>All domains: attention, memory, strategy choice, monitoring, retrieval, and transfer.</x:v>
      </x:c>
      <x:c r="P210" s="27" t="str">
        <x:v>Selecting rather than merely following a strategy marks increasing self-directed learning.</x:v>
      </x:c>
      <x:c r="Q210" s="27" t="str">
        <x:v>S16-LEARN-01</x:v>
      </x:c>
      <x:c r="R210" s="27" t="str">
        <x:v>Names the task demand, selects a fitting strategy, and evaluates its result.</x:v>
      </x:c>
      <x:c r="S210" s="27" t="str">
        <x:v>SRC05; SRC23</x:v>
      </x:c>
      <x:c r="T210" s="27" t="str">
        <x:v>Development varies; use observed performance and appropriate supports rather than age alone.</x:v>
      </x:c>
      <x:c r="U210" s="27" t="str"/>
      <x:c r="V210" s="27" t="str"/>
      <x:c r="W210" s="39" t="str"/>
      <x:c r="X210" s="39" t="str"/>
    </x:row>
    <x:row r="211">
      <x:c r="A211" s="27" t="str">
        <x:v>S15-SEL-01</x:v>
      </x:c>
      <x:c r="B211" s="37" t="n">
        <x:v>207</x:v>
      </x:c>
      <x:c r="C211" s="27" t="str">
        <x:v>S15</x:v>
      </x:c>
      <x:c r="D211" s="37" t="n">
        <x:v>15</x:v>
      </x:c>
      <x:c r="E211" s="27" t="str">
        <x:v>Grade 3</x:v>
      </x:c>
      <x:c r="F211" s="27" t="str">
        <x:v>3</x:v>
      </x:c>
      <x:c r="G211" s="27" t="str">
        <x:v>Multiplicative reasoning, fractions, and paragraphs</x:v>
      </x:c>
      <x:c r="H211" s="27" t="str">
        <x:v>Social-Emotional</x:v>
      </x:c>
      <x:c r="I211" s="27" t="str">
        <x:v>Responsible decisions</x:v>
      </x:c>
      <x:c r="J211" s="27" t="str">
        <x:v>Consequences and group impact</x:v>
      </x:c>
      <x:c r="K211" s="27" t="str">
        <x:v>Predicting likely short-term consequences of options for self and others and revising a decision when evidence changes.</x:v>
      </x:c>
      <x:c r="L211" s="27" t="str">
        <x:v>Perspective-taking, problem-options-choice, and cause reasoning.</x:v>
      </x:c>
      <x:c r="M211" s="27" t="str">
        <x:v>S14-SEL-01</x:v>
      </x:c>
      <x:c r="N211" s="27" t="str">
        <x:v>G4/G5 — Concrete model linked to coordinated representations</x:v>
      </x:c>
      <x:c r="O211" s="27" t="str">
        <x:v>Language and communication; health; collaboration in science, arts, civics, and projects; responsible digital/financial decisions.</x:v>
      </x:c>
      <x:c r="P211" s="27" t="str">
        <x:v>Consequence analysis supports ethics, civic reasoning, health, and project decisions.</x:v>
      </x:c>
      <x:c r="Q211" s="27" t="str">
        <x:v>S16-SEL-01</x:v>
      </x:c>
      <x:c r="R211" s="27" t="str">
        <x:v>Compares options using at least two likely effects and chooses consistently with the stated goal.</x:v>
      </x:c>
      <x:c r="S211" s="27" t="str">
        <x:v>SRC18</x:v>
      </x:c>
      <x:c r="T211" s="27" t="str">
        <x:v>Development varies; use observed performance and appropriate supports rather than age alone.</x:v>
      </x:c>
      <x:c r="U211" s="27" t="str"/>
      <x:c r="V211" s="27" t="str"/>
      <x:c r="W211" s="39" t="str"/>
      <x:c r="X211" s="39" t="str"/>
    </x:row>
    <x:row r="212">
      <x:c r="A212" s="27" t="str">
        <x:v>S15-READ-01</x:v>
      </x:c>
      <x:c r="B212" s="37" t="n">
        <x:v>208</x:v>
      </x:c>
      <x:c r="C212" s="27" t="str">
        <x:v>S15</x:v>
      </x:c>
      <x:c r="D212" s="37" t="n">
        <x:v>15</x:v>
      </x:c>
      <x:c r="E212" s="27" t="str">
        <x:v>Grade 3</x:v>
      </x:c>
      <x:c r="F212" s="27" t="str">
        <x:v>3</x:v>
      </x:c>
      <x:c r="G212" s="27" t="str">
        <x:v>Multiplicative reasoning, fractions, and paragraphs</x:v>
      </x:c>
      <x:c r="H212" s="27" t="str">
        <x:v>Reading</x:v>
      </x:c>
      <x:c r="I212" s="27" t="str">
        <x:v>Word analysis</x:v>
      </x:c>
      <x:c r="J212" s="27" t="str">
        <x:v>Multisyllable decoding and derivational morphology</x:v>
      </x:c>
      <x:c r="K212" s="27" t="str">
        <x:v>Using syllable patterns, prefixes, suffixes, roots/base words, and known sound-spelling patterns to decode and infer meanings of longer words.</x:v>
      </x:c>
      <x:c r="L212" s="27" t="str">
        <x:v>Grade 2 syllable decoding and morphology/context introduction.</x:v>
      </x:c>
      <x:c r="M212" s="27" t="str">
        <x:v>S14-READ-04</x:v>
      </x:c>
      <x:c r="N212" s="27" t="str">
        <x:v>G4/G5 — Concrete model linked to coordinated representations</x:v>
      </x:c>
      <x:c r="O212" s="27" t="str">
        <x:v>Oral language and writing; evidence in science/social studies; mathematical and technical problem interpretation; media verification.</x:v>
      </x:c>
      <x:c r="P212" s="27" t="str">
        <x:v>Coordinated sound and meaning units support independent disciplinary reading.</x:v>
      </x:c>
      <x:c r="Q212" s="27" t="str">
        <x:v>S15-READ-02</x:v>
      </x:c>
      <x:c r="R212" s="27" t="str">
        <x:v>Segments an unfamiliar longer word, reads it, and explains a relevant morpheme.</x:v>
      </x:c>
      <x:c r="S212" s="27" t="str">
        <x:v>SRC08; SRC10</x:v>
      </x:c>
      <x:c r="T212" s="27" t="str">
        <x:v>Development varies; use observed performance and appropriate supports rather than age alone.</x:v>
      </x:c>
      <x:c r="U212" s="27" t="str"/>
      <x:c r="V212" s="27" t="str"/>
      <x:c r="W212" s="39" t="str"/>
      <x:c r="X212" s="39" t="str"/>
    </x:row>
    <x:row r="213">
      <x:c r="A213" s="27" t="str">
        <x:v>S15-READ-02</x:v>
      </x:c>
      <x:c r="B213" s="37" t="n">
        <x:v>209</x:v>
      </x:c>
      <x:c r="C213" s="27" t="str">
        <x:v>S15</x:v>
      </x:c>
      <x:c r="D213" s="37" t="n">
        <x:v>15</x:v>
      </x:c>
      <x:c r="E213" s="27" t="str">
        <x:v>Grade 3</x:v>
      </x:c>
      <x:c r="F213" s="27" t="str">
        <x:v>3</x:v>
      </x:c>
      <x:c r="G213" s="27" t="str">
        <x:v>Multiplicative reasoning, fractions, and paragraphs</x:v>
      </x:c>
      <x:c r="H213" s="27" t="str">
        <x:v>Reading</x:v>
      </x:c>
      <x:c r="I213" s="27" t="str">
        <x:v>Fluency</x:v>
      </x:c>
      <x:c r="J213" s="27" t="str">
        <x:v>Meaning-guided oral and silent reading</x:v>
      </x:c>
      <x:c r="K213" s="27" t="str">
        <x:v>Reading grade-level text accurately and efficiently, adjusting phrasing and pace for syntax, genre, and purpose.</x:v>
      </x:c>
      <x:c r="L213" s="27" t="str">
        <x:v>Grade 2 accuracy/rate/prosody and multisyllable decoding.</x:v>
      </x:c>
      <x:c r="M213" s="27" t="str">
        <x:v>S15-READ-01</x:v>
      </x:c>
      <x:c r="N213" s="27" t="str">
        <x:v>G4/G5 — Concrete model linked to coordinated representations</x:v>
      </x:c>
      <x:c r="O213" s="27" t="str">
        <x:v>Oral language and writing; evidence in science/social studies; mathematical and technical problem interpretation; media verification.</x:v>
      </x:c>
      <x:c r="P213" s="27" t="str">
        <x:v>Flexible fluency supports sustained comprehension across narrative and informational text.</x:v>
      </x:c>
      <x:c r="Q213" s="27" t="str">
        <x:v>S15-READ-03</x:v>
      </x:c>
      <x:c r="R213" s="27" t="str">
        <x:v>Reads a passage with meaningful phrasing and summarizes it without losing central information.</x:v>
      </x:c>
      <x:c r="S213" s="27" t="str">
        <x:v>SRC08; SRC10</x:v>
      </x:c>
      <x:c r="T213" s="27" t="str">
        <x:v>Development varies; use observed performance and appropriate supports rather than age alone.</x:v>
      </x:c>
      <x:c r="U213" s="27" t="str"/>
      <x:c r="V213" s="27" t="str"/>
      <x:c r="W213" s="39" t="str"/>
      <x:c r="X213" s="39" t="str"/>
    </x:row>
    <x:row r="214">
      <x:c r="A214" s="27" t="str">
        <x:v>S15-READ-03</x:v>
      </x:c>
      <x:c r="B214" s="37" t="n">
        <x:v>210</x:v>
      </x:c>
      <x:c r="C214" s="27" t="str">
        <x:v>S15</x:v>
      </x:c>
      <x:c r="D214" s="37" t="n">
        <x:v>15</x:v>
      </x:c>
      <x:c r="E214" s="27" t="str">
        <x:v>Grade 3</x:v>
      </x:c>
      <x:c r="F214" s="27" t="str">
        <x:v>3</x:v>
      </x:c>
      <x:c r="G214" s="27" t="str">
        <x:v>Multiplicative reasoning, fractions, and paragraphs</x:v>
      </x:c>
      <x:c r="H214" s="27" t="str">
        <x:v>Reading</x:v>
      </x:c>
      <x:c r="I214" s="27" t="str">
        <x:v>Literature</x:v>
      </x:c>
      <x:c r="J214" s="27" t="str">
        <x:v>Theme, character, and point of view</x:v>
      </x:c>
      <x:c r="K214" s="27" t="str">
        <x:v>Explaining how character actions, motivations, sequence, and narrator/character perspective contribute to a story’s central message.</x:v>
      </x:c>
      <x:c r="L214" s="27" t="str">
        <x:v>Story structure, inference, and text evidence.</x:v>
      </x:c>
      <x:c r="M214" s="27" t="str">
        <x:v>S15-READ-02</x:v>
      </x:c>
      <x:c r="N214" s="27" t="str">
        <x:v>G4/G5 — Concrete model linked to coordinated representations</x:v>
      </x:c>
      <x:c r="O214" s="27" t="str">
        <x:v>Oral language and writing; evidence in science/social studies; mathematical and technical problem interpretation; media verification.</x:v>
      </x:c>
      <x:c r="P214" s="27" t="str">
        <x:v>Relations among perspective, action, and theme prepare literary analysis.</x:v>
      </x:c>
      <x:c r="Q214" s="27" t="str">
        <x:v>S15-READ-04</x:v>
      </x:c>
      <x:c r="R214" s="27" t="str">
        <x:v>Makes a claim about character or theme and supports it with specific events or language.</x:v>
      </x:c>
      <x:c r="S214" s="27" t="str">
        <x:v>SRC10</x:v>
      </x:c>
      <x:c r="T214" s="27" t="str">
        <x:v>Development varies; use observed performance and appropriate supports rather than age alone.</x:v>
      </x:c>
      <x:c r="U214" s="27" t="str"/>
      <x:c r="V214" s="27" t="str"/>
      <x:c r="W214" s="39" t="str"/>
      <x:c r="X214" s="39" t="str"/>
    </x:row>
    <x:row r="215">
      <x:c r="A215" s="27" t="str">
        <x:v>S15-READ-04</x:v>
      </x:c>
      <x:c r="B215" s="37" t="n">
        <x:v>211</x:v>
      </x:c>
      <x:c r="C215" s="27" t="str">
        <x:v>S15</x:v>
      </x:c>
      <x:c r="D215" s="37" t="n">
        <x:v>15</x:v>
      </x:c>
      <x:c r="E215" s="27" t="str">
        <x:v>Grade 3</x:v>
      </x:c>
      <x:c r="F215" s="27" t="str">
        <x:v>3</x:v>
      </x:c>
      <x:c r="G215" s="27" t="str">
        <x:v>Multiplicative reasoning, fractions, and paragraphs</x:v>
      </x:c>
      <x:c r="H215" s="27" t="str">
        <x:v>Reading</x:v>
      </x:c>
      <x:c r="I215" s="27" t="str">
        <x:v>Informational text</x:v>
      </x:c>
      <x:c r="J215" s="27" t="str">
        <x:v>Main idea, text structure, and domain vocabulary</x:v>
      </x:c>
      <x:c r="K215" s="27" t="str">
        <x:v>Determining main idea and details; using sequence, cause/effect, comparison, and problem/solution structures; and interpreting subject terms and text features.</x:v>
      </x:c>
      <x:c r="L215" s="27" t="str">
        <x:v>Grade 2 main idea/structure, vocabulary morphology, and fluency.</x:v>
      </x:c>
      <x:c r="M215" s="27" t="str">
        <x:v>S15-READ-03</x:v>
      </x:c>
      <x:c r="N215" s="27" t="str">
        <x:v>G4/G5 — Concrete model linked to coordinated representations</x:v>
      </x:c>
      <x:c r="O215" s="27" t="str">
        <x:v>Oral language and writing; evidence in science/social studies; mathematical and technical problem interpretation; media verification.</x:v>
      </x:c>
      <x:c r="P215" s="27" t="str">
        <x:v>Structure-aware reading supports science and social-studies learning.</x:v>
      </x:c>
      <x:c r="Q215" s="27" t="str">
        <x:v>S15-READ-05</x:v>
      </x:c>
      <x:c r="R215" s="27" t="str">
        <x:v>Explains how a section’s structure organizes evidence for its main idea.</x:v>
      </x:c>
      <x:c r="S215" s="27" t="str">
        <x:v>SRC10</x:v>
      </x:c>
      <x:c r="T215" s="27" t="str">
        <x:v>Development varies; use observed performance and appropriate supports rather than age alone.</x:v>
      </x:c>
      <x:c r="U215" s="27" t="str"/>
      <x:c r="V215" s="27" t="str"/>
      <x:c r="W215" s="39" t="str"/>
      <x:c r="X215" s="39" t="str"/>
    </x:row>
    <x:row r="216">
      <x:c r="A216" s="27" t="str">
        <x:v>S15-READ-05</x:v>
      </x:c>
      <x:c r="B216" s="37" t="n">
        <x:v>212</x:v>
      </x:c>
      <x:c r="C216" s="27" t="str">
        <x:v>S15</x:v>
      </x:c>
      <x:c r="D216" s="37" t="n">
        <x:v>15</x:v>
      </x:c>
      <x:c r="E216" s="27" t="str">
        <x:v>Grade 3</x:v>
      </x:c>
      <x:c r="F216" s="27" t="str">
        <x:v>3</x:v>
      </x:c>
      <x:c r="G216" s="27" t="str">
        <x:v>Multiplicative reasoning, fractions, and paragraphs</x:v>
      </x:c>
      <x:c r="H216" s="27" t="str">
        <x:v>Reading</x:v>
      </x:c>
      <x:c r="I216" s="27" t="str">
        <x:v>Source integration</x:v>
      </x:c>
      <x:c r="J216" s="27" t="str">
        <x:v>Compare accounts and media</x:v>
      </x:c>
      <x:c r="K216" s="27" t="str">
        <x:v>Comparing key points, evidence, and emphasis across two texts or a text and visual/audio source on the same topic.</x:v>
      </x:c>
      <x:c r="L216" s="27" t="str">
        <x:v>Grade 2 cross-text comparison and media creator/purpose.</x:v>
      </x:c>
      <x:c r="M216" s="27" t="str">
        <x:v>S15-READ-04</x:v>
      </x:c>
      <x:c r="N216" s="27" t="str">
        <x:v>G4/G5 — Concrete model linked to coordinated representations</x:v>
      </x:c>
      <x:c r="O216" s="27" t="str">
        <x:v>Oral language and writing; evidence in science/social studies; mathematical and technical problem interpretation; media verification.</x:v>
      </x:c>
      <x:c r="P216" s="27" t="str">
        <x:v>Integration across representations prepares research synthesis.</x:v>
      </x:c>
      <x:c r="Q216" s="27" t="str">
        <x:v>S16-READ-01</x:v>
      </x:c>
      <x:c r="R216" s="27" t="str">
        <x:v>States a combined conclusion and identifies what each source uniquely contributes.</x:v>
      </x:c>
      <x:c r="S216" s="27" t="str">
        <x:v>SRC10; SRC20</x:v>
      </x:c>
      <x:c r="T216" s="27" t="str">
        <x:v>Development varies; use observed performance and appropriate supports rather than age alone.</x:v>
      </x:c>
      <x:c r="U216" s="27" t="str"/>
      <x:c r="V216" s="27" t="str"/>
      <x:c r="W216" s="39" t="str"/>
      <x:c r="X216" s="39" t="str"/>
    </x:row>
    <x:row r="217">
      <x:c r="A217" s="27" t="str">
        <x:v>S15-WRITE-01</x:v>
      </x:c>
      <x:c r="B217" s="37" t="n">
        <x:v>213</x:v>
      </x:c>
      <x:c r="C217" s="27" t="str">
        <x:v>S15</x:v>
      </x:c>
      <x:c r="D217" s="37" t="n">
        <x:v>15</x:v>
      </x:c>
      <x:c r="E217" s="27" t="str">
        <x:v>Grade 3</x:v>
      </x:c>
      <x:c r="F217" s="27" t="str">
        <x:v>3</x:v>
      </x:c>
      <x:c r="G217" s="27" t="str">
        <x:v>Multiplicative reasoning, fractions, and paragraphs</x:v>
      </x:c>
      <x:c r="H217" s="27" t="str">
        <x:v>Writing &amp; Language</x:v>
      </x:c>
      <x:c r="I217" s="27" t="str">
        <x:v>Paragraph development</x:v>
      </x:c>
      <x:c r="J217" s="27" t="str">
        <x:v>Claim/topic, evidence, explanation, transition</x:v>
      </x:c>
      <x:c r="K217" s="27" t="str">
        <x:v>Building a focused paragraph in which evidence or details are connected to the controlling idea through explanation and logical transitions.</x:v>
      </x:c>
      <x:c r="L217" s="27" t="str">
        <x:v>Grade 2 paragraph, inference, and sentence variety.</x:v>
      </x:c>
      <x:c r="M217" s="27" t="str">
        <x:v>S14-WRITE-03</x:v>
      </x:c>
      <x:c r="N217" s="27" t="str">
        <x:v>G4/G5 — Concrete model linked to coordinated representations</x:v>
      </x:c>
      <x:c r="O217" s="27" t="str">
        <x:v>Reading models; evidence from science/social studies; mathematical explanation; research, media, and presentation.</x:v>
      </x:c>
      <x:c r="P217" s="27" t="str">
        <x:v>Evidence plus explanation forms the reasoning unit used in essays and reports.</x:v>
      </x:c>
      <x:c r="Q217" s="27" t="str">
        <x:v>S15-WRITE-02</x:v>
      </x:c>
      <x:c r="R217" s="27" t="str">
        <x:v>Writes a paragraph where each detail is explained rather than merely listed.</x:v>
      </x:c>
      <x:c r="S217" s="27" t="str">
        <x:v>SRC10; SRC21</x:v>
      </x:c>
      <x:c r="T217" s="27" t="str">
        <x:v>Development varies; use observed performance and appropriate supports rather than age alone.</x:v>
      </x:c>
      <x:c r="U217" s="27" t="str"/>
      <x:c r="V217" s="27" t="str"/>
      <x:c r="W217" s="39" t="str"/>
      <x:c r="X217" s="39" t="str"/>
    </x:row>
    <x:row r="218">
      <x:c r="A218" s="27" t="str">
        <x:v>S15-WRITE-02</x:v>
      </x:c>
      <x:c r="B218" s="37" t="n">
        <x:v>214</x:v>
      </x:c>
      <x:c r="C218" s="27" t="str">
        <x:v>S15</x:v>
      </x:c>
      <x:c r="D218" s="37" t="n">
        <x:v>15</x:v>
      </x:c>
      <x:c r="E218" s="27" t="str">
        <x:v>Grade 3</x:v>
      </x:c>
      <x:c r="F218" s="27" t="str">
        <x:v>3</x:v>
      </x:c>
      <x:c r="G218" s="27" t="str">
        <x:v>Multiplicative reasoning, fractions, and paragraphs</x:v>
      </x:c>
      <x:c r="H218" s="27" t="str">
        <x:v>Writing &amp; Language</x:v>
      </x:c>
      <x:c r="I218" s="27" t="str">
        <x:v>Genres</x:v>
      </x:c>
      <x:c r="J218" s="27" t="str">
        <x:v>Narrative, informative, and opinion organization</x:v>
      </x:c>
      <x:c r="K218" s="27" t="str">
        <x:v>Using genre-specific structures: event sequence/dialogue; topic/facts/definitions; or opinion/reasons/evidence, each with suitable closure.</x:v>
      </x:c>
      <x:c r="L218" s="27" t="str">
        <x:v>Purpose-specific connected writing and paragraph development.</x:v>
      </x:c>
      <x:c r="M218" s="27" t="str">
        <x:v>S15-WRITE-01</x:v>
      </x:c>
      <x:c r="N218" s="27" t="str">
        <x:v>G4/G5 — Concrete model linked to coordinated representations</x:v>
      </x:c>
      <x:c r="O218" s="27" t="str">
        <x:v>Reading models; evidence from science/social studies; mathematical explanation; research, media, and presentation.</x:v>
      </x:c>
      <x:c r="P218" s="27" t="str">
        <x:v>Distinct genre schemas help students plan longer compositions.</x:v>
      </x:c>
      <x:c r="Q218" s="27" t="str">
        <x:v>S15-WRITE-03</x:v>
      </x:c>
      <x:c r="R218" s="27" t="str">
        <x:v>Produces a multi-paragraph or extended piece whose organization matches its purpose.</x:v>
      </x:c>
      <x:c r="S218" s="27" t="str">
        <x:v>SRC10; SRC21</x:v>
      </x:c>
      <x:c r="T218" s="27" t="str">
        <x:v>Development varies; use observed performance and appropriate supports rather than age alone.</x:v>
      </x:c>
      <x:c r="U218" s="27" t="str"/>
      <x:c r="V218" s="27" t="str"/>
      <x:c r="W218" s="39" t="str"/>
      <x:c r="X218" s="39" t="str"/>
    </x:row>
    <x:row r="219">
      <x:c r="A219" s="27" t="str">
        <x:v>S15-WRITE-03</x:v>
      </x:c>
      <x:c r="B219" s="37" t="n">
        <x:v>215</x:v>
      </x:c>
      <x:c r="C219" s="27" t="str">
        <x:v>S15</x:v>
      </x:c>
      <x:c r="D219" s="37" t="n">
        <x:v>15</x:v>
      </x:c>
      <x:c r="E219" s="27" t="str">
        <x:v>Grade 3</x:v>
      </x:c>
      <x:c r="F219" s="27" t="str">
        <x:v>3</x:v>
      </x:c>
      <x:c r="G219" s="27" t="str">
        <x:v>Multiplicative reasoning, fractions, and paragraphs</x:v>
      </x:c>
      <x:c r="H219" s="27" t="str">
        <x:v>Writing &amp; Language</x:v>
      </x:c>
      <x:c r="I219" s="27" t="str">
        <x:v>Conventions</x:v>
      </x:c>
      <x:c r="J219" s="27" t="str">
        <x:v>Grammar and conventional spelling consolidation</x:v>
      </x:c>
      <x:c r="K219" s="27" t="str">
        <x:v>Applying standard sentence agreement, pronouns, verb tense, adjectives/adverbs, punctuation, capitalization, and grade-level spelling patterns during editing.</x:v>
      </x:c>
      <x:c r="L219" s="27" t="str">
        <x:v>Sentence craft, morphology, and revision/editing cycle.</x:v>
      </x:c>
      <x:c r="M219" s="27" t="str">
        <x:v>S15-WRITE-02</x:v>
      </x:c>
      <x:c r="N219" s="27" t="str">
        <x:v>G4/G5 — Concrete model linked to coordinated representations</x:v>
      </x:c>
      <x:c r="O219" s="27" t="str">
        <x:v>Reading models; evidence from science/social studies; mathematical explanation; research, media, and presentation.</x:v>
      </x:c>
      <x:c r="P219" s="27" t="str">
        <x:v>Convention control improves clarity and frees revision to focus on reasoning and style.</x:v>
      </x:c>
      <x:c r="Q219" s="27" t="str">
        <x:v>S15-WRITE-04</x:v>
      </x:c>
      <x:c r="R219" s="27" t="str">
        <x:v>Edits a draft accurately using a criteria-based check and explains selected corrections.</x:v>
      </x:c>
      <x:c r="S219" s="27" t="str">
        <x:v>SRC10; SRC21</x:v>
      </x:c>
      <x:c r="T219" s="27" t="str">
        <x:v>Development varies; use observed performance and appropriate supports rather than age alone.</x:v>
      </x:c>
      <x:c r="U219" s="27" t="str"/>
      <x:c r="V219" s="27" t="str"/>
      <x:c r="W219" s="39" t="str"/>
      <x:c r="X219" s="39" t="str"/>
    </x:row>
    <x:row r="220">
      <x:c r="A220" s="27" t="str">
        <x:v>S15-WRITE-04</x:v>
      </x:c>
      <x:c r="B220" s="37" t="n">
        <x:v>216</x:v>
      </x:c>
      <x:c r="C220" s="27" t="str">
        <x:v>S15</x:v>
      </x:c>
      <x:c r="D220" s="37" t="n">
        <x:v>15</x:v>
      </x:c>
      <x:c r="E220" s="27" t="str">
        <x:v>Grade 3</x:v>
      </x:c>
      <x:c r="F220" s="27" t="str">
        <x:v>3</x:v>
      </x:c>
      <x:c r="G220" s="27" t="str">
        <x:v>Multiplicative reasoning, fractions, and paragraphs</x:v>
      </x:c>
      <x:c r="H220" s="27" t="str">
        <x:v>Writing &amp; Language</x:v>
      </x:c>
      <x:c r="I220" s="27" t="str">
        <x:v>Research</x:v>
      </x:c>
      <x:c r="J220" s="27" t="str">
        <x:v>Question, notes, paraphrase, and source label</x:v>
      </x:c>
      <x:c r="K220" s="27" t="str">
        <x:v>Narrowing a question, gathering relevant facts, paraphrasing in own language, grouping notes, and identifying each source.</x:v>
      </x:c>
      <x:c r="L220" s="27" t="str">
        <x:v>Shared Grade 2 research, paragraph writing, and source integration.</x:v>
      </x:c>
      <x:c r="M220" s="27" t="str">
        <x:v>S15-WRITE-03</x:v>
      </x:c>
      <x:c r="N220" s="27" t="str">
        <x:v>G4/G5 — Concrete model linked to coordinated representations</x:v>
      </x:c>
      <x:c r="O220" s="27" t="str">
        <x:v>Reading models; evidence from science/social studies; mathematical explanation; research, media, and presentation.</x:v>
      </x:c>
      <x:c r="P220" s="27" t="str">
        <x:v>Paraphrase and source tracking prevent copying and prepare formal citation.</x:v>
      </x:c>
      <x:c r="Q220" s="27" t="str">
        <x:v>S16-WRITE-01</x:v>
      </x:c>
      <x:c r="R220" s="27" t="str">
        <x:v>Produces organized notes traceable to sources and a supported answer in own words.</x:v>
      </x:c>
      <x:c r="S220" s="27" t="str">
        <x:v>SRC10; SRC21</x:v>
      </x:c>
      <x:c r="T220" s="27" t="str">
        <x:v>Development varies; use observed performance and appropriate supports rather than age alone.</x:v>
      </x:c>
      <x:c r="U220" s="27" t="str"/>
      <x:c r="V220" s="27" t="str"/>
      <x:c r="W220" s="39" t="str"/>
      <x:c r="X220" s="39" t="str"/>
    </x:row>
    <x:row r="221">
      <x:c r="A221" s="27" t="str">
        <x:v>S15-MATH-01</x:v>
      </x:c>
      <x:c r="B221" s="37" t="n">
        <x:v>217</x:v>
      </x:c>
      <x:c r="C221" s="27" t="str">
        <x:v>S15</x:v>
      </x:c>
      <x:c r="D221" s="37" t="n">
        <x:v>15</x:v>
      </x:c>
      <x:c r="E221" s="27" t="str">
        <x:v>Grade 3</x:v>
      </x:c>
      <x:c r="F221" s="27" t="str">
        <x:v>3</x:v>
      </x:c>
      <x:c r="G221" s="27" t="str">
        <x:v>Multiplicative reasoning, fractions, and paragraphs</x:v>
      </x:c>
      <x:c r="H221" s="27" t="str">
        <x:v>Mathematics</x:v>
      </x:c>
      <x:c r="I221" s="27" t="str">
        <x:v>Multiplication and division</x:v>
      </x:c>
      <x:c r="J221" s="27" t="str">
        <x:v>Meanings and fact families within 100</x:v>
      </x:c>
      <x:c r="K221" s="27" t="str">
        <x:v>Interpreting multiplication as equal groups/arrays/measurement and division as sharing/grouping, using properties and inverse relationships to develop fluency.</x:v>
      </x:c>
      <x:c r="L221" s="27" t="str">
        <x:v>Grade 2 arrays, addition fluency, and unknown-position equations.</x:v>
      </x:c>
      <x:c r="M221" s="27" t="str">
        <x:v>S14-MATH-06</x:v>
      </x:c>
      <x:c r="N221" s="27" t="str">
        <x:v>G4/G5 — Concrete model linked to coordinated representations</x:v>
      </x:c>
      <x:c r="O221" s="27" t="str">
        <x:v>Physical quantity and spatial action; science measurement/models; computing/algorithms; finance; music rhythm/pattern; geographic data.</x:v>
      </x:c>
      <x:c r="P221" s="27" t="str">
        <x:v>Multiplicative structures support fractions, area, ratios, algebra, and rate.</x:v>
      </x:c>
      <x:c r="Q221" s="27" t="str">
        <x:v>S15-MATH-02</x:v>
      </x:c>
      <x:c r="R221" s="27" t="str">
        <x:v>Models an unfamiliar situation, writes related equations, and explains the chosen operation.</x:v>
      </x:c>
      <x:c r="S221" s="27" t="str">
        <x:v>SRC09</x:v>
      </x:c>
      <x:c r="T221" s="27" t="str">
        <x:v>Development varies; use observed performance and appropriate supports rather than age alone.</x:v>
      </x:c>
      <x:c r="U221" s="27" t="str"/>
      <x:c r="V221" s="27" t="str"/>
      <x:c r="W221" s="39" t="str"/>
      <x:c r="X221" s="39" t="str"/>
    </x:row>
    <x:row r="222">
      <x:c r="A222" s="27" t="str">
        <x:v>S15-MATH-02</x:v>
      </x:c>
      <x:c r="B222" s="37" t="n">
        <x:v>218</x:v>
      </x:c>
      <x:c r="C222" s="27" t="str">
        <x:v>S15</x:v>
      </x:c>
      <x:c r="D222" s="37" t="n">
        <x:v>15</x:v>
      </x:c>
      <x:c r="E222" s="27" t="str">
        <x:v>Grade 3</x:v>
      </x:c>
      <x:c r="F222" s="27" t="str">
        <x:v>3</x:v>
      </x:c>
      <x:c r="G222" s="27" t="str">
        <x:v>Multiplicative reasoning, fractions, and paragraphs</x:v>
      </x:c>
      <x:c r="H222" s="27" t="str">
        <x:v>Mathematics</x:v>
      </x:c>
      <x:c r="I222" s="27" t="str">
        <x:v>Place value and operations</x:v>
      </x:c>
      <x:c r="J222" s="27" t="str">
        <x:v>Round and operate within 1,000</x:v>
      </x:c>
      <x:c r="K222" s="27" t="str">
        <x:v>Using place value to round to nearest 10/100 and fluently add/subtract within 1,000 with a valid algorithm; multiplying one-digit numbers by multiples of ten.</x:v>
      </x:c>
      <x:c r="L222" s="27" t="str">
        <x:v>Grade 2 place value and regrouping.</x:v>
      </x:c>
      <x:c r="M222" s="27" t="str">
        <x:v>S15-MATH-01</x:v>
      </x:c>
      <x:c r="N222" s="27" t="str">
        <x:v>G4/G5 — Concrete model linked to coordinated representations</x:v>
      </x:c>
      <x:c r="O222" s="27" t="str">
        <x:v>Physical quantity and spatial action; science measurement/models; computing/algorithms; finance; music rhythm/pattern; geographic data.</x:v>
      </x:c>
      <x:c r="P222" s="27" t="str">
        <x:v>Rounding supports estimation; algorithms and scaling by tens prepare larger multiplication.</x:v>
      </x:c>
      <x:c r="Q222" s="27" t="str">
        <x:v>S15-MATH-03</x:v>
      </x:c>
      <x:c r="R222" s="27" t="str">
        <x:v>Computes, estimates, and explains whether the exact answer is reasonable.</x:v>
      </x:c>
      <x:c r="S222" s="27" t="str">
        <x:v>SRC09</x:v>
      </x:c>
      <x:c r="T222" s="27" t="str">
        <x:v>Development varies; use observed performance and appropriate supports rather than age alone.</x:v>
      </x:c>
      <x:c r="U222" s="27" t="str"/>
      <x:c r="V222" s="27" t="str"/>
      <x:c r="W222" s="39" t="str"/>
      <x:c r="X222" s="39" t="str"/>
    </x:row>
    <x:row r="223">
      <x:c r="A223" s="27" t="str">
        <x:v>S15-MATH-03</x:v>
      </x:c>
      <x:c r="B223" s="37" t="n">
        <x:v>219</x:v>
      </x:c>
      <x:c r="C223" s="27" t="str">
        <x:v>S15</x:v>
      </x:c>
      <x:c r="D223" s="37" t="n">
        <x:v>15</x:v>
      </x:c>
      <x:c r="E223" s="27" t="str">
        <x:v>Grade 3</x:v>
      </x:c>
      <x:c r="F223" s="27" t="str">
        <x:v>3</x:v>
      </x:c>
      <x:c r="G223" s="27" t="str">
        <x:v>Multiplicative reasoning, fractions, and paragraphs</x:v>
      </x:c>
      <x:c r="H223" s="27" t="str">
        <x:v>Mathematics</x:v>
      </x:c>
      <x:c r="I223" s="27" t="str">
        <x:v>Fractions</x:v>
      </x:c>
      <x:c r="J223" s="27" t="str">
        <x:v>Fractions as numbers</x:v>
      </x:c>
      <x:c r="K223" s="27" t="str">
        <x:v>Understanding a fraction a/b as a parts of size 1/b, locating fractions on number lines, generating simple equivalents, and comparing fractions with the same whole.</x:v>
      </x:c>
      <x:c r="L223" s="27" t="str">
        <x:v>Equal shares, number-line measurement, and part–whole composition.</x:v>
      </x:c>
      <x:c r="M223" s="27" t="str">
        <x:v>S15-MATH-02</x:v>
      </x:c>
      <x:c r="N223" s="27" t="str">
        <x:v>G4/G5 — Concrete model linked to coordinated representations</x:v>
      </x:c>
      <x:c r="O223" s="27" t="str">
        <x:v>Physical quantity and spatial action; science measurement/models; computing/algorithms; finance; music rhythm/pattern; geographic data.</x:v>
      </x:c>
      <x:c r="P223" s="27" t="str">
        <x:v>Treating fractions as numbers enables operations, ratios, and rational-number reasoning.</x:v>
      </x:c>
      <x:c r="Q223" s="27" t="str">
        <x:v>S15-MATH-04</x:v>
      </x:c>
      <x:c r="R223" s="27" t="str">
        <x:v>Places and compares fractions using a model and explains the role of numerator and denominator.</x:v>
      </x:c>
      <x:c r="S223" s="27" t="str">
        <x:v>SRC09</x:v>
      </x:c>
      <x:c r="T223" s="27" t="str">
        <x:v>Development varies; use observed performance and appropriate supports rather than age alone.</x:v>
      </x:c>
      <x:c r="U223" s="27" t="str"/>
      <x:c r="V223" s="27" t="str"/>
      <x:c r="W223" s="39" t="str"/>
      <x:c r="X223" s="39" t="str"/>
    </x:row>
    <x:row r="224">
      <x:c r="A224" s="27" t="str">
        <x:v>S15-MATH-04</x:v>
      </x:c>
      <x:c r="B224" s="37" t="n">
        <x:v>220</x:v>
      </x:c>
      <x:c r="C224" s="27" t="str">
        <x:v>S15</x:v>
      </x:c>
      <x:c r="D224" s="37" t="n">
        <x:v>15</x:v>
      </x:c>
      <x:c r="E224" s="27" t="str">
        <x:v>Grade 3</x:v>
      </x:c>
      <x:c r="F224" s="27" t="str">
        <x:v>3</x:v>
      </x:c>
      <x:c r="G224" s="27" t="str">
        <x:v>Multiplicative reasoning, fractions, and paragraphs</x:v>
      </x:c>
      <x:c r="H224" s="27" t="str">
        <x:v>Mathematics</x:v>
      </x:c>
      <x:c r="I224" s="27" t="str">
        <x:v>Measurement</x:v>
      </x:c>
      <x:c r="J224" s="27" t="str">
        <x:v>Time, mass, volume, perimeter, and area</x:v>
      </x:c>
      <x:c r="K224" s="27" t="str">
        <x:v>Solving measurement problems with standard units, distinguishing perimeter from area, and connecting rectangular area to multiplication and addition.</x:v>
      </x:c>
      <x:c r="L224" s="27" t="str">
        <x:v>Standard measurement, multiplication, and shape attributes.</x:v>
      </x:c>
      <x:c r="M224" s="27" t="str">
        <x:v>S15-MATH-03</x:v>
      </x:c>
      <x:c r="N224" s="27" t="str">
        <x:v>G4/G5 — Concrete model linked to coordinated representations</x:v>
      </x:c>
      <x:c r="O224" s="27" t="str">
        <x:v>Physical quantity and spatial action; science measurement/models; computing/algorithms; finance; music rhythm/pattern; geographic data.</x:v>
      </x:c>
      <x:c r="P224" s="27" t="str">
        <x:v>Area provides a spatial model of multiplication and later algebraic products.</x:v>
      </x:c>
      <x:c r="Q224" s="27" t="str">
        <x:v>S15-MATH-05</x:v>
      </x:c>
      <x:c r="R224" s="27" t="str">
        <x:v>Chooses units/formulas appropriate to the attribute and explains the measured quantity.</x:v>
      </x:c>
      <x:c r="S224" s="27" t="str">
        <x:v>SRC09</x:v>
      </x:c>
      <x:c r="T224" s="27" t="str">
        <x:v>Development varies; use observed performance and appropriate supports rather than age alone.</x:v>
      </x:c>
      <x:c r="U224" s="27" t="str"/>
      <x:c r="V224" s="27" t="str"/>
      <x:c r="W224" s="39" t="str"/>
      <x:c r="X224" s="39" t="str"/>
    </x:row>
    <x:row r="225">
      <x:c r="A225" s="27" t="str">
        <x:v>S15-MATH-05</x:v>
      </x:c>
      <x:c r="B225" s="37" t="n">
        <x:v>221</x:v>
      </x:c>
      <x:c r="C225" s="27" t="str">
        <x:v>S15</x:v>
      </x:c>
      <x:c r="D225" s="37" t="n">
        <x:v>15</x:v>
      </x:c>
      <x:c r="E225" s="27" t="str">
        <x:v>Grade 3</x:v>
      </x:c>
      <x:c r="F225" s="27" t="str">
        <x:v>3</x:v>
      </x:c>
      <x:c r="G225" s="27" t="str">
        <x:v>Multiplicative reasoning, fractions, and paragraphs</x:v>
      </x:c>
      <x:c r="H225" s="27" t="str">
        <x:v>Mathematics</x:v>
      </x:c>
      <x:c r="I225" s="27" t="str">
        <x:v>Data</x:v>
      </x:c>
      <x:c r="J225" s="27" t="str">
        <x:v>Scaled graphs and line plots</x:v>
      </x:c>
      <x:c r="K225" s="27" t="str">
        <x:v>Creating and interpreting scaled bar/picture graphs and line plots, including measurement data with fractional units as introduced.</x:v>
      </x:c>
      <x:c r="L225" s="27" t="str">
        <x:v>Grade 2 data displays, multiplication, and fractions.</x:v>
      </x:c>
      <x:c r="M225" s="27" t="str">
        <x:v>S15-MATH-04</x:v>
      </x:c>
      <x:c r="N225" s="27" t="str">
        <x:v>G4/G5 — Concrete model linked to coordinated representations</x:v>
      </x:c>
      <x:c r="O225" s="27" t="str">
        <x:v>Physical quantity and spatial action; science measurement/models; computing/algorithms; finance; music rhythm/pattern; geographic data.</x:v>
      </x:c>
      <x:c r="P225" s="27" t="str">
        <x:v>Scale and measurement data prepare distributions and statistical summaries.</x:v>
      </x:c>
      <x:c r="Q225" s="27" t="str">
        <x:v>S16-MATH-01</x:v>
      </x:c>
      <x:c r="R225" s="27" t="str">
        <x:v>Constructs a correctly scaled display and solves a two-step question from it.</x:v>
      </x:c>
      <x:c r="S225" s="27" t="str">
        <x:v>SRC09</x:v>
      </x:c>
      <x:c r="T225" s="27" t="str">
        <x:v>Development varies; use observed performance and appropriate supports rather than age alone.</x:v>
      </x:c>
      <x:c r="U225" s="27" t="str"/>
      <x:c r="V225" s="27" t="str"/>
      <x:c r="W225" s="39" t="str"/>
      <x:c r="X225" s="39" t="str"/>
    </x:row>
    <x:row r="226">
      <x:c r="A226" s="27" t="str">
        <x:v>S15-SCI-01</x:v>
      </x:c>
      <x:c r="B226" s="37" t="n">
        <x:v>222</x:v>
      </x:c>
      <x:c r="C226" s="27" t="str">
        <x:v>S15</x:v>
      </x:c>
      <x:c r="D226" s="37" t="n">
        <x:v>15</x:v>
      </x:c>
      <x:c r="E226" s="27" t="str">
        <x:v>Grade 3</x:v>
      </x:c>
      <x:c r="F226" s="27" t="str">
        <x:v>3</x:v>
      </x:c>
      <x:c r="G226" s="27" t="str">
        <x:v>Multiplicative reasoning, fractions, and paragraphs</x:v>
      </x:c>
      <x:c r="H226" s="27" t="str">
        <x:v>Science &amp; Engineering</x:v>
      </x:c>
      <x:c r="I226" s="27" t="str">
        <x:v>Physical science</x:v>
      </x:c>
      <x:c r="J226" s="27" t="str">
        <x:v>Forces and predictable motion</x:v>
      </x:c>
      <x:c r="K226" s="27" t="str">
        <x:v>Planning investigations of balanced/unbalanced forces, contact/noncontact interactions, and patterns that predict motion.</x:v>
      </x:c>
      <x:c r="L226" s="27" t="str">
        <x:v>Pushes/pulls, matter testing, measurement, and data graphs.</x:v>
      </x:c>
      <x:c r="M226" s="27" t="str">
        <x:v>S14-SCI-03</x:v>
      </x:c>
      <x:c r="N226" s="27" t="str">
        <x:v>G4/G5 — Concrete model linked to coordinated representations</x:v>
      </x:c>
      <x:c r="O226" s="27" t="str">
        <x:v>Sensory observation and action; mathematics/data; reading/writing evidence; computing/models; health and environmental/civic decisions.</x:v>
      </x:c>
      <x:c r="P226" s="27" t="str">
        <x:v>Measured patterns support stronger causal and predictive models.</x:v>
      </x:c>
      <x:c r="Q226" s="27" t="str">
        <x:v>S15-SCI-02</x:v>
      </x:c>
      <x:c r="R226" s="27" t="str">
        <x:v>Uses repeated measurements to support a motion or force claim.</x:v>
      </x:c>
      <x:c r="S226" s="27" t="str">
        <x:v>SRC11</x:v>
      </x:c>
      <x:c r="T226" s="27" t="str">
        <x:v>Development varies; use observed performance and appropriate supports rather than age alone.</x:v>
      </x:c>
      <x:c r="U226" s="27" t="str"/>
      <x:c r="V226" s="27" t="str"/>
      <x:c r="W226" s="39" t="str"/>
      <x:c r="X226" s="39" t="str"/>
    </x:row>
    <x:row r="227">
      <x:c r="A227" s="27" t="str">
        <x:v>S15-SCI-02</x:v>
      </x:c>
      <x:c r="B227" s="37" t="n">
        <x:v>223</x:v>
      </x:c>
      <x:c r="C227" s="27" t="str">
        <x:v>S15</x:v>
      </x:c>
      <x:c r="D227" s="37" t="n">
        <x:v>15</x:v>
      </x:c>
      <x:c r="E227" s="27" t="str">
        <x:v>Grade 3</x:v>
      </x:c>
      <x:c r="F227" s="27" t="str">
        <x:v>3</x:v>
      </x:c>
      <x:c r="G227" s="27" t="str">
        <x:v>Multiplicative reasoning, fractions, and paragraphs</x:v>
      </x:c>
      <x:c r="H227" s="27" t="str">
        <x:v>Science &amp; Engineering</x:v>
      </x:c>
      <x:c r="I227" s="27" t="str">
        <x:v>Life science</x:v>
      </x:c>
      <x:c r="J227" s="27" t="str">
        <x:v>Life cycles, traits, and environment</x:v>
      </x:c>
      <x:c r="K227" s="27" t="str">
        <x:v>Comparing organism life cycles, inherited traits, variation, and environmental effects on survival and group behavior.</x:v>
      </x:c>
      <x:c r="L227" s="27" t="str">
        <x:v>Structure-function, reproduction relationships, and biodiversity.</x:v>
      </x:c>
      <x:c r="M227" s="27" t="str">
        <x:v>S15-SCI-01</x:v>
      </x:c>
      <x:c r="N227" s="27" t="str">
        <x:v>G4/G5 — Concrete model linked to coordinated representations</x:v>
      </x:c>
      <x:c r="O227" s="27" t="str">
        <x:v>Sensory observation and action; mathematics/data; reading/writing evidence; computing/models; health and environmental/civic decisions.</x:v>
      </x:c>
      <x:c r="P227" s="27" t="str">
        <x:v>Traits plus environment prepare heredity, adaptation, and evolution.</x:v>
      </x:c>
      <x:c r="Q227" s="27" t="str">
        <x:v>S15-SCI-03</x:v>
      </x:c>
      <x:c r="R227" s="27" t="str">
        <x:v>Uses observations or data to distinguish inherited variation from an environmental influence.</x:v>
      </x:c>
      <x:c r="S227" s="27" t="str">
        <x:v>SRC11</x:v>
      </x:c>
      <x:c r="T227" s="27" t="str">
        <x:v>Development varies; use observed performance and appropriate supports rather than age alone.</x:v>
      </x:c>
      <x:c r="U227" s="27" t="str"/>
      <x:c r="V227" s="27" t="str"/>
      <x:c r="W227" s="39" t="str"/>
      <x:c r="X227" s="39" t="str"/>
    </x:row>
    <x:row r="228">
      <x:c r="A228" s="27" t="str">
        <x:v>S15-SCI-03</x:v>
      </x:c>
      <x:c r="B228" s="37" t="n">
        <x:v>224</x:v>
      </x:c>
      <x:c r="C228" s="27" t="str">
        <x:v>S15</x:v>
      </x:c>
      <x:c r="D228" s="37" t="n">
        <x:v>15</x:v>
      </x:c>
      <x:c r="E228" s="27" t="str">
        <x:v>Grade 3</x:v>
      </x:c>
      <x:c r="F228" s="27" t="str">
        <x:v>3</x:v>
      </x:c>
      <x:c r="G228" s="27" t="str">
        <x:v>Multiplicative reasoning, fractions, and paragraphs</x:v>
      </x:c>
      <x:c r="H228" s="27" t="str">
        <x:v>Science &amp; Engineering</x:v>
      </x:c>
      <x:c r="I228" s="27" t="str">
        <x:v>Earth science</x:v>
      </x:c>
      <x:c r="J228" s="27" t="str">
        <x:v>Weather, climate, and hazards</x:v>
      </x:c>
      <x:c r="K228" s="27" t="str">
        <x:v>Representing seasonal weather data, distinguishing weather from regional climate patterns, and evaluating designs that reduce hazard impacts.</x:v>
      </x:c>
      <x:c r="L228" s="27" t="str">
        <x:v>Kindergarten weather records, Grade 2 Earth change, and scaled graphs.</x:v>
      </x:c>
      <x:c r="M228" s="27" t="str">
        <x:v>S15-SCI-02</x:v>
      </x:c>
      <x:c r="N228" s="27" t="str">
        <x:v>G4/G5 — Concrete model linked to coordinated representations</x:v>
      </x:c>
      <x:c r="O228" s="27" t="str">
        <x:v>Sensory observation and action; mathematics/data; reading/writing evidence; computing/models; health and environmental/civic decisions.</x:v>
      </x:c>
      <x:c r="P228" s="27" t="str">
        <x:v>Longer datasets and design constraints connect patterns to community decisions.</x:v>
      </x:c>
      <x:c r="Q228" s="27" t="str">
        <x:v>S16-SCI-01</x:v>
      </x:c>
      <x:c r="R228" s="27" t="str">
        <x:v>Uses data to describe a climate pattern and compares hazard-solution criteria.</x:v>
      </x:c>
      <x:c r="S228" s="27" t="str">
        <x:v>SRC11</x:v>
      </x:c>
      <x:c r="T228" s="27" t="str">
        <x:v>Development varies; use observed performance and appropriate supports rather than age alone.</x:v>
      </x:c>
      <x:c r="U228" s="27" t="str"/>
      <x:c r="V228" s="27" t="str"/>
      <x:c r="W228" s="39" t="str"/>
      <x:c r="X228" s="39" t="str"/>
    </x:row>
    <x:row r="229">
      <x:c r="A229" s="27" t="str">
        <x:v>S15-SST-01</x:v>
      </x:c>
      <x:c r="B229" s="37" t="n">
        <x:v>225</x:v>
      </x:c>
      <x:c r="C229" s="27" t="str">
        <x:v>S15</x:v>
      </x:c>
      <x:c r="D229" s="37" t="n">
        <x:v>15</x:v>
      </x:c>
      <x:c r="E229" s="27" t="str">
        <x:v>Grade 3</x:v>
      </x:c>
      <x:c r="F229" s="27" t="str">
        <x:v>3</x:v>
      </x:c>
      <x:c r="G229" s="27" t="str">
        <x:v>Multiplicative reasoning, fractions, and paragraphs</x:v>
      </x:c>
      <x:c r="H229" s="27" t="str">
        <x:v>Social Studies</x:v>
      </x:c>
      <x:c r="I229" s="27" t="str">
        <x:v>Inquiry</x:v>
      </x:c>
      <x:c r="J229" s="27" t="str">
        <x:v>Regional and Indigenous histories, geography, civics, economics</x:v>
      </x:c>
      <x:c r="K229" s="27" t="str">
        <x:v>Using compelling/supporting questions, maps, timelines, oral histories/artifacts, civic institutions, resources, trade, and multiple perspectives to study a region.</x:v>
      </x:c>
      <x:c r="L229" s="27" t="str">
        <x:v>Local-source inquiry, Grade 3 research skills, and fraction/data representations.</x:v>
      </x:c>
      <x:c r="M229" s="27" t="str">
        <x:v>S14-SST-01</x:v>
      </x:c>
      <x:c r="N229" s="27" t="str">
        <x:v>G4/G5 — Concrete model linked to coordinated representations</x:v>
      </x:c>
      <x:c r="O229" s="27" t="str">
        <x:v>Language/literacy and source evidence; maps/data/economics; ethics/SEL; media literacy; arts/culture; civic action.</x:v>
      </x:c>
      <x:c r="P229" s="27" t="str">
        <x:v>Regional scale expands spatial, chronological, cultural, and institutional relationships.</x:v>
      </x:c>
      <x:c r="Q229" s="27" t="str">
        <x:v>S16-SST-01</x:v>
      </x:c>
      <x:c r="R229" s="27" t="str">
        <x:v>Communicates a conclusion supported by relevant evidence from more than one perspective/source type.</x:v>
      </x:c>
      <x:c r="S229" s="27" t="str">
        <x:v>SRC12; SRC24</x:v>
      </x:c>
      <x:c r="T229" s="27" t="str">
        <x:v>Development varies; use observed performance and appropriate supports rather than age alone.</x:v>
      </x:c>
      <x:c r="U229" s="27" t="str"/>
      <x:c r="V229" s="27" t="str"/>
      <x:c r="W229" s="39" t="str"/>
      <x:c r="X229" s="39" t="str"/>
    </x:row>
    <x:row r="230">
      <x:c r="A230" s="27" t="str">
        <x:v>S15-ARTS-01</x:v>
      </x:c>
      <x:c r="B230" s="37" t="n">
        <x:v>226</x:v>
      </x:c>
      <x:c r="C230" s="27" t="str">
        <x:v>S15</x:v>
      </x:c>
      <x:c r="D230" s="37" t="n">
        <x:v>15</x:v>
      </x:c>
      <x:c r="E230" s="27" t="str">
        <x:v>Grade 3</x:v>
      </x:c>
      <x:c r="F230" s="27" t="str">
        <x:v>3</x:v>
      </x:c>
      <x:c r="G230" s="27" t="str">
        <x:v>Multiplicative reasoning, fractions, and paragraphs</x:v>
      </x:c>
      <x:c r="H230" s="27" t="str">
        <x:v>Music &amp; Arts</x:v>
      </x:c>
      <x:c r="I230" s="27" t="str">
        <x:v>Music</x:v>
      </x:c>
      <x:c r="J230" s="27" t="str">
        <x:v>Notation, ensemble, and form</x:v>
      </x:c>
      <x:c r="K230" s="27" t="str">
        <x:v>Reading/creating grade-appropriate rhythm and pitch patterns, maintaining an independent part, and analyzing repetition, contrast, dynamics, and formal sections.</x:v>
      </x:c>
      <x:c r="L230" s="27" t="str">
        <x:v>Grade 2 meter/form and fluent pattern reading.</x:v>
      </x:c>
      <x:c r="M230" s="27" t="str">
        <x:v>S14-ARTS-01</x:v>
      </x:c>
      <x:c r="N230" s="27" t="str">
        <x:v>G4/G5 — Concrete model linked to coordinated representations</x:v>
      </x:c>
      <x:c r="O230" s="27" t="str">
        <x:v>Sensory discrimination; motor timing; language/prosody; mathematics/pattern; history/culture; emotion, design, and technology.</x:v>
      </x:c>
      <x:c r="P230" s="27" t="str">
        <x:v>An independent part introduces simultaneous coordination and harmony.</x:v>
      </x:c>
      <x:c r="Q230" s="27" t="str">
        <x:v>S16-ARTS-01</x:v>
      </x:c>
      <x:c r="R230" s="27" t="str">
        <x:v>Performs a part reliably and uses musical vocabulary to explain the work’s structure.</x:v>
      </x:c>
      <x:c r="S230" s="27" t="str">
        <x:v>SRC13</x:v>
      </x:c>
      <x:c r="T230" s="27" t="str">
        <x:v>Development varies; use observed performance and appropriate supports rather than age alone.</x:v>
      </x:c>
      <x:c r="U230" s="27" t="str"/>
      <x:c r="V230" s="27" t="str"/>
      <x:c r="W230" s="39" t="str"/>
      <x:c r="X230" s="39" t="str"/>
    </x:row>
    <x:row r="231">
      <x:c r="A231" s="27" t="str">
        <x:v>S15-HLTH-01</x:v>
      </x:c>
      <x:c r="B231" s="37" t="n">
        <x:v>227</x:v>
      </x:c>
      <x:c r="C231" s="27" t="str">
        <x:v>S15</x:v>
      </x:c>
      <x:c r="D231" s="37" t="n">
        <x:v>15</x:v>
      </x:c>
      <x:c r="E231" s="27" t="str">
        <x:v>Grade 3</x:v>
      </x:c>
      <x:c r="F231" s="27" t="str">
        <x:v>3</x:v>
      </x:c>
      <x:c r="G231" s="27" t="str">
        <x:v>Multiplicative reasoning, fractions, and paragraphs</x:v>
      </x:c>
      <x:c r="H231" s="27" t="str">
        <x:v>Physical &amp; Health</x:v>
      </x:c>
      <x:c r="I231" s="27" t="str">
        <x:v>Skill and fitness</x:v>
      </x:c>
      <x:c r="J231" s="27" t="str">
        <x:v>Movement concepts and personal fitness response</x:v>
      </x:c>
      <x:c r="K231" s="27" t="str">
        <x:v>Applying space, force, timing, and strategy to movement; monitoring heart/breathing response; and connecting practice, nutrition, sleep, and recovery to performance.</x:v>
      </x:c>
      <x:c r="L231" s="27" t="str">
        <x:v>Grade 2 skill application, measurement, and body signals.</x:v>
      </x:c>
      <x:c r="M231" s="27" t="str">
        <x:v>S14-HLTH-01</x:v>
      </x:c>
      <x:c r="N231" s="27" t="str">
        <x:v>G4/G5 — Concrete model linked to coordinated representations</x:v>
      </x:c>
      <x:c r="O231" s="27" t="str">
        <x:v>Motor/sensory development; life science; measurement/data; SEL/self-management; communication, safety, and decision-making.</x:v>
      </x:c>
      <x:c r="P231" s="27" t="str">
        <x:v>Movement analysis and self-monitoring support purposeful fitness planning.</x:v>
      </x:c>
      <x:c r="Q231" s="27" t="str">
        <x:v>S16-HLTH-01</x:v>
      </x:c>
      <x:c r="R231" s="27" t="str">
        <x:v>Adjusts a movement using a stated concept and records/explains a body response.</x:v>
      </x:c>
      <x:c r="S231" s="27" t="str">
        <x:v>SRC14; SRC15</x:v>
      </x:c>
      <x:c r="T231" s="27" t="str">
        <x:v>Development varies; use observed performance and appropriate supports rather than age alone.</x:v>
      </x:c>
      <x:c r="U231" s="27" t="str"/>
      <x:c r="V231" s="27" t="str"/>
      <x:c r="W231" s="39" t="str"/>
      <x:c r="X231" s="39" t="str"/>
    </x:row>
    <x:row r="232">
      <x:c r="A232" s="27" t="str">
        <x:v>S15-COMP-01</x:v>
      </x:c>
      <x:c r="B232" s="37" t="n">
        <x:v>228</x:v>
      </x:c>
      <x:c r="C232" s="27" t="str">
        <x:v>S15</x:v>
      </x:c>
      <x:c r="D232" s="37" t="n">
        <x:v>15</x:v>
      </x:c>
      <x:c r="E232" s="27" t="str">
        <x:v>Grade 3</x:v>
      </x:c>
      <x:c r="F232" s="27" t="str">
        <x:v>3</x:v>
      </x:c>
      <x:c r="G232" s="27" t="str">
        <x:v>Multiplicative reasoning, fractions, and paragraphs</x:v>
      </x:c>
      <x:c r="H232" s="27" t="str">
        <x:v>Computing &amp; Media</x:v>
      </x:c>
      <x:c r="I232" s="27" t="str">
        <x:v>Programming</x:v>
      </x:c>
      <x:c r="J232" s="27" t="str">
        <x:v>Variables and modular problem parts</x:v>
      </x:c>
      <x:c r="K232" s="27" t="str">
        <x:v>Storing a changing value, using sequences/loops/conditionals, and organizing a program into named or separately tested parts.</x:v>
      </x:c>
      <x:c r="L232" s="27" t="str">
        <x:v>Grade 2 decomposition, data representation, and unknowns.</x:v>
      </x:c>
      <x:c r="M232" s="27" t="str">
        <x:v>S14-COMP-02</x:v>
      </x:c>
      <x:c r="N232" s="27" t="str">
        <x:v>G4/G5 — Concrete model linked to coordinated representations</x:v>
      </x:c>
      <x:c r="O232" s="27" t="str">
        <x:v>Mathematics/logic/data; language and media evidence; science/engineering models; art/design; civics, privacy, finance, and ethics.</x:v>
      </x:c>
      <x:c r="P232" s="27" t="str">
        <x:v>Variables and modules allow programs to model state and scale in complexity.</x:v>
      </x:c>
      <x:c r="Q232" s="27" t="str">
        <x:v>S15-COMP-02</x:v>
      </x:c>
      <x:c r="R232" s="27" t="str">
        <x:v>Creates a program whose output changes with a variable and explains each part’s role.</x:v>
      </x:c>
      <x:c r="S232" s="27" t="str">
        <x:v>SRC16</x:v>
      </x:c>
      <x:c r="T232" s="27" t="str">
        <x:v>Development varies; use observed performance and appropriate supports rather than age alone.</x:v>
      </x:c>
      <x:c r="U232" s="27" t="str"/>
      <x:c r="V232" s="27" t="str"/>
      <x:c r="W232" s="39" t="str"/>
      <x:c r="X232" s="39" t="str"/>
    </x:row>
    <x:row r="233">
      <x:c r="A233" s="27" t="str">
        <x:v>S15-COMP-02</x:v>
      </x:c>
      <x:c r="B233" s="37" t="n">
        <x:v>229</x:v>
      </x:c>
      <x:c r="C233" s="27" t="str">
        <x:v>S15</x:v>
      </x:c>
      <x:c r="D233" s="37" t="n">
        <x:v>15</x:v>
      </x:c>
      <x:c r="E233" s="27" t="str">
        <x:v>Grade 3</x:v>
      </x:c>
      <x:c r="F233" s="27" t="str">
        <x:v>3</x:v>
      </x:c>
      <x:c r="G233" s="27" t="str">
        <x:v>Multiplicative reasoning, fractions, and paragraphs</x:v>
      </x:c>
      <x:c r="H233" s="27" t="str">
        <x:v>Computing &amp; Media</x:v>
      </x:c>
      <x:c r="I233" s="27" t="str">
        <x:v>Information literacy</x:v>
      </x:c>
      <x:c r="J233" s="27" t="str">
        <x:v>Search terms, relevance, and corroboration</x:v>
      </x:c>
      <x:c r="K233" s="27" t="str">
        <x:v>Formulating useful search terms, selecting information relevant to a question, and checking an important fact against another source.</x:v>
      </x:c>
      <x:c r="L233" s="27" t="str">
        <x:v>Source clues, research questions, and cross-text comparison.</x:v>
      </x:c>
      <x:c r="M233" s="27" t="str">
        <x:v>S15-COMP-01</x:v>
      </x:c>
      <x:c r="N233" s="27" t="str">
        <x:v>G4/G5 — Concrete model linked to coordinated representations</x:v>
      </x:c>
      <x:c r="O233" s="27" t="str">
        <x:v>Mathematics/logic/data; language and media evidence; science/engineering models; art/design; civics, privacy, finance, and ethics.</x:v>
      </x:c>
      <x:c r="P233" s="27" t="str">
        <x:v>Search and corroboration establish a repeatable evidence-gathering process.</x:v>
      </x:c>
      <x:c r="Q233" s="27" t="str">
        <x:v>S16-COMP-01</x:v>
      </x:c>
      <x:c r="R233" s="27" t="str">
        <x:v>Finds a relevant source, records the query, and confirms a claim using a second source.</x:v>
      </x:c>
      <x:c r="S233" s="27" t="str">
        <x:v>SRC16; SRC20</x:v>
      </x:c>
      <x:c r="T233" s="27" t="str">
        <x:v>Development varies; use observed performance and appropriate supports rather than age alone.</x:v>
      </x:c>
      <x:c r="U233" s="27" t="str"/>
      <x:c r="V233" s="27" t="str"/>
      <x:c r="W233" s="39" t="str"/>
      <x:c r="X233" s="39" t="str"/>
    </x:row>
    <x:row r="234">
      <x:c r="A234" s="27" t="str">
        <x:v>S15-LIFE-01</x:v>
      </x:c>
      <x:c r="B234" s="37" t="n">
        <x:v>230</x:v>
      </x:c>
      <x:c r="C234" s="27" t="str">
        <x:v>S15</x:v>
      </x:c>
      <x:c r="D234" s="37" t="n">
        <x:v>15</x:v>
      </x:c>
      <x:c r="E234" s="27" t="str">
        <x:v>Grade 3</x:v>
      </x:c>
      <x:c r="F234" s="27" t="str">
        <x:v>3</x:v>
      </x:c>
      <x:c r="G234" s="27" t="str">
        <x:v>Multiplicative reasoning, fractions, and paragraphs</x:v>
      </x:c>
      <x:c r="H234" s="27" t="str">
        <x:v>Life, Finance &amp; Career</x:v>
      </x:c>
      <x:c r="I234" s="27" t="str">
        <x:v>Personal finance</x:v>
      </x:c>
      <x:c r="J234" s="27" t="str">
        <x:v>Income, price comparison, and saving goals</x:v>
      </x:c>
      <x:c r="K234" s="27" t="str">
        <x:v>Explaining sources of income, comparing total costs/options, and calculating progress toward a short saving goal.</x:v>
      </x:c>
      <x:c r="L234" s="27" t="str">
        <x:v>Grade 2 budget, multiplication/division, and data comparison.</x:v>
      </x:c>
      <x:c r="M234" s="27" t="str">
        <x:v>S14-LIFE-01</x:v>
      </x:c>
      <x:c r="N234" s="27" t="str">
        <x:v>G4/G5 — Concrete model linked to coordinated representations</x:v>
      </x:c>
      <x:c r="O234" s="27" t="str">
        <x:v>Mathematics/percent/growth; economics/civics; reading contracts/sources; computing/privacy; SEL, planning, and risk decisions.</x:v>
      </x:c>
      <x:c r="P234" s="27" t="str">
        <x:v>Quantified choices connect arithmetic to financial planning.</x:v>
      </x:c>
      <x:c r="Q234" s="27" t="str">
        <x:v>S16-LIFE-01</x:v>
      </x:c>
      <x:c r="R234" s="27" t="str">
        <x:v>Creates a saving plan and defends a purchase choice using price and goal evidence.</x:v>
      </x:c>
      <x:c r="S234" s="27" t="str">
        <x:v>SRC19</x:v>
      </x:c>
      <x:c r="T234" s="27" t="str">
        <x:v>Development varies; use observed performance and appropriate supports rather than age alone.</x:v>
      </x:c>
      <x:c r="U234" s="27" t="str"/>
      <x:c r="V234" s="27" t="str"/>
      <x:c r="W234" s="39" t="str"/>
      <x:c r="X234" s="39" t="str"/>
    </x:row>
    <x:row r="235">
      <x:c r="A235" s="27" t="str">
        <x:v>S16-LEARN-01</x:v>
      </x:c>
      <x:c r="B235" s="37" t="n">
        <x:v>231</x:v>
      </x:c>
      <x:c r="C235" s="27" t="str">
        <x:v>S16</x:v>
      </x:c>
      <x:c r="D235" s="37" t="n">
        <x:v>16</x:v>
      </x:c>
      <x:c r="E235" s="27" t="str">
        <x:v>Grade 4</x:v>
      </x:c>
      <x:c r="F235" s="27" t="str">
        <x:v>4</x:v>
      </x:c>
      <x:c r="G235" s="27" t="str">
        <x:v>Multi-step evidence and system relationships</x:v>
      </x:c>
      <x:c r="H235" s="27" t="str">
        <x:v>Learning Foundations</x:v>
      </x:c>
      <x:c r="I235" s="27" t="str">
        <x:v>Metacognition</x:v>
      </x:c>
      <x:c r="J235" s="27" t="str">
        <x:v>Error classification and correction</x:v>
      </x:c>
      <x:c r="K235" s="27" t="str">
        <x:v>Identifying whether an error came from concept, procedure, attention, interpretation, or communication and selecting a matching correction.</x:v>
      </x:c>
      <x:c r="L235" s="27" t="str">
        <x:v>Strategy selection and worked-example comparison.</x:v>
      </x:c>
      <x:c r="M235" s="27" t="str">
        <x:v>S15-LEARN-01</x:v>
      </x:c>
      <x:c r="N235" s="27" t="str">
        <x:v>G4/G5 — Concrete model linked to coordinated representations</x:v>
      </x:c>
      <x:c r="O235" s="27" t="str">
        <x:v>All domains: attention, memory, strategy choice, monitoring, retrieval, and transfer.</x:v>
      </x:c>
      <x:c r="P235" s="27" t="str">
        <x:v>Diagnosing the error type produces durable improvement beyond fixing one answer.</x:v>
      </x:c>
      <x:c r="Q235" s="27" t="str">
        <x:v>S17-LEARN-01</x:v>
      </x:c>
      <x:c r="R235" s="27" t="str">
        <x:v>Labels an error source, corrects it, and states a prevention/check strategy.</x:v>
      </x:c>
      <x:c r="S235" s="27" t="str">
        <x:v>SRC05; SRC23</x:v>
      </x:c>
      <x:c r="T235" s="27" t="str">
        <x:v>Development varies; use observed performance and appropriate supports rather than age alone.</x:v>
      </x:c>
      <x:c r="U235" s="27" t="str"/>
      <x:c r="V235" s="27" t="str"/>
      <x:c r="W235" s="39" t="str"/>
      <x:c r="X235" s="39" t="str"/>
    </x:row>
    <x:row r="236">
      <x:c r="A236" s="27" t="str">
        <x:v>S16-SEL-01</x:v>
      </x:c>
      <x:c r="B236" s="37" t="n">
        <x:v>232</x:v>
      </x:c>
      <x:c r="C236" s="27" t="str">
        <x:v>S16</x:v>
      </x:c>
      <x:c r="D236" s="37" t="n">
        <x:v>16</x:v>
      </x:c>
      <x:c r="E236" s="27" t="str">
        <x:v>Grade 4</x:v>
      </x:c>
      <x:c r="F236" s="27" t="str">
        <x:v>4</x:v>
      </x:c>
      <x:c r="G236" s="27" t="str">
        <x:v>Multi-step evidence and system relationships</x:v>
      </x:c>
      <x:c r="H236" s="27" t="str">
        <x:v>Social-Emotional</x:v>
      </x:c>
      <x:c r="I236" s="27" t="str">
        <x:v>Collaboration</x:v>
      </x:c>
      <x:c r="J236" s="27" t="str">
        <x:v>Perspective, disagreement, and consensus</x:v>
      </x:c>
      <x:c r="K236" s="27" t="str">
        <x:v>Summarizing another view accurately, disagreeing with reasons/evidence, and helping a group reach a documented decision.</x:v>
      </x:c>
      <x:c r="L236" s="27" t="str">
        <x:v>Shared-goal feedback, consequences, and evidence paragraphs.</x:v>
      </x:c>
      <x:c r="M236" s="27" t="str">
        <x:v>S15-SEL-01</x:v>
      </x:c>
      <x:c r="N236" s="27" t="str">
        <x:v>G4/G5 — Concrete model linked to coordinated representations</x:v>
      </x:c>
      <x:c r="O236" s="27" t="str">
        <x:v>Language and communication; health; collaboration in science, arts, civics, and projects; responsible digital/financial decisions.</x:v>
      </x:c>
      <x:c r="P236" s="27" t="str">
        <x:v>Evidence-based disagreement supports inquiry, civics, and collaborative design.</x:v>
      </x:c>
      <x:c r="Q236" s="27" t="str">
        <x:v>S17-SEL-01</x:v>
      </x:c>
      <x:c r="R236" s="27" t="str">
        <x:v>Restates a peer’s position fairly and contributes to a reasoned group decision.</x:v>
      </x:c>
      <x:c r="S236" s="27" t="str">
        <x:v>SRC18</x:v>
      </x:c>
      <x:c r="T236" s="27" t="str">
        <x:v>Development varies; use observed performance and appropriate supports rather than age alone.</x:v>
      </x:c>
      <x:c r="U236" s="27" t="str"/>
      <x:c r="V236" s="27" t="str"/>
      <x:c r="W236" s="39" t="str"/>
      <x:c r="X236" s="39" t="str"/>
    </x:row>
    <x:row r="237">
      <x:c r="A237" s="27" t="str">
        <x:v>S16-READ-01</x:v>
      </x:c>
      <x:c r="B237" s="37" t="n">
        <x:v>233</x:v>
      </x:c>
      <x:c r="C237" s="27" t="str">
        <x:v>S16</x:v>
      </x:c>
      <x:c r="D237" s="37" t="n">
        <x:v>16</x:v>
      </x:c>
      <x:c r="E237" s="27" t="str">
        <x:v>Grade 4</x:v>
      </x:c>
      <x:c r="F237" s="27" t="str">
        <x:v>4</x:v>
      </x:c>
      <x:c r="G237" s="27" t="str">
        <x:v>Multi-step evidence and system relationships</x:v>
      </x:c>
      <x:c r="H237" s="27" t="str">
        <x:v>Reading</x:v>
      </x:c>
      <x:c r="I237" s="27" t="str">
        <x:v>Word analysis</x:v>
      </x:c>
      <x:c r="J237" s="27" t="str">
        <x:v>Greek/Latin roots and morphological families</x:v>
      </x:c>
      <x:c r="K237" s="27" t="str">
        <x:v>Using common roots and affixes to decode, spell, and connect related academic words across subjects.</x:v>
      </x:c>
      <x:c r="L237" s="27" t="str">
        <x:v>Grade 3 derivational morphology and multisyllable decoding.</x:v>
      </x:c>
      <x:c r="M237" s="27" t="str">
        <x:v>S15-READ-05</x:v>
      </x:c>
      <x:c r="N237" s="27" t="str">
        <x:v>G4/G5 — Concrete model linked to coordinated representations</x:v>
      </x:c>
      <x:c r="O237" s="27" t="str">
        <x:v>Oral language and writing; evidence in science/social studies; mathematical and technical problem interpretation; media verification.</x:v>
      </x:c>
      <x:c r="P237" s="27" t="str">
        <x:v>Morphological families accelerate vocabulary growth and reveal conceptual connections.</x:v>
      </x:c>
      <x:c r="Q237" s="27" t="str">
        <x:v>S16-READ-02</x:v>
      </x:c>
      <x:c r="R237" s="27" t="str">
        <x:v>Explains how a root/affix contributes to meaning across two or more related words.</x:v>
      </x:c>
      <x:c r="S237" s="27" t="str">
        <x:v>SRC10</x:v>
      </x:c>
      <x:c r="T237" s="27" t="str">
        <x:v>Development varies; use observed performance and appropriate supports rather than age alone.</x:v>
      </x:c>
      <x:c r="U237" s="27" t="str"/>
      <x:c r="V237" s="27" t="str"/>
      <x:c r="W237" s="39" t="str"/>
      <x:c r="X237" s="39" t="str"/>
    </x:row>
    <x:row r="238">
      <x:c r="A238" s="27" t="str">
        <x:v>S16-READ-02</x:v>
      </x:c>
      <x:c r="B238" s="37" t="n">
        <x:v>234</x:v>
      </x:c>
      <x:c r="C238" s="27" t="str">
        <x:v>S16</x:v>
      </x:c>
      <x:c r="D238" s="37" t="n">
        <x:v>16</x:v>
      </x:c>
      <x:c r="E238" s="27" t="str">
        <x:v>Grade 4</x:v>
      </x:c>
      <x:c r="F238" s="27" t="str">
        <x:v>4</x:v>
      </x:c>
      <x:c r="G238" s="27" t="str">
        <x:v>Multi-step evidence and system relationships</x:v>
      </x:c>
      <x:c r="H238" s="27" t="str">
        <x:v>Reading</x:v>
      </x:c>
      <x:c r="I238" s="27" t="str">
        <x:v>Literature</x:v>
      </x:c>
      <x:c r="J238" s="27" t="str">
        <x:v>Theme, evidence, structure, and comparison</x:v>
      </x:c>
      <x:c r="K238" s="27" t="str">
        <x:v>Determining theme from details; analyzing character, setting, event, verse/drama/prose structure; and comparing treatment across texts.</x:v>
      </x:c>
      <x:c r="L238" s="27" t="str">
        <x:v>Grade 3 theme/perspective and source integration.</x:v>
      </x:c>
      <x:c r="M238" s="27" t="str">
        <x:v>S16-READ-01</x:v>
      </x:c>
      <x:c r="N238" s="27" t="str">
        <x:v>G4/G5 — Concrete model linked to coordinated representations</x:v>
      </x:c>
      <x:c r="O238" s="27" t="str">
        <x:v>Oral language and writing; evidence in science/social studies; mathematical and technical problem interpretation; media verification.</x:v>
      </x:c>
      <x:c r="P238" s="27" t="str">
        <x:v>Structural comparison strengthens claims about author choices.</x:v>
      </x:c>
      <x:c r="Q238" s="27" t="str">
        <x:v>S16-READ-03</x:v>
      </x:c>
      <x:c r="R238" s="27" t="str">
        <x:v>Supports a thematic or structural comparison with evidence from both works.</x:v>
      </x:c>
      <x:c r="S238" s="27" t="str">
        <x:v>SRC10</x:v>
      </x:c>
      <x:c r="T238" s="27" t="str">
        <x:v>Development varies; use observed performance and appropriate supports rather than age alone.</x:v>
      </x:c>
      <x:c r="U238" s="27" t="str"/>
      <x:c r="V238" s="27" t="str"/>
      <x:c r="W238" s="39" t="str"/>
      <x:c r="X238" s="39" t="str"/>
    </x:row>
    <x:row r="239">
      <x:c r="A239" s="27" t="str">
        <x:v>S16-READ-03</x:v>
      </x:c>
      <x:c r="B239" s="37" t="n">
        <x:v>235</x:v>
      </x:c>
      <x:c r="C239" s="27" t="str">
        <x:v>S16</x:v>
      </x:c>
      <x:c r="D239" s="37" t="n">
        <x:v>16</x:v>
      </x:c>
      <x:c r="E239" s="27" t="str">
        <x:v>Grade 4</x:v>
      </x:c>
      <x:c r="F239" s="27" t="str">
        <x:v>4</x:v>
      </x:c>
      <x:c r="G239" s="27" t="str">
        <x:v>Multi-step evidence and system relationships</x:v>
      </x:c>
      <x:c r="H239" s="27" t="str">
        <x:v>Reading</x:v>
      </x:c>
      <x:c r="I239" s="27" t="str">
        <x:v>Informational text</x:v>
      </x:c>
      <x:c r="J239" s="27" t="str">
        <x:v>Main ideas, reasons/evidence, and text integration</x:v>
      </x:c>
      <x:c r="K239" s="27" t="str">
        <x:v>Summarizing main ideas, explaining how reasons/evidence support points, and integrating text with charts, diagrams, timelines, or oral information.</x:v>
      </x:c>
      <x:c r="L239" s="27" t="str">
        <x:v>Grade 3 informational structure, paragraph reasoning, and data displays.</x:v>
      </x:c>
      <x:c r="M239" s="27" t="str">
        <x:v>S16-READ-02</x:v>
      </x:c>
      <x:c r="N239" s="27" t="str">
        <x:v>G4/G5 — Concrete model linked to coordinated representations</x:v>
      </x:c>
      <x:c r="O239" s="27" t="str">
        <x:v>Oral language and writing; evidence in science/social studies; mathematical and technical problem interpretation; media verification.</x:v>
      </x:c>
      <x:c r="P239" s="27" t="str">
        <x:v>Multi-representation integration is required in science, history, and technical learning.</x:v>
      </x:c>
      <x:c r="Q239" s="27" t="str">
        <x:v>S16-READ-04</x:v>
      </x:c>
      <x:c r="R239" s="27" t="str">
        <x:v>Creates an accurate synthesis that connects prose claims to a visual or quantitative source.</x:v>
      </x:c>
      <x:c r="S239" s="27" t="str">
        <x:v>SRC10</x:v>
      </x:c>
      <x:c r="T239" s="27" t="str">
        <x:v>Development varies; use observed performance and appropriate supports rather than age alone.</x:v>
      </x:c>
      <x:c r="U239" s="27" t="str"/>
      <x:c r="V239" s="27" t="str"/>
      <x:c r="W239" s="39" t="str"/>
      <x:c r="X239" s="39" t="str"/>
    </x:row>
    <x:row r="240">
      <x:c r="A240" s="27" t="str">
        <x:v>S16-READ-04</x:v>
      </x:c>
      <x:c r="B240" s="37" t="n">
        <x:v>236</x:v>
      </x:c>
      <x:c r="C240" s="27" t="str">
        <x:v>S16</x:v>
      </x:c>
      <x:c r="D240" s="37" t="n">
        <x:v>16</x:v>
      </x:c>
      <x:c r="E240" s="27" t="str">
        <x:v>Grade 4</x:v>
      </x:c>
      <x:c r="F240" s="27" t="str">
        <x:v>4</x:v>
      </x:c>
      <x:c r="G240" s="27" t="str">
        <x:v>Multi-step evidence and system relationships</x:v>
      </x:c>
      <x:c r="H240" s="27" t="str">
        <x:v>Reading</x:v>
      </x:c>
      <x:c r="I240" s="27" t="str">
        <x:v>Critical reading</x:v>
      </x:c>
      <x:c r="J240" s="27" t="str">
        <x:v>Firsthand/secondhand and viewpoint</x:v>
      </x:c>
      <x:c r="K240" s="27" t="str">
        <x:v>Distinguishing firsthand from secondhand accounts and comparing focus, information access, language, and viewpoint.</x:v>
      </x:c>
      <x:c r="L240" s="27" t="str">
        <x:v>Grade 3 account comparison and perspective reasoning.</x:v>
      </x:c>
      <x:c r="M240" s="27" t="str">
        <x:v>S16-READ-03</x:v>
      </x:c>
      <x:c r="N240" s="27" t="str">
        <x:v>G4/G5 — Concrete model linked to coordinated representations</x:v>
      </x:c>
      <x:c r="O240" s="27" t="str">
        <x:v>Oral language and writing; evidence in science/social studies; mathematical and technical problem interpretation; media verification.</x:v>
      </x:c>
      <x:c r="P240" s="27" t="str">
        <x:v>Source position affects evidence and interpretation; recognizing it prepares historical and media analysis.</x:v>
      </x:c>
      <x:c r="Q240" s="27" t="str">
        <x:v>S17-READ-01</x:v>
      </x:c>
      <x:c r="R240" s="27" t="str">
        <x:v>Explains how source type or viewpoint changes what an account emphasizes.</x:v>
      </x:c>
      <x:c r="S240" s="27" t="str">
        <x:v>SRC10; SRC12; SRC20</x:v>
      </x:c>
      <x:c r="T240" s="27" t="str">
        <x:v>Development varies; use observed performance and appropriate supports rather than age alone.</x:v>
      </x:c>
      <x:c r="U240" s="27" t="str"/>
      <x:c r="V240" s="27" t="str"/>
      <x:c r="W240" s="39" t="str"/>
      <x:c r="X240" s="39" t="str"/>
    </x:row>
    <x:row r="241">
      <x:c r="A241" s="27" t="str">
        <x:v>S16-WRITE-01</x:v>
      </x:c>
      <x:c r="B241" s="37" t="n">
        <x:v>237</x:v>
      </x:c>
      <x:c r="C241" s="27" t="str">
        <x:v>S16</x:v>
      </x:c>
      <x:c r="D241" s="37" t="n">
        <x:v>16</x:v>
      </x:c>
      <x:c r="E241" s="27" t="str">
        <x:v>Grade 4</x:v>
      </x:c>
      <x:c r="F241" s="27" t="str">
        <x:v>4</x:v>
      </x:c>
      <x:c r="G241" s="27" t="str">
        <x:v>Multi-step evidence and system relationships</x:v>
      </x:c>
      <x:c r="H241" s="27" t="str">
        <x:v>Writing &amp; Language</x:v>
      </x:c>
      <x:c r="I241" s="27" t="str">
        <x:v>Organization</x:v>
      </x:c>
      <x:c r="J241" s="27" t="str">
        <x:v>Multi-paragraph composition</x:v>
      </x:c>
      <x:c r="K241" s="27" t="str">
        <x:v>Using an introduction, logically grouped body paragraphs, transitions, evidence/details, and a conclusion appropriate to narrative, explanatory, or opinion purpose.</x:v>
      </x:c>
      <x:c r="L241" s="27" t="str">
        <x:v>Grade 3 paragraph development and genre schemas.</x:v>
      </x:c>
      <x:c r="M241" s="27" t="str">
        <x:v>S15-WRITE-04</x:v>
      </x:c>
      <x:c r="N241" s="27" t="str">
        <x:v>G4/G5 — Concrete model linked to coordinated representations</x:v>
      </x:c>
      <x:c r="O241" s="27" t="str">
        <x:v>Reading models; evidence from science/social studies; mathematical explanation; research, media, and presentation.</x:v>
      </x:c>
      <x:c r="P241" s="27" t="str">
        <x:v>Sectioned composition manages more evidence and a sustained line of thought.</x:v>
      </x:c>
      <x:c r="Q241" s="27" t="str">
        <x:v>S16-WRITE-02</x:v>
      </x:c>
      <x:c r="R241" s="27" t="str">
        <x:v>Produces an organized multi-paragraph piece with no orphan or unrelated paragraph.</x:v>
      </x:c>
      <x:c r="S241" s="27" t="str">
        <x:v>SRC10; SRC21</x:v>
      </x:c>
      <x:c r="T241" s="27" t="str">
        <x:v>Development varies; use observed performance and appropriate supports rather than age alone.</x:v>
      </x:c>
      <x:c r="U241" s="27" t="str"/>
      <x:c r="V241" s="27" t="str"/>
      <x:c r="W241" s="39" t="str"/>
      <x:c r="X241" s="39" t="str"/>
    </x:row>
    <x:row r="242">
      <x:c r="A242" s="27" t="str">
        <x:v>S16-WRITE-02</x:v>
      </x:c>
      <x:c r="B242" s="37" t="n">
        <x:v>238</x:v>
      </x:c>
      <x:c r="C242" s="27" t="str">
        <x:v>S16</x:v>
      </x:c>
      <x:c r="D242" s="37" t="n">
        <x:v>16</x:v>
      </x:c>
      <x:c r="E242" s="27" t="str">
        <x:v>Grade 4</x:v>
      </x:c>
      <x:c r="F242" s="27" t="str">
        <x:v>4</x:v>
      </x:c>
      <x:c r="G242" s="27" t="str">
        <x:v>Multi-step evidence and system relationships</x:v>
      </x:c>
      <x:c r="H242" s="27" t="str">
        <x:v>Writing &amp; Language</x:v>
      </x:c>
      <x:c r="I242" s="27" t="str">
        <x:v>Evidence</x:v>
      </x:c>
      <x:c r="J242" s="27" t="str">
        <x:v>Quote and paraphrase distinction</x:v>
      </x:c>
      <x:c r="K242" s="27" t="str">
        <x:v>Selecting a brief exact quotation when wording matters, paraphrasing ideas accurately, and labeling the source for each.</x:v>
      </x:c>
      <x:c r="L242" s="27" t="str">
        <x:v>Grade 3 paraphrase/source labels and critical reading.</x:v>
      </x:c>
      <x:c r="M242" s="27" t="str">
        <x:v>S16-WRITE-01</x:v>
      </x:c>
      <x:c r="N242" s="27" t="str">
        <x:v>G4/G5 — Concrete model linked to coordinated representations</x:v>
      </x:c>
      <x:c r="O242" s="27" t="str">
        <x:v>Reading models; evidence from science/social studies; mathematical explanation; research, media, and presentation.</x:v>
      </x:c>
      <x:c r="P242" s="27" t="str">
        <x:v>Distinguishing borrowed words from borrowed ideas is foundational citation practice.</x:v>
      </x:c>
      <x:c r="Q242" s="27" t="str">
        <x:v>S16-WRITE-03</x:v>
      </x:c>
      <x:c r="R242" s="27" t="str">
        <x:v>Uses one accurate quotation and one accurate paraphrase with clear source attribution.</x:v>
      </x:c>
      <x:c r="S242" s="27" t="str">
        <x:v>SRC10; SRC21</x:v>
      </x:c>
      <x:c r="T242" s="27" t="str">
        <x:v>Development varies; use observed performance and appropriate supports rather than age alone.</x:v>
      </x:c>
      <x:c r="U242" s="27" t="str"/>
      <x:c r="V242" s="27" t="str"/>
      <x:c r="W242" s="39" t="str"/>
      <x:c r="X242" s="39" t="str"/>
    </x:row>
    <x:row r="243">
      <x:c r="A243" s="27" t="str">
        <x:v>S16-WRITE-03</x:v>
      </x:c>
      <x:c r="B243" s="37" t="n">
        <x:v>239</x:v>
      </x:c>
      <x:c r="C243" s="27" t="str">
        <x:v>S16</x:v>
      </x:c>
      <x:c r="D243" s="37" t="n">
        <x:v>16</x:v>
      </x:c>
      <x:c r="E243" s="27" t="str">
        <x:v>Grade 4</x:v>
      </x:c>
      <x:c r="F243" s="27" t="str">
        <x:v>4</x:v>
      </x:c>
      <x:c r="G243" s="27" t="str">
        <x:v>Multi-step evidence and system relationships</x:v>
      </x:c>
      <x:c r="H243" s="27" t="str">
        <x:v>Writing &amp; Language</x:v>
      </x:c>
      <x:c r="I243" s="27" t="str">
        <x:v>Revision</x:v>
      </x:c>
      <x:c r="J243" s="27" t="str">
        <x:v>Coherence and precision</x:v>
      </x:c>
      <x:c r="K243" s="27" t="str">
        <x:v>Reordering ideas, replacing vague language, combining/recasting sentences, and strengthening explanation based on purpose and audience.</x:v>
      </x:c>
      <x:c r="L243" s="27" t="str">
        <x:v>Multi-paragraph organization, morphology, and error classification.</x:v>
      </x:c>
      <x:c r="M243" s="27" t="str">
        <x:v>S16-WRITE-02</x:v>
      </x:c>
      <x:c r="N243" s="27" t="str">
        <x:v>G4/G5 — Concrete model linked to coordinated representations</x:v>
      </x:c>
      <x:c r="O243" s="27" t="str">
        <x:v>Reading models; evidence from science/social studies; mathematical explanation; research, media, and presentation.</x:v>
      </x:c>
      <x:c r="P243" s="27" t="str">
        <x:v>Revision at structure and sentence levels develops clarity rather than surface-only correction.</x:v>
      </x:c>
      <x:c r="Q243" s="27" t="str">
        <x:v>S17-WRITE-01</x:v>
      </x:c>
      <x:c r="R243" s="27" t="str">
        <x:v>Shows a before/after revision and explains the improvement in meaning or flow.</x:v>
      </x:c>
      <x:c r="S243" s="27" t="str">
        <x:v>SRC10; SRC21</x:v>
      </x:c>
      <x:c r="T243" s="27" t="str">
        <x:v>Development varies; use observed performance and appropriate supports rather than age alone.</x:v>
      </x:c>
      <x:c r="U243" s="27" t="str"/>
      <x:c r="V243" s="27" t="str"/>
      <x:c r="W243" s="39" t="str"/>
      <x:c r="X243" s="39" t="str"/>
    </x:row>
    <x:row r="244">
      <x:c r="A244" s="27" t="str">
        <x:v>S16-MATH-01</x:v>
      </x:c>
      <x:c r="B244" s="37" t="n">
        <x:v>240</x:v>
      </x:c>
      <x:c r="C244" s="27" t="str">
        <x:v>S16</x:v>
      </x:c>
      <x:c r="D244" s="37" t="n">
        <x:v>16</x:v>
      </x:c>
      <x:c r="E244" s="27" t="str">
        <x:v>Grade 4</x:v>
      </x:c>
      <x:c r="F244" s="27" t="str">
        <x:v>4</x:v>
      </x:c>
      <x:c r="G244" s="27" t="str">
        <x:v>Multi-step evidence and system relationships</x:v>
      </x:c>
      <x:c r="H244" s="27" t="str">
        <x:v>Mathematics</x:v>
      </x:c>
      <x:c r="I244" s="27" t="str">
        <x:v>Place value</x:v>
      </x:c>
      <x:c r="J244" s="27" t="str">
        <x:v>Whole numbers through 1,000,000</x:v>
      </x:c>
      <x:c r="K244" s="27" t="str">
        <x:v>Reading, writing, comparing, and rounding multi-digit numbers while explaining each place as ten times the place to its right.</x:v>
      </x:c>
      <x:c r="L244" s="27" t="str">
        <x:v>Grade 3 rounding and base-ten units to 1,000.</x:v>
      </x:c>
      <x:c r="M244" s="27" t="str">
        <x:v>S15-MATH-05</x:v>
      </x:c>
      <x:c r="N244" s="27" t="str">
        <x:v>G4/G5 — Concrete model linked to coordinated representations</x:v>
      </x:c>
      <x:c r="O244" s="27" t="str">
        <x:v>Physical quantity and spatial action; science measurement/models; computing/algorithms; finance; music rhythm/pattern; geographic data.</x:v>
      </x:c>
      <x:c r="P244" s="27" t="str">
        <x:v>Multiplicative place-value structure supports algorithms, decimals, and scientific notation.</x:v>
      </x:c>
      <x:c r="Q244" s="27" t="str">
        <x:v>S16-MATH-02</x:v>
      </x:c>
      <x:c r="R244" s="27" t="str">
        <x:v>Explains a digit’s value relationally and uses place value to justify rounding.</x:v>
      </x:c>
      <x:c r="S244" s="27" t="str">
        <x:v>SRC09</x:v>
      </x:c>
      <x:c r="T244" s="27" t="str">
        <x:v>Development varies; use observed performance and appropriate supports rather than age alone.</x:v>
      </x:c>
      <x:c r="U244" s="27" t="str"/>
      <x:c r="V244" s="27" t="str"/>
      <x:c r="W244" s="39" t="str"/>
      <x:c r="X244" s="39" t="str"/>
    </x:row>
    <x:row r="245">
      <x:c r="A245" s="27" t="str">
        <x:v>S16-MATH-02</x:v>
      </x:c>
      <x:c r="B245" s="37" t="n">
        <x:v>241</x:v>
      </x:c>
      <x:c r="C245" s="27" t="str">
        <x:v>S16</x:v>
      </x:c>
      <x:c r="D245" s="37" t="n">
        <x:v>16</x:v>
      </x:c>
      <x:c r="E245" s="27" t="str">
        <x:v>Grade 4</x:v>
      </x:c>
      <x:c r="F245" s="27" t="str">
        <x:v>4</x:v>
      </x:c>
      <x:c r="G245" s="27" t="str">
        <x:v>Multi-step evidence and system relationships</x:v>
      </x:c>
      <x:c r="H245" s="27" t="str">
        <x:v>Mathematics</x:v>
      </x:c>
      <x:c r="I245" s="27" t="str">
        <x:v>Operations</x:v>
      </x:c>
      <x:c r="J245" s="27" t="str">
        <x:v>Multi-digit multiplication and division</x:v>
      </x:c>
      <x:c r="K245" s="27" t="str">
        <x:v>Multiplying up to four-digit by one-digit and two two-digit numbers conceptually/algorithmically and finding whole-number quotients with up to four-digit dividends and one-digit divisors.</x:v>
      </x:c>
      <x:c r="L245" s="27" t="str">
        <x:v>Multiplication/division within 100, place value, area models, and properties.</x:v>
      </x:c>
      <x:c r="M245" s="27" t="str">
        <x:v>S16-MATH-01</x:v>
      </x:c>
      <x:c r="N245" s="27" t="str">
        <x:v>G4/G5 — Concrete model linked to coordinated representations</x:v>
      </x:c>
      <x:c r="O245" s="27" t="str">
        <x:v>Physical quantity and spatial action; science measurement/models; computing/algorithms; finance; music rhythm/pattern; geographic data.</x:v>
      </x:c>
      <x:c r="P245" s="27" t="str">
        <x:v>Partial products/quotients connect distributive reasoning to standard algorithms.</x:v>
      </x:c>
      <x:c r="Q245" s="27" t="str">
        <x:v>S16-MATH-03</x:v>
      </x:c>
      <x:c r="R245" s="27" t="str">
        <x:v>Computes and explains the units and partial results represented in an algorithm.</x:v>
      </x:c>
      <x:c r="S245" s="27" t="str">
        <x:v>SRC09</x:v>
      </x:c>
      <x:c r="T245" s="27" t="str">
        <x:v>Development varies; use observed performance and appropriate supports rather than age alone.</x:v>
      </x:c>
      <x:c r="U245" s="27" t="str"/>
      <x:c r="V245" s="27" t="str"/>
      <x:c r="W245" s="39" t="str"/>
      <x:c r="X245" s="39" t="str"/>
    </x:row>
    <x:row r="246">
      <x:c r="A246" s="27" t="str">
        <x:v>S16-MATH-03</x:v>
      </x:c>
      <x:c r="B246" s="37" t="n">
        <x:v>242</x:v>
      </x:c>
      <x:c r="C246" s="27" t="str">
        <x:v>S16</x:v>
      </x:c>
      <x:c r="D246" s="37" t="n">
        <x:v>16</x:v>
      </x:c>
      <x:c r="E246" s="27" t="str">
        <x:v>Grade 4</x:v>
      </x:c>
      <x:c r="F246" s="27" t="str">
        <x:v>4</x:v>
      </x:c>
      <x:c r="G246" s="27" t="str">
        <x:v>Multi-step evidence and system relationships</x:v>
      </x:c>
      <x:c r="H246" s="27" t="str">
        <x:v>Mathematics</x:v>
      </x:c>
      <x:c r="I246" s="27" t="str">
        <x:v>Factors and patterns</x:v>
      </x:c>
      <x:c r="J246" s="27" t="str">
        <x:v>Factors, multiples, prime/composite, and rules</x:v>
      </x:c>
      <x:c r="K246" s="27" t="str">
        <x:v>Finding factor pairs, recognizing multiples, classifying prime/composite numbers, and generating/analyzing number or shape patterns.</x:v>
      </x:c>
      <x:c r="L246" s="27" t="str">
        <x:v>Multiplication fluency and repeating-pattern generalization.</x:v>
      </x:c>
      <x:c r="M246" s="27" t="str">
        <x:v>S16-MATH-02</x:v>
      </x:c>
      <x:c r="N246" s="27" t="str">
        <x:v>G4/G5 — Concrete model linked to coordinated representations</x:v>
      </x:c>
      <x:c r="O246" s="27" t="str">
        <x:v>Physical quantity and spatial action; science measurement/models; computing/algorithms; finance; music rhythm/pattern; geographic data.</x:v>
      </x:c>
      <x:c r="P246" s="27" t="str">
        <x:v>Factor structure supports fraction equivalence, divisibility, algebra, and number theory.</x:v>
      </x:c>
      <x:c r="Q246" s="27" t="str">
        <x:v>S16-MATH-04</x:v>
      </x:c>
      <x:c r="R246" s="27" t="str">
        <x:v>Generates factors/multiples and explains a pattern feature beyond the stated rule.</x:v>
      </x:c>
      <x:c r="S246" s="27" t="str">
        <x:v>SRC09</x:v>
      </x:c>
      <x:c r="T246" s="27" t="str">
        <x:v>Development varies; use observed performance and appropriate supports rather than age alone.</x:v>
      </x:c>
      <x:c r="U246" s="27" t="str"/>
      <x:c r="V246" s="27" t="str"/>
      <x:c r="W246" s="39" t="str"/>
      <x:c r="X246" s="39" t="str"/>
    </x:row>
    <x:row r="247">
      <x:c r="A247" s="27" t="str">
        <x:v>S16-MATH-04</x:v>
      </x:c>
      <x:c r="B247" s="37" t="n">
        <x:v>243</x:v>
      </x:c>
      <x:c r="C247" s="27" t="str">
        <x:v>S16</x:v>
      </x:c>
      <x:c r="D247" s="37" t="n">
        <x:v>16</x:v>
      </x:c>
      <x:c r="E247" s="27" t="str">
        <x:v>Grade 4</x:v>
      </x:c>
      <x:c r="F247" s="27" t="str">
        <x:v>4</x:v>
      </x:c>
      <x:c r="G247" s="27" t="str">
        <x:v>Multi-step evidence and system relationships</x:v>
      </x:c>
      <x:c r="H247" s="27" t="str">
        <x:v>Mathematics</x:v>
      </x:c>
      <x:c r="I247" s="27" t="str">
        <x:v>Fractions</x:v>
      </x:c>
      <x:c r="J247" s="27" t="str">
        <x:v>Equivalence, comparison, and common-denominator addition</x:v>
      </x:c>
      <x:c r="K247" s="27" t="str">
        <x:v>Generating equivalent fractions, comparing with benchmarks or common units, and adding/subtracting fractions with like denominators, including mixed numbers in appropriate cases.</x:v>
      </x:c>
      <x:c r="L247" s="27" t="str">
        <x:v>Fractions as numbers, multiplication, and factors.</x:v>
      </x:c>
      <x:c r="M247" s="27" t="str">
        <x:v>S16-MATH-03</x:v>
      </x:c>
      <x:c r="N247" s="27" t="str">
        <x:v>G4/G5 — Concrete model linked to coordinated representations</x:v>
      </x:c>
      <x:c r="O247" s="27" t="str">
        <x:v>Physical quantity and spatial action; science measurement/models; computing/algorithms; finance; music rhythm/pattern; geographic data.</x:v>
      </x:c>
      <x:c r="P247" s="27" t="str">
        <x:v>Equivalent units are the prerequisite for operations with unlike denominators.</x:v>
      </x:c>
      <x:c r="Q247" s="27" t="str">
        <x:v>S16-MATH-05</x:v>
      </x:c>
      <x:c r="R247" s="27" t="str">
        <x:v>Uses a model or equation to justify equivalence and an addition/subtraction result.</x:v>
      </x:c>
      <x:c r="S247" s="27" t="str">
        <x:v>SRC09</x:v>
      </x:c>
      <x:c r="T247" s="27" t="str">
        <x:v>Development varies; use observed performance and appropriate supports rather than age alone.</x:v>
      </x:c>
      <x:c r="U247" s="27" t="str"/>
      <x:c r="V247" s="27" t="str"/>
      <x:c r="W247" s="39" t="str"/>
      <x:c r="X247" s="39" t="str"/>
    </x:row>
    <x:row r="248">
      <x:c r="A248" s="27" t="str">
        <x:v>S16-MATH-05</x:v>
      </x:c>
      <x:c r="B248" s="37" t="n">
        <x:v>244</x:v>
      </x:c>
      <x:c r="C248" s="27" t="str">
        <x:v>S16</x:v>
      </x:c>
      <x:c r="D248" s="37" t="n">
        <x:v>16</x:v>
      </x:c>
      <x:c r="E248" s="27" t="str">
        <x:v>Grade 4</x:v>
      </x:c>
      <x:c r="F248" s="27" t="str">
        <x:v>4</x:v>
      </x:c>
      <x:c r="G248" s="27" t="str">
        <x:v>Multi-step evidence and system relationships</x:v>
      </x:c>
      <x:c r="H248" s="27" t="str">
        <x:v>Mathematics</x:v>
      </x:c>
      <x:c r="I248" s="27" t="str">
        <x:v>Fraction multiplication</x:v>
      </x:c>
      <x:c r="J248" s="27" t="str">
        <x:v>Fraction by whole number</x:v>
      </x:c>
      <x:c r="K248" s="27" t="str">
        <x:v>Interpreting a/b × n or n × a/b as repeated groups, scaling, or part of a quantity using visual models and equations.</x:v>
      </x:c>
      <x:c r="L248" s="27" t="str">
        <x:v>Fraction meaning and whole-number multiplication.</x:v>
      </x:c>
      <x:c r="M248" s="27" t="str">
        <x:v>S16-MATH-04</x:v>
      </x:c>
      <x:c r="N248" s="27" t="str">
        <x:v>G4/G5 — Concrete model linked to coordinated representations</x:v>
      </x:c>
      <x:c r="O248" s="27" t="str">
        <x:v>Physical quantity and spatial action; science measurement/models; computing/algorithms; finance; music rhythm/pattern; geographic data.</x:v>
      </x:c>
      <x:c r="P248" s="27" t="str">
        <x:v>Fraction multiplication generalizes multiplication beyond whole-number repeated addition.</x:v>
      </x:c>
      <x:c r="Q248" s="27" t="str">
        <x:v>S16-MATH-06</x:v>
      </x:c>
      <x:c r="R248" s="27" t="str">
        <x:v>Models and solves a fraction-of-a-whole-number situation and explains the unit.</x:v>
      </x:c>
      <x:c r="S248" s="27" t="str">
        <x:v>SRC09</x:v>
      </x:c>
      <x:c r="T248" s="27" t="str">
        <x:v>Development varies; use observed performance and appropriate supports rather than age alone.</x:v>
      </x:c>
      <x:c r="U248" s="27" t="str"/>
      <x:c r="V248" s="27" t="str"/>
      <x:c r="W248" s="39" t="str"/>
      <x:c r="X248" s="39" t="str"/>
    </x:row>
    <x:row r="249">
      <x:c r="A249" s="27" t="str">
        <x:v>S16-MATH-06</x:v>
      </x:c>
      <x:c r="B249" s="37" t="n">
        <x:v>245</x:v>
      </x:c>
      <x:c r="C249" s="27" t="str">
        <x:v>S16</x:v>
      </x:c>
      <x:c r="D249" s="37" t="n">
        <x:v>16</x:v>
      </x:c>
      <x:c r="E249" s="27" t="str">
        <x:v>Grade 4</x:v>
      </x:c>
      <x:c r="F249" s="27" t="str">
        <x:v>4</x:v>
      </x:c>
      <x:c r="G249" s="27" t="str">
        <x:v>Multi-step evidence and system relationships</x:v>
      </x:c>
      <x:c r="H249" s="27" t="str">
        <x:v>Mathematics</x:v>
      </x:c>
      <x:c r="I249" s="27" t="str">
        <x:v>Decimals</x:v>
      </x:c>
      <x:c r="J249" s="27" t="str">
        <x:v>Tenths and hundredths</x:v>
      </x:c>
      <x:c r="K249" s="27" t="str">
        <x:v>Connecting decimal notation to fractions with denominators 10/100 and comparing decimals by place value and common-whole reasoning.</x:v>
      </x:c>
      <x:c r="L249" s="27" t="str">
        <x:v>Base-ten structure and fraction equivalence.</x:v>
      </x:c>
      <x:c r="M249" s="27" t="str">
        <x:v>S16-MATH-05</x:v>
      </x:c>
      <x:c r="N249" s="27" t="str">
        <x:v>G4/G5 — Concrete model linked to coordinated representations</x:v>
      </x:c>
      <x:c r="O249" s="27" t="str">
        <x:v>Physical quantity and spatial action; science measurement/models; computing/algorithms; finance; music rhythm/pattern; geographic data.</x:v>
      </x:c>
      <x:c r="P249" s="27" t="str">
        <x:v>Decimals join place value and fractions and prepare metric/financial calculations.</x:v>
      </x:c>
      <x:c r="Q249" s="27" t="str">
        <x:v>S16-MATH-07</x:v>
      </x:c>
      <x:c r="R249" s="27" t="str">
        <x:v>Represents the same value as fraction, decimal, grid, and number-line point.</x:v>
      </x:c>
      <x:c r="S249" s="27" t="str">
        <x:v>SRC09</x:v>
      </x:c>
      <x:c r="T249" s="27" t="str">
        <x:v>Development varies; use observed performance and appropriate supports rather than age alone.</x:v>
      </x:c>
      <x:c r="U249" s="27" t="str"/>
      <x:c r="V249" s="27" t="str"/>
      <x:c r="W249" s="39" t="str"/>
      <x:c r="X249" s="39" t="str"/>
    </x:row>
    <x:row r="250">
      <x:c r="A250" s="27" t="str">
        <x:v>S16-MATH-07</x:v>
      </x:c>
      <x:c r="B250" s="37" t="n">
        <x:v>246</x:v>
      </x:c>
      <x:c r="C250" s="27" t="str">
        <x:v>S16</x:v>
      </x:c>
      <x:c r="D250" s="37" t="n">
        <x:v>16</x:v>
      </x:c>
      <x:c r="E250" s="27" t="str">
        <x:v>Grade 4</x:v>
      </x:c>
      <x:c r="F250" s="27" t="str">
        <x:v>4</x:v>
      </x:c>
      <x:c r="G250" s="27" t="str">
        <x:v>Multi-step evidence and system relationships</x:v>
      </x:c>
      <x:c r="H250" s="27" t="str">
        <x:v>Mathematics</x:v>
      </x:c>
      <x:c r="I250" s="27" t="str">
        <x:v>Geometry and measurement</x:v>
      </x:c>
      <x:c r="J250" s="27" t="str">
        <x:v>Angles, lines, symmetry, and measurement conversion</x:v>
      </x:c>
      <x:c r="K250" s="27" t="str">
        <x:v>Measuring/drawing angles, classifying lines/shapes, recognizing symmetry, and converting within a measurement system to solve problems.</x:v>
      </x:c>
      <x:c r="L250" s="27" t="str">
        <x:v>Shape attributes, fraction turns, standard units, and multiplication.</x:v>
      </x:c>
      <x:c r="M250" s="27" t="str">
        <x:v>S16-MATH-06</x:v>
      </x:c>
      <x:c r="N250" s="27" t="str">
        <x:v>G4/G5 — Concrete model linked to coordinated representations</x:v>
      </x:c>
      <x:c r="O250" s="27" t="str">
        <x:v>Physical quantity and spatial action; science measurement/models; computing/algorithms; finance; music rhythm/pattern; geographic data.</x:v>
      </x:c>
      <x:c r="P250" s="27" t="str">
        <x:v>Angle measure and hierarchical classification formalize geometry; conversions use multiplicative scaling.</x:v>
      </x:c>
      <x:c r="Q250" s="27" t="str">
        <x:v>S17-MATH-01</x:v>
      </x:c>
      <x:c r="R250" s="27" t="str">
        <x:v>Measures/classifies a figure and justifies the category or conversion relationship.</x:v>
      </x:c>
      <x:c r="S250" s="27" t="str">
        <x:v>SRC09</x:v>
      </x:c>
      <x:c r="T250" s="27" t="str">
        <x:v>Development varies; use observed performance and appropriate supports rather than age alone.</x:v>
      </x:c>
      <x:c r="U250" s="27" t="str"/>
      <x:c r="V250" s="27" t="str"/>
      <x:c r="W250" s="39" t="str"/>
      <x:c r="X250" s="39" t="str"/>
    </x:row>
    <x:row r="251">
      <x:c r="A251" s="27" t="str">
        <x:v>S16-SCI-01</x:v>
      </x:c>
      <x:c r="B251" s="37" t="n">
        <x:v>247</x:v>
      </x:c>
      <x:c r="C251" s="27" t="str">
        <x:v>S16</x:v>
      </x:c>
      <x:c r="D251" s="37" t="n">
        <x:v>16</x:v>
      </x:c>
      <x:c r="E251" s="27" t="str">
        <x:v>Grade 4</x:v>
      </x:c>
      <x:c r="F251" s="27" t="str">
        <x:v>4</x:v>
      </x:c>
      <x:c r="G251" s="27" t="str">
        <x:v>Multi-step evidence and system relationships</x:v>
      </x:c>
      <x:c r="H251" s="27" t="str">
        <x:v>Science &amp; Engineering</x:v>
      </x:c>
      <x:c r="I251" s="27" t="str">
        <x:v>Physical science</x:v>
      </x:c>
      <x:c r="J251" s="27" t="str">
        <x:v>Energy, motion, waves, and information</x:v>
      </x:c>
      <x:c r="K251" s="27" t="str">
        <x:v>Developing models of energy transfer, collision effects, wave patterns, light reflection, and information transmission.</x:v>
      </x:c>
      <x:c r="L251" s="27" t="str">
        <x:v>Grade 3 forces/motion, light/sound, measurement, and fractions/graphs.</x:v>
      </x:c>
      <x:c r="M251" s="27" t="str">
        <x:v>S15-SCI-03</x:v>
      </x:c>
      <x:c r="N251" s="27" t="str">
        <x:v>G4/G5 — Concrete model linked to coordinated representations</x:v>
      </x:c>
      <x:c r="O251" s="27" t="str">
        <x:v>Sensory observation and action; mathematics/data; reading/writing evidence; computing/models; health and environmental/civic decisions.</x:v>
      </x:c>
      <x:c r="P251" s="27" t="str">
        <x:v>Energy and waves provide unifying mechanisms across physical systems.</x:v>
      </x:c>
      <x:c r="Q251" s="27" t="str">
        <x:v>S16-SCI-02</x:v>
      </x:c>
      <x:c r="R251" s="27" t="str">
        <x:v>Uses a model or data to trace energy or information through a system.</x:v>
      </x:c>
      <x:c r="S251" s="27" t="str">
        <x:v>SRC11</x:v>
      </x:c>
      <x:c r="T251" s="27" t="str">
        <x:v>Development varies; use observed performance and appropriate supports rather than age alone.</x:v>
      </x:c>
      <x:c r="U251" s="27" t="str"/>
      <x:c r="V251" s="27" t="str"/>
      <x:c r="W251" s="39" t="str"/>
      <x:c r="X251" s="39" t="str"/>
    </x:row>
    <x:row r="252">
      <x:c r="A252" s="27" t="str">
        <x:v>S16-SCI-02</x:v>
      </x:c>
      <x:c r="B252" s="37" t="n">
        <x:v>248</x:v>
      </x:c>
      <x:c r="C252" s="27" t="str">
        <x:v>S16</x:v>
      </x:c>
      <x:c r="D252" s="37" t="n">
        <x:v>16</x:v>
      </x:c>
      <x:c r="E252" s="27" t="str">
        <x:v>Grade 4</x:v>
      </x:c>
      <x:c r="F252" s="27" t="str">
        <x:v>4</x:v>
      </x:c>
      <x:c r="G252" s="27" t="str">
        <x:v>Multi-step evidence and system relationships</x:v>
      </x:c>
      <x:c r="H252" s="27" t="str">
        <x:v>Science &amp; Engineering</x:v>
      </x:c>
      <x:c r="I252" s="27" t="str">
        <x:v>Life science</x:v>
      </x:c>
      <x:c r="J252" s="27" t="str">
        <x:v>Internal/external structures and sensing</x:v>
      </x:c>
      <x:c r="K252" s="27" t="str">
        <x:v>Explaining how plant/animal structures support survival, growth, behavior, and information processing.</x:v>
      </x:c>
      <x:c r="L252" s="27" t="str">
        <x:v>Grade 1/3 structure-function and traits.</x:v>
      </x:c>
      <x:c r="M252" s="27" t="str">
        <x:v>S16-SCI-01</x:v>
      </x:c>
      <x:c r="N252" s="27" t="str">
        <x:v>G4/G5 — Concrete model linked to coordinated representations</x:v>
      </x:c>
      <x:c r="O252" s="27" t="str">
        <x:v>Sensory observation and action; mathematics/data; reading/writing evidence; computing/models; health and environmental/civic decisions.</x:v>
      </x:c>
      <x:c r="P252" s="27" t="str">
        <x:v>Nested structures and sensory processing prepare cells, organ systems, and neuroscience.</x:v>
      </x:c>
      <x:c r="Q252" s="27" t="str">
        <x:v>S16-SCI-03</x:v>
      </x:c>
      <x:c r="R252" s="27" t="str">
        <x:v>Connects a structure to a function and predicts an effect if the structure changes.</x:v>
      </x:c>
      <x:c r="S252" s="27" t="str">
        <x:v>SRC11</x:v>
      </x:c>
      <x:c r="T252" s="27" t="str">
        <x:v>Development varies; use observed performance and appropriate supports rather than age alone.</x:v>
      </x:c>
      <x:c r="U252" s="27" t="str"/>
      <x:c r="V252" s="27" t="str"/>
      <x:c r="W252" s="39" t="str"/>
      <x:c r="X252" s="39" t="str"/>
    </x:row>
    <x:row r="253">
      <x:c r="A253" s="27" t="str">
        <x:v>S16-SCI-03</x:v>
      </x:c>
      <x:c r="B253" s="37" t="n">
        <x:v>249</x:v>
      </x:c>
      <x:c r="C253" s="27" t="str">
        <x:v>S16</x:v>
      </x:c>
      <x:c r="D253" s="37" t="n">
        <x:v>16</x:v>
      </x:c>
      <x:c r="E253" s="27" t="str">
        <x:v>Grade 4</x:v>
      </x:c>
      <x:c r="F253" s="27" t="str">
        <x:v>4</x:v>
      </x:c>
      <x:c r="G253" s="27" t="str">
        <x:v>Multi-step evidence and system relationships</x:v>
      </x:c>
      <x:c r="H253" s="27" t="str">
        <x:v>Science &amp; Engineering</x:v>
      </x:c>
      <x:c r="I253" s="27" t="str">
        <x:v>Earth science</x:v>
      </x:c>
      <x:c r="J253" s="27" t="str">
        <x:v>Weathering, erosion, and Earth features</x:v>
      </x:c>
      <x:c r="K253" s="27" t="str">
        <x:v>Using observations, maps, fossils/rock evidence, and models to explain surface processes and patterns in Earth features.</x:v>
      </x:c>
      <x:c r="L253" s="27" t="str">
        <x:v>Grade 2 Earth changes, Grade 3 weather/climate, and map/data integration.</x:v>
      </x:c>
      <x:c r="M253" s="27" t="str">
        <x:v>S16-SCI-02</x:v>
      </x:c>
      <x:c r="N253" s="27" t="str">
        <x:v>G4/G5 — Concrete model linked to coordinated representations</x:v>
      </x:c>
      <x:c r="O253" s="27" t="str">
        <x:v>Sensory observation and action; mathematics/data; reading/writing evidence; computing/models; health and environmental/civic decisions.</x:v>
      </x:c>
      <x:c r="P253" s="27" t="str">
        <x:v>Evidence from present processes and past records prepares geologic history reasoning.</x:v>
      </x:c>
      <x:c r="Q253" s="27" t="str">
        <x:v>S17-SCI-01</x:v>
      </x:c>
      <x:c r="R253" s="27" t="str">
        <x:v>Explains a landform pattern using process evidence from a map, model, or material record.</x:v>
      </x:c>
      <x:c r="S253" s="27" t="str">
        <x:v>SRC11</x:v>
      </x:c>
      <x:c r="T253" s="27" t="str">
        <x:v>Development varies; use observed performance and appropriate supports rather than age alone.</x:v>
      </x:c>
      <x:c r="U253" s="27" t="str"/>
      <x:c r="V253" s="27" t="str"/>
      <x:c r="W253" s="39" t="str"/>
      <x:c r="X253" s="39" t="str"/>
    </x:row>
    <x:row r="254">
      <x:c r="A254" s="27" t="str">
        <x:v>S16-SST-01</x:v>
      </x:c>
      <x:c r="B254" s="37" t="n">
        <x:v>250</x:v>
      </x:c>
      <x:c r="C254" s="27" t="str">
        <x:v>S16</x:v>
      </x:c>
      <x:c r="D254" s="37" t="n">
        <x:v>16</x:v>
      </x:c>
      <x:c r="E254" s="27" t="str">
        <x:v>Grade 4</x:v>
      </x:c>
      <x:c r="F254" s="27" t="str">
        <x:v>4</x:v>
      </x:c>
      <x:c r="G254" s="27" t="str">
        <x:v>Multi-step evidence and system relationships</x:v>
      </x:c>
      <x:c r="H254" s="27" t="str">
        <x:v>Social Studies</x:v>
      </x:c>
      <x:c r="I254" s="27" t="str">
        <x:v>Inquiry</x:v>
      </x:c>
      <x:c r="J254" s="27" t="str">
        <x:v>State/region systems and multiple perspectives</x:v>
      </x:c>
      <x:c r="K254" s="27" t="str">
        <x:v>Investigating state or regional Indigenous and migration histories, geography, governance, economic systems, and change through primary/secondary sources.</x:v>
      </x:c>
      <x:c r="L254" s="27" t="str">
        <x:v>Grade 3 regional inquiry, firsthand/secondhand analysis, and multi-paragraph writing.</x:v>
      </x:c>
      <x:c r="M254" s="27" t="str">
        <x:v>S15-SST-01</x:v>
      </x:c>
      <x:c r="N254" s="27" t="str">
        <x:v>G4/G5 — Concrete model linked to coordinated representations</x:v>
      </x:c>
      <x:c r="O254" s="27" t="str">
        <x:v>Language/literacy and source evidence; maps/data/economics; ethics/SEL; media literacy; arts/culture; civic action.</x:v>
      </x:c>
      <x:c r="P254" s="27" t="str">
        <x:v>More complex institutions and contested accounts require corroboration and perspective analysis.</x:v>
      </x:c>
      <x:c r="Q254" s="27" t="str">
        <x:v>S17-SST-01</x:v>
      </x:c>
      <x:c r="R254" s="27" t="str">
        <x:v>Constructs a supported claim that addresses a source disagreement or differing perspective.</x:v>
      </x:c>
      <x:c r="S254" s="27" t="str">
        <x:v>SRC12; SRC24</x:v>
      </x:c>
      <x:c r="T254" s="27" t="str">
        <x:v>Development varies; use observed performance and appropriate supports rather than age alone.</x:v>
      </x:c>
      <x:c r="U254" s="27" t="str"/>
      <x:c r="V254" s="27" t="str"/>
      <x:c r="W254" s="39" t="str"/>
      <x:c r="X254" s="39" t="str"/>
    </x:row>
    <x:row r="255">
      <x:c r="A255" s="27" t="str">
        <x:v>S16-ARTS-01</x:v>
      </x:c>
      <x:c r="B255" s="37" t="n">
        <x:v>251</x:v>
      </x:c>
      <x:c r="C255" s="27" t="str">
        <x:v>S16</x:v>
      </x:c>
      <x:c r="D255" s="37" t="n">
        <x:v>16</x:v>
      </x:c>
      <x:c r="E255" s="27" t="str">
        <x:v>Grade 4</x:v>
      </x:c>
      <x:c r="F255" s="27" t="str">
        <x:v>4</x:v>
      </x:c>
      <x:c r="G255" s="27" t="str">
        <x:v>Multi-step evidence and system relationships</x:v>
      </x:c>
      <x:c r="H255" s="27" t="str">
        <x:v>Music &amp; Arts</x:v>
      </x:c>
      <x:c r="I255" s="27" t="str">
        <x:v>Music</x:v>
      </x:c>
      <x:c r="J255" s="27" t="str">
        <x:v>Intervals, texture, form, and refinement</x:v>
      </x:c>
      <x:c r="K255" s="27" t="str">
        <x:v>Performing/creating increasingly precise rhythmic and melodic patterns, identifying layers/texture and form, and revising work using criteria and feedback.</x:v>
      </x:c>
      <x:c r="L255" s="27" t="str">
        <x:v>Grade 3 notation/ensemble, fractions, and shared-goal feedback.</x:v>
      </x:c>
      <x:c r="M255" s="27" t="str">
        <x:v>S15-ARTS-01</x:v>
      </x:c>
      <x:c r="N255" s="27" t="str">
        <x:v>G4/G5 — Concrete model linked to coordinated representations</x:v>
      </x:c>
      <x:c r="O255" s="27" t="str">
        <x:v>Sensory discrimination; motor timing; language/prosody; mathematics/pattern; history/culture; emotion, design, and technology.</x:v>
      </x:c>
      <x:c r="P255" s="27" t="str">
        <x:v>Criteria-based refinement mirrors revision, engineering iteration, and deliberate practice.</x:v>
      </x:c>
      <x:c r="Q255" s="27" t="str">
        <x:v>S17-ARTS-01</x:v>
      </x:c>
      <x:c r="R255" s="27" t="str">
        <x:v>Revises or rehearses a work, documents the criterion used, and demonstrates the change.</x:v>
      </x:c>
      <x:c r="S255" s="27" t="str">
        <x:v>SRC13</x:v>
      </x:c>
      <x:c r="T255" s="27" t="str">
        <x:v>Development varies; use observed performance and appropriate supports rather than age alone.</x:v>
      </x:c>
      <x:c r="U255" s="27" t="str"/>
      <x:c r="V255" s="27" t="str"/>
      <x:c r="W255" s="39" t="str"/>
      <x:c r="X255" s="39" t="str"/>
    </x:row>
    <x:row r="256">
      <x:c r="A256" s="27" t="str">
        <x:v>S16-HLTH-01</x:v>
      </x:c>
      <x:c r="B256" s="37" t="n">
        <x:v>252</x:v>
      </x:c>
      <x:c r="C256" s="27" t="str">
        <x:v>S16</x:v>
      </x:c>
      <x:c r="D256" s="37" t="n">
        <x:v>16</x:v>
      </x:c>
      <x:c r="E256" s="27" t="str">
        <x:v>Grade 4</x:v>
      </x:c>
      <x:c r="F256" s="27" t="str">
        <x:v>4</x:v>
      </x:c>
      <x:c r="G256" s="27" t="str">
        <x:v>Multi-step evidence and system relationships</x:v>
      </x:c>
      <x:c r="H256" s="27" t="str">
        <x:v>Physical &amp; Health</x:v>
      </x:c>
      <x:c r="I256" s="27" t="str">
        <x:v>Fitness and health literacy</x:v>
      </x:c>
      <x:c r="J256" s="27" t="str">
        <x:v>Fitness components, influences, and communication</x:v>
      </x:c>
      <x:c r="K256" s="27" t="str">
        <x:v>Relating activity to cardiovascular endurance, muscular fitness, flexibility, and skill; identifying influences on health; and practicing assertive help/boundary communication.</x:v>
      </x:c>
      <x:c r="L256" s="27" t="str">
        <x:v>Grade 3 fitness response, body knowledge, and perspective.</x:v>
      </x:c>
      <x:c r="M256" s="27" t="str">
        <x:v>S15-HLTH-01</x:v>
      </x:c>
      <x:c r="N256" s="27" t="str">
        <x:v>G4/G5 — Concrete model linked to coordinated representations</x:v>
      </x:c>
      <x:c r="O256" s="27" t="str">
        <x:v>Motor/sensory development; life science; measurement/data; SEL/self-management; communication, safety, and decision-making.</x:v>
      </x:c>
      <x:c r="P256" s="27" t="str">
        <x:v>Named fitness/health dimensions allow informed goals and protective communication.</x:v>
      </x:c>
      <x:c r="Q256" s="27" t="str">
        <x:v>S17-HLTH-01</x:v>
      </x:c>
      <x:c r="R256" s="27" t="str">
        <x:v>Assesses a scenario or activity using a named fitness, influence, safety, or communication concept.</x:v>
      </x:c>
      <x:c r="S256" s="27" t="str">
        <x:v>SRC14; SRC15</x:v>
      </x:c>
      <x:c r="T256" s="27" t="str">
        <x:v>Development varies; use observed performance and appropriate supports rather than age alone.</x:v>
      </x:c>
      <x:c r="U256" s="27" t="str"/>
      <x:c r="V256" s="27" t="str"/>
      <x:c r="W256" s="39" t="str"/>
      <x:c r="X256" s="39" t="str"/>
    </x:row>
    <x:row r="257">
      <x:c r="A257" s="27" t="str">
        <x:v>S16-COMP-01</x:v>
      </x:c>
      <x:c r="B257" s="37" t="n">
        <x:v>253</x:v>
      </x:c>
      <x:c r="C257" s="27" t="str">
        <x:v>S16</x:v>
      </x:c>
      <x:c r="D257" s="37" t="n">
        <x:v>16</x:v>
      </x:c>
      <x:c r="E257" s="27" t="str">
        <x:v>Grade 4</x:v>
      </x:c>
      <x:c r="F257" s="27" t="str">
        <x:v>4</x:v>
      </x:c>
      <x:c r="G257" s="27" t="str">
        <x:v>Multi-step evidence and system relationships</x:v>
      </x:c>
      <x:c r="H257" s="27" t="str">
        <x:v>Computing &amp; Media</x:v>
      </x:c>
      <x:c r="I257" s="27" t="str">
        <x:v>Data and systems</x:v>
      </x:c>
      <x:c r="J257" s="27" t="str">
        <x:v>Input-process-output, networks, and data visualization</x:v>
      </x:c>
      <x:c r="K257" s="27" t="str">
        <x:v>Tracing how a computing system receives input, processes/stores data, produces output, and exchanges information across connected devices.</x:v>
      </x:c>
      <x:c r="L257" s="27" t="str">
        <x:v>Grade 3 variables/modules and data graphs.</x:v>
      </x:c>
      <x:c r="M257" s="27" t="str">
        <x:v>S15-COMP-02</x:v>
      </x:c>
      <x:c r="N257" s="27" t="str">
        <x:v>G4/G5 — Concrete model linked to coordinated representations</x:v>
      </x:c>
      <x:c r="O257" s="27" t="str">
        <x:v>Mathematics/logic/data; language and media evidence; science/engineering models; art/design; civics, privacy, finance, and ethics.</x:v>
      </x:c>
      <x:c r="P257" s="27" t="str">
        <x:v>A systems model prepares networks, architecture, privacy, and algorithmic data processing.</x:v>
      </x:c>
      <x:c r="Q257" s="27" t="str">
        <x:v>S16-COMP-02</x:v>
      </x:c>
      <x:c r="R257" s="27" t="str">
        <x:v>Draws and explains a system/data path including a meaningful transformation or transmission.</x:v>
      </x:c>
      <x:c r="S257" s="27" t="str">
        <x:v>SRC16</x:v>
      </x:c>
      <x:c r="T257" s="27" t="str">
        <x:v>Development varies; use observed performance and appropriate supports rather than age alone.</x:v>
      </x:c>
      <x:c r="U257" s="27" t="str"/>
      <x:c r="V257" s="27" t="str"/>
      <x:c r="W257" s="39" t="str"/>
      <x:c r="X257" s="39" t="str"/>
    </x:row>
    <x:row r="258">
      <x:c r="A258" s="27" t="str">
        <x:v>S16-COMP-02</x:v>
      </x:c>
      <x:c r="B258" s="37" t="n">
        <x:v>254</x:v>
      </x:c>
      <x:c r="C258" s="27" t="str">
        <x:v>S16</x:v>
      </x:c>
      <x:c r="D258" s="37" t="n">
        <x:v>16</x:v>
      </x:c>
      <x:c r="E258" s="27" t="str">
        <x:v>Grade 4</x:v>
      </x:c>
      <x:c r="F258" s="27" t="str">
        <x:v>4</x:v>
      </x:c>
      <x:c r="G258" s="27" t="str">
        <x:v>Multi-step evidence and system relationships</x:v>
      </x:c>
      <x:c r="H258" s="27" t="str">
        <x:v>Computing &amp; Media</x:v>
      </x:c>
      <x:c r="I258" s="27" t="str">
        <x:v>Media analysis</x:v>
      </x:c>
      <x:c r="J258" s="27" t="str">
        <x:v>Evidence, omission, and design choice</x:v>
      </x:c>
      <x:c r="K258" s="27" t="str">
        <x:v>Evaluating how framing, image, sound, data display, selection, and omission influence interpretation of a message.</x:v>
      </x:c>
      <x:c r="L258" s="27" t="str">
        <x:v>Creator/purpose, viewpoint, and text-visual integration.</x:v>
      </x:c>
      <x:c r="M258" s="27" t="str">
        <x:v>S16-COMP-01</x:v>
      </x:c>
      <x:c r="N258" s="27" t="str">
        <x:v>G4/G5 — Concrete model linked to coordinated representations</x:v>
      </x:c>
      <x:c r="O258" s="27" t="str">
        <x:v>Mathematics/logic/data; language and media evidence; science/engineering models; art/design; civics, privacy, finance, and ethics.</x:v>
      </x:c>
      <x:c r="P258" s="27" t="str">
        <x:v>Design choices become evidence for analyzing bias, persuasion, and representation.</x:v>
      </x:c>
      <x:c r="Q258" s="27" t="str">
        <x:v>S17-COMP-01</x:v>
      </x:c>
      <x:c r="R258" s="27" t="str">
        <x:v>Compares two presentations and cites a specific design or omission that changes meaning.</x:v>
      </x:c>
      <x:c r="S258" s="27" t="str">
        <x:v>SRC20</x:v>
      </x:c>
      <x:c r="T258" s="27" t="str">
        <x:v>Development varies; use observed performance and appropriate supports rather than age alone.</x:v>
      </x:c>
      <x:c r="U258" s="27" t="str"/>
      <x:c r="V258" s="27" t="str"/>
      <x:c r="W258" s="39" t="str"/>
      <x:c r="X258" s="39" t="str"/>
    </x:row>
    <x:row r="259">
      <x:c r="A259" s="27" t="str">
        <x:v>S16-LIFE-01</x:v>
      </x:c>
      <x:c r="B259" s="37" t="n">
        <x:v>255</x:v>
      </x:c>
      <x:c r="C259" s="27" t="str">
        <x:v>S16</x:v>
      </x:c>
      <x:c r="D259" s="37" t="n">
        <x:v>16</x:v>
      </x:c>
      <x:c r="E259" s="27" t="str">
        <x:v>Grade 4</x:v>
      </x:c>
      <x:c r="F259" s="27" t="str">
        <x:v>4</x:v>
      </x:c>
      <x:c r="G259" s="27" t="str">
        <x:v>Multi-step evidence and system relationships</x:v>
      </x:c>
      <x:c r="H259" s="27" t="str">
        <x:v>Life, Finance &amp; Career</x:v>
      </x:c>
      <x:c r="I259" s="27" t="str">
        <x:v>Personal finance</x:v>
      </x:c>
      <x:c r="J259" s="27" t="str">
        <x:v>Opportunity cost and financial institutions</x:v>
      </x:c>
      <x:c r="K259" s="27" t="str">
        <x:v>Explaining the next-best option given up by a choice and the basic purposes of saving accounts, banks/credit unions, payment methods, and records.</x:v>
      </x:c>
      <x:c r="L259" s="27" t="str">
        <x:v>Grade 3 saving goals, multiplication, and consequence analysis.</x:v>
      </x:c>
      <x:c r="M259" s="27" t="str">
        <x:v>S15-LIFE-01</x:v>
      </x:c>
      <x:c r="N259" s="27" t="str">
        <x:v>G4/G5 — Concrete model linked to coordinated representations</x:v>
      </x:c>
      <x:c r="O259" s="27" t="str">
        <x:v>Mathematics/percent/growth; economics/civics; reading contracts/sources; computing/privacy; SEL, planning, and risk decisions.</x:v>
      </x:c>
      <x:c r="P259" s="27" t="str">
        <x:v>Opportunity cost formalizes tradeoffs; institutions/records prepare account management.</x:v>
      </x:c>
      <x:c r="Q259" s="27" t="str">
        <x:v>S17-LIFE-01</x:v>
      </x:c>
      <x:c r="R259" s="27" t="str">
        <x:v>Defends a choice by naming its opportunity cost and selects an appropriate simple financial service.</x:v>
      </x:c>
      <x:c r="S259" s="27" t="str">
        <x:v>SRC19</x:v>
      </x:c>
      <x:c r="T259" s="27" t="str">
        <x:v>Development varies; use observed performance and appropriate supports rather than age alone.</x:v>
      </x:c>
      <x:c r="U259" s="27" t="str"/>
      <x:c r="V259" s="27" t="str"/>
      <x:c r="W259" s="39" t="str"/>
      <x:c r="X259" s="39" t="str"/>
    </x:row>
    <x:row r="260">
      <x:c r="A260" s="27" t="str">
        <x:v>S17-LEARN-01</x:v>
      </x:c>
      <x:c r="B260" s="37" t="n">
        <x:v>256</x:v>
      </x:c>
      <x:c r="C260" s="27" t="str">
        <x:v>S17</x:v>
      </x:c>
      <x:c r="D260" s="37" t="n">
        <x:v>17</x:v>
      </x:c>
      <x:c r="E260" s="27" t="str">
        <x:v>Grade 5</x:v>
      </x:c>
      <x:c r="F260" s="27" t="str">
        <x:v>5</x:v>
      </x:c>
      <x:c r="G260" s="27" t="str">
        <x:v>Fraction operations, volume, and independent research</x:v>
      </x:c>
      <x:c r="H260" s="27" t="str">
        <x:v>Learning Foundations</x:v>
      </x:c>
      <x:c r="I260" s="27" t="str">
        <x:v>Study and projects</x:v>
      </x:c>
      <x:c r="J260" s="27" t="str">
        <x:v>Plan, schedule, retrieve, revise</x:v>
      </x:c>
      <x:c r="K260" s="27" t="str">
        <x:v>Breaking a multi-day task into deliverables, scheduling spaced work/retrieval, monitoring completion, and revising the plan from evidence.</x:v>
      </x:c>
      <x:c r="L260" s="27" t="str">
        <x:v>Strategy selection, goal cycles, and error classification.</x:v>
      </x:c>
      <x:c r="M260" s="27" t="str">
        <x:v>S16-LEARN-01</x:v>
      </x:c>
      <x:c r="N260" s="27" t="str">
        <x:v>G4/G5 — Concrete model linked to coordinated representations</x:v>
      </x:c>
      <x:c r="O260" s="27" t="str">
        <x:v>All domains: attention, memory, strategy choice, monitoring, retrieval, and transfer.</x:v>
      </x:c>
      <x:c r="P260" s="27" t="str">
        <x:v>Project planning integrates executive function with evidence-based study methods.</x:v>
      </x:c>
      <x:c r="Q260" s="27" t="str">
        <x:v>S18-LEARN-01</x:v>
      </x:c>
      <x:c r="R260" s="27" t="str">
        <x:v>Creates and follows a dated plan, records retrieval results, and updates a weak step.</x:v>
      </x:c>
      <x:c r="S260" s="27" t="str">
        <x:v>SRC05; SRC23</x:v>
      </x:c>
      <x:c r="T260" s="27" t="str">
        <x:v>Development varies; use observed performance and appropriate supports rather than age alone.</x:v>
      </x:c>
      <x:c r="U260" s="27" t="str"/>
      <x:c r="V260" s="27" t="str"/>
      <x:c r="W260" s="39" t="str"/>
      <x:c r="X260" s="39" t="str"/>
    </x:row>
    <x:row r="261">
      <x:c r="A261" s="27" t="str">
        <x:v>S17-SEL-01</x:v>
      </x:c>
      <x:c r="B261" s="37" t="n">
        <x:v>257</x:v>
      </x:c>
      <x:c r="C261" s="27" t="str">
        <x:v>S17</x:v>
      </x:c>
      <x:c r="D261" s="37" t="n">
        <x:v>17</x:v>
      </x:c>
      <x:c r="E261" s="27" t="str">
        <x:v>Grade 5</x:v>
      </x:c>
      <x:c r="F261" s="27" t="str">
        <x:v>5</x:v>
      </x:c>
      <x:c r="G261" s="27" t="str">
        <x:v>Fraction operations, volume, and independent research</x:v>
      </x:c>
      <x:c r="H261" s="27" t="str">
        <x:v>Social-Emotional</x:v>
      </x:c>
      <x:c r="I261" s="27" t="str">
        <x:v>Leadership and teamwork</x:v>
      </x:c>
      <x:c r="J261" s="27" t="str">
        <x:v>Roles, norms, inclusion, and accountability</x:v>
      </x:c>
      <x:c r="K261" s="27" t="str">
        <x:v>Establishing fair roles/norms, inviting participation, documenting decisions, and holding self/group accountable to criteria.</x:v>
      </x:c>
      <x:c r="L261" s="27" t="str">
        <x:v>Grade 4 consensus, shared feedback, and perspective-taking.</x:v>
      </x:c>
      <x:c r="M261" s="27" t="str">
        <x:v>S16-SEL-01</x:v>
      </x:c>
      <x:c r="N261" s="27" t="str">
        <x:v>G4/G5 — Concrete model linked to coordinated representations</x:v>
      </x:c>
      <x:c r="O261" s="27" t="str">
        <x:v>Language and communication; health; collaboration in science, arts, civics, and projects; responsible digital/financial decisions.</x:v>
      </x:c>
      <x:c r="P261" s="27" t="str">
        <x:v>Explicit team structures support equitable independent projects and civic action.</x:v>
      </x:c>
      <x:c r="Q261" s="27" t="str">
        <x:v>S18-SEL-01</x:v>
      </x:c>
      <x:c r="R261" s="27" t="str">
        <x:v>Uses a role/norm record to explain contributions, a decision, and a needed adjustment.</x:v>
      </x:c>
      <x:c r="S261" s="27" t="str">
        <x:v>SRC18</x:v>
      </x:c>
      <x:c r="T261" s="27" t="str">
        <x:v>Development varies; use observed performance and appropriate supports rather than age alone.</x:v>
      </x:c>
      <x:c r="U261" s="27" t="str"/>
      <x:c r="V261" s="27" t="str"/>
      <x:c r="W261" s="39" t="str"/>
      <x:c r="X261" s="39" t="str"/>
    </x:row>
    <x:row r="262">
      <x:c r="A262" s="27" t="str">
        <x:v>S17-READ-01</x:v>
      </x:c>
      <x:c r="B262" s="37" t="n">
        <x:v>258</x:v>
      </x:c>
      <x:c r="C262" s="27" t="str">
        <x:v>S17</x:v>
      </x:c>
      <x:c r="D262" s="37" t="n">
        <x:v>17</x:v>
      </x:c>
      <x:c r="E262" s="27" t="str">
        <x:v>Grade 5</x:v>
      </x:c>
      <x:c r="F262" s="27" t="str">
        <x:v>5</x:v>
      </x:c>
      <x:c r="G262" s="27" t="str">
        <x:v>Fraction operations, volume, and independent research</x:v>
      </x:c>
      <x:c r="H262" s="27" t="str">
        <x:v>Reading</x:v>
      </x:c>
      <x:c r="I262" s="27" t="str">
        <x:v>Complex comprehension</x:v>
      </x:c>
      <x:c r="J262" s="27" t="str">
        <x:v>Quote accurately, infer, summarize, and synthesize</x:v>
      </x:c>
      <x:c r="K262" s="27" t="str">
        <x:v>Quoting accurately; making supported inferences; determining theme/main ideas; summarizing; and integrating information across sections and sources.</x:v>
      </x:c>
      <x:c r="L262" s="27" t="str">
        <x:v>Grade 4 evidence, structure, viewpoint, and morphology.</x:v>
      </x:c>
      <x:c r="M262" s="27" t="str">
        <x:v>S16-READ-04</x:v>
      </x:c>
      <x:c r="N262" s="27" t="str">
        <x:v>G4/G5 — Concrete model linked to coordinated representations</x:v>
      </x:c>
      <x:c r="O262" s="27" t="str">
        <x:v>Oral language and writing; evidence in science/social studies; mathematical and technical problem interpretation; media verification.</x:v>
      </x:c>
      <x:c r="P262" s="27" t="str">
        <x:v>Coordinating evidence across a longer text prepares disciplinary literacy.</x:v>
      </x:c>
      <x:c r="Q262" s="27" t="str">
        <x:v>S17-READ-02</x:v>
      </x:c>
      <x:c r="R262" s="27" t="str">
        <x:v>Produces a concise synthesis with accurate quotations and no central distortion.</x:v>
      </x:c>
      <x:c r="S262" s="27" t="str">
        <x:v>SRC10</x:v>
      </x:c>
      <x:c r="T262" s="27" t="str">
        <x:v>Development varies; use observed performance and appropriate supports rather than age alone.</x:v>
      </x:c>
      <x:c r="U262" s="27" t="str"/>
      <x:c r="V262" s="27" t="str"/>
      <x:c r="W262" s="39" t="str"/>
      <x:c r="X262" s="39" t="str"/>
    </x:row>
    <x:row r="263">
      <x:c r="A263" s="27" t="str">
        <x:v>S17-READ-02</x:v>
      </x:c>
      <x:c r="B263" s="37" t="n">
        <x:v>259</x:v>
      </x:c>
      <x:c r="C263" s="27" t="str">
        <x:v>S17</x:v>
      </x:c>
      <x:c r="D263" s="37" t="n">
        <x:v>17</x:v>
      </x:c>
      <x:c r="E263" s="27" t="str">
        <x:v>Grade 5</x:v>
      </x:c>
      <x:c r="F263" s="27" t="str">
        <x:v>5</x:v>
      </x:c>
      <x:c r="G263" s="27" t="str">
        <x:v>Fraction operations, volume, and independent research</x:v>
      </x:c>
      <x:c r="H263" s="27" t="str">
        <x:v>Reading</x:v>
      </x:c>
      <x:c r="I263" s="27" t="str">
        <x:v>Author analysis</x:v>
      </x:c>
      <x:c r="J263" s="27" t="str">
        <x:v>Point of view, reasons, evidence, and multimedia</x:v>
      </x:c>
      <x:c r="K263" s="27" t="str">
        <x:v>Analyzing how viewpoint, reasons/evidence, word choice, structure, and visual/audio elements shape meaning and credibility.</x:v>
      </x:c>
      <x:c r="L263" s="27" t="str">
        <x:v>Grade 4 critical reading and media design analysis.</x:v>
      </x:c>
      <x:c r="M263" s="27" t="str">
        <x:v>S17-READ-01</x:v>
      </x:c>
      <x:c r="N263" s="27" t="str">
        <x:v>G4/G5 — Concrete model linked to coordinated representations</x:v>
      </x:c>
      <x:c r="O263" s="27" t="str">
        <x:v>Oral language and writing; evidence in science/social studies; mathematical and technical problem interpretation; media verification.</x:v>
      </x:c>
      <x:c r="P263" s="27" t="str">
        <x:v>Author-choice analysis prepares rhetoric, argument evaluation, and source selection.</x:v>
      </x:c>
      <x:c r="Q263" s="27" t="str">
        <x:v>S18-READ-01</x:v>
      </x:c>
      <x:c r="R263" s="27" t="str">
        <x:v>Evaluates a claim or effect using multiple specific author/design choices.</x:v>
      </x:c>
      <x:c r="S263" s="27" t="str">
        <x:v>SRC10; SRC20</x:v>
      </x:c>
      <x:c r="T263" s="27" t="str">
        <x:v>Development varies; use observed performance and appropriate supports rather than age alone.</x:v>
      </x:c>
      <x:c r="U263" s="27" t="str"/>
      <x:c r="V263" s="27" t="str"/>
      <x:c r="W263" s="39" t="str"/>
      <x:c r="X263" s="39" t="str"/>
    </x:row>
    <x:row r="264">
      <x:c r="A264" s="27" t="str">
        <x:v>S17-WRITE-01</x:v>
      </x:c>
      <x:c r="B264" s="37" t="n">
        <x:v>260</x:v>
      </x:c>
      <x:c r="C264" s="27" t="str">
        <x:v>S17</x:v>
      </x:c>
      <x:c r="D264" s="37" t="n">
        <x:v>17</x:v>
      </x:c>
      <x:c r="E264" s="27" t="str">
        <x:v>Grade 5</x:v>
      </x:c>
      <x:c r="F264" s="27" t="str">
        <x:v>5</x:v>
      </x:c>
      <x:c r="G264" s="27" t="str">
        <x:v>Fraction operations, volume, and independent research</x:v>
      </x:c>
      <x:c r="H264" s="27" t="str">
        <x:v>Writing &amp; Language</x:v>
      </x:c>
      <x:c r="I264" s="27" t="str">
        <x:v>Argument and explanation</x:v>
      </x:c>
      <x:c r="J264" s="27" t="str">
        <x:v>Thesis/claim, evidence, reasoning, and counterpoint introduction</x:v>
      </x:c>
      <x:c r="K264" s="27" t="str">
        <x:v>Organizing a clear position or explanation with relevant evidence, reasoning that connects evidence to claim, transitions, and an appropriate conclusion; acknowledging another view where suitable.</x:v>
      </x:c>
      <x:c r="L264" s="27" t="str">
        <x:v>Multi-paragraph composition, evidence paragraphs, and perspective disagreement.</x:v>
      </x:c>
      <x:c r="M264" s="27" t="str">
        <x:v>S16-WRITE-03</x:v>
      </x:c>
      <x:c r="N264" s="27" t="str">
        <x:v>G4/G5 — Concrete model linked to coordinated representations</x:v>
      </x:c>
      <x:c r="O264" s="27" t="str">
        <x:v>Reading models; evidence from science/social studies; mathematical explanation; research, media, and presentation.</x:v>
      </x:c>
      <x:c r="P264" s="27" t="str">
        <x:v>Claim-evidence-reasoning is the central unit for secondary academic writing.</x:v>
      </x:c>
      <x:c r="Q264" s="27" t="str">
        <x:v>S17-WRITE-02</x:v>
      </x:c>
      <x:c r="R264" s="27" t="str">
        <x:v>Writes a sustained response in which cited evidence is explicitly explained.</x:v>
      </x:c>
      <x:c r="S264" s="27" t="str">
        <x:v>SRC10; SRC21</x:v>
      </x:c>
      <x:c r="T264" s="27" t="str">
        <x:v>Development varies; use observed performance and appropriate supports rather than age alone.</x:v>
      </x:c>
      <x:c r="U264" s="27" t="str"/>
      <x:c r="V264" s="27" t="str"/>
      <x:c r="W264" s="39" t="str"/>
      <x:c r="X264" s="39" t="str"/>
    </x:row>
    <x:row r="265">
      <x:c r="A265" s="27" t="str">
        <x:v>S17-WRITE-02</x:v>
      </x:c>
      <x:c r="B265" s="37" t="n">
        <x:v>261</x:v>
      </x:c>
      <x:c r="C265" s="27" t="str">
        <x:v>S17</x:v>
      </x:c>
      <x:c r="D265" s="37" t="n">
        <x:v>17</x:v>
      </x:c>
      <x:c r="E265" s="27" t="str">
        <x:v>Grade 5</x:v>
      </x:c>
      <x:c r="F265" s="27" t="str">
        <x:v>5</x:v>
      </x:c>
      <x:c r="G265" s="27" t="str">
        <x:v>Fraction operations, volume, and independent research</x:v>
      </x:c>
      <x:c r="H265" s="27" t="str">
        <x:v>Writing &amp; Language</x:v>
      </x:c>
      <x:c r="I265" s="27" t="str">
        <x:v>Narrative craft</x:v>
      </x:c>
      <x:c r="J265" s="27" t="str">
        <x:v>Scene, pacing, dialogue, description, and reflection</x:v>
      </x:c>
      <x:c r="K265" s="27" t="str">
        <x:v>Selecting events and using narrative techniques to develop experience, sequence, character, and significance.</x:v>
      </x:c>
      <x:c r="L265" s="27" t="str">
        <x:v>Grade 4 multi-paragraph organization and literature analysis.</x:v>
      </x:c>
      <x:c r="M265" s="27" t="str">
        <x:v>S17-WRITE-01</x:v>
      </x:c>
      <x:c r="N265" s="27" t="str">
        <x:v>G4/G5 — Concrete model linked to coordinated representations</x:v>
      </x:c>
      <x:c r="O265" s="27" t="str">
        <x:v>Reading models; evidence from science/social studies; mathematical explanation; research, media, and presentation.</x:v>
      </x:c>
      <x:c r="P265" s="27" t="str">
        <x:v>Controlled narrative choices prepare literary writing and historical/personal accounts.</x:v>
      </x:c>
      <x:c r="Q265" s="27" t="str">
        <x:v>S17-WRITE-03</x:v>
      </x:c>
      <x:c r="R265" s="27" t="str">
        <x:v>Creates a coherent narrative with deliberate pacing and at least two effective techniques.</x:v>
      </x:c>
      <x:c r="S265" s="27" t="str">
        <x:v>SRC10; SRC21</x:v>
      </x:c>
      <x:c r="T265" s="27" t="str">
        <x:v>Development varies; use observed performance and appropriate supports rather than age alone.</x:v>
      </x:c>
      <x:c r="U265" s="27" t="str"/>
      <x:c r="V265" s="27" t="str"/>
      <x:c r="W265" s="39" t="str"/>
      <x:c r="X265" s="39" t="str"/>
    </x:row>
    <x:row r="266">
      <x:c r="A266" s="27" t="str">
        <x:v>S17-WRITE-03</x:v>
      </x:c>
      <x:c r="B266" s="37" t="n">
        <x:v>262</x:v>
      </x:c>
      <x:c r="C266" s="27" t="str">
        <x:v>S17</x:v>
      </x:c>
      <x:c r="D266" s="37" t="n">
        <x:v>17</x:v>
      </x:c>
      <x:c r="E266" s="27" t="str">
        <x:v>Grade 5</x:v>
      </x:c>
      <x:c r="F266" s="27" t="str">
        <x:v>5</x:v>
      </x:c>
      <x:c r="G266" s="27" t="str">
        <x:v>Fraction operations, volume, and independent research</x:v>
      </x:c>
      <x:c r="H266" s="27" t="str">
        <x:v>Writing &amp; Language</x:v>
      </x:c>
      <x:c r="I266" s="27" t="str">
        <x:v>Research</x:v>
      </x:c>
      <x:c r="J266" s="27" t="str">
        <x:v>Independent short inquiry and citation record</x:v>
      </x:c>
      <x:c r="K266" s="27" t="str">
        <x:v>Developing a focused question, locating several relevant sources, taking paraphrased/quoted notes, assessing basic credibility, synthesizing findings, and maintaining a consistent source list.</x:v>
      </x:c>
      <x:c r="L266" s="27" t="str">
        <x:v>Grade 4 quote/paraphrase, source viewpoint, project planning, and synthesis.</x:v>
      </x:c>
      <x:c r="M266" s="27" t="str">
        <x:v>S17-WRITE-02</x:v>
      </x:c>
      <x:c r="N266" s="27" t="str">
        <x:v>G4/G5 — Concrete model linked to coordinated representations</x:v>
      </x:c>
      <x:c r="O266" s="27" t="str">
        <x:v>Reading models; evidence from science/social studies; mathematical explanation; research, media, and presentation.</x:v>
      </x:c>
      <x:c r="P266" s="27" t="str">
        <x:v>A complete source trail makes research auditable and prepares formal citation systems.</x:v>
      </x:c>
      <x:c r="Q266" s="27" t="str">
        <x:v>S17-WRITE-04</x:v>
      </x:c>
      <x:c r="R266" s="27" t="str">
        <x:v>Submits a question, search/source log, organized notes, synthesis, and matching source list.</x:v>
      </x:c>
      <x:c r="S266" s="27" t="str">
        <x:v>SRC10; SRC21</x:v>
      </x:c>
      <x:c r="T266" s="27" t="str">
        <x:v>Development varies; use observed performance and appropriate supports rather than age alone.</x:v>
      </x:c>
      <x:c r="U266" s="27" t="str"/>
      <x:c r="V266" s="27" t="str"/>
      <x:c r="W266" s="39" t="str"/>
      <x:c r="X266" s="39" t="str"/>
    </x:row>
    <x:row r="267">
      <x:c r="A267" s="27" t="str">
        <x:v>S17-WRITE-04</x:v>
      </x:c>
      <x:c r="B267" s="37" t="n">
        <x:v>263</x:v>
      </x:c>
      <x:c r="C267" s="27" t="str">
        <x:v>S17</x:v>
      </x:c>
      <x:c r="D267" s="37" t="n">
        <x:v>17</x:v>
      </x:c>
      <x:c r="E267" s="27" t="str">
        <x:v>Grade 5</x:v>
      </x:c>
      <x:c r="F267" s="27" t="str">
        <x:v>5</x:v>
      </x:c>
      <x:c r="G267" s="27" t="str">
        <x:v>Fraction operations, volume, and independent research</x:v>
      </x:c>
      <x:c r="H267" s="27" t="str">
        <x:v>Writing &amp; Language</x:v>
      </x:c>
      <x:c r="I267" s="27" t="str">
        <x:v>Language</x:v>
      </x:c>
      <x:c r="J267" s="27" t="str">
        <x:v>Sentence expansion and style control</x:v>
      </x:c>
      <x:c r="K267" s="27" t="str">
        <x:v>Using phrases/clauses, varied sentence openings and lengths, precise domain vocabulary, and conventionally controlled punctuation to match purpose.</x:v>
      </x:c>
      <x:c r="L267" s="27" t="str">
        <x:v>Grade 4 coherence revision, morphology, and grammar consolidation.</x:v>
      </x:c>
      <x:c r="M267" s="27" t="str">
        <x:v>S17-WRITE-03</x:v>
      </x:c>
      <x:c r="N267" s="27" t="str">
        <x:v>G4/G5 — Concrete model linked to coordinated representations</x:v>
      </x:c>
      <x:c r="O267" s="27" t="str">
        <x:v>Reading models; evidence from science/social studies; mathematical explanation; research, media, and presentation.</x:v>
      </x:c>
      <x:c r="P267" s="27" t="str">
        <x:v>Syntactic flexibility supports dense disciplinary ideas and intentional style.</x:v>
      </x:c>
      <x:c r="Q267" s="27" t="str">
        <x:v>S18-WRITE-01</x:v>
      </x:c>
      <x:c r="R267" s="27" t="str">
        <x:v>Revises a passage to improve precision, emphasis, and flow without changing its core claim.</x:v>
      </x:c>
      <x:c r="S267" s="27" t="str">
        <x:v>SRC10; SRC21</x:v>
      </x:c>
      <x:c r="T267" s="27" t="str">
        <x:v>Development varies; use observed performance and appropriate supports rather than age alone.</x:v>
      </x:c>
      <x:c r="U267" s="27" t="str"/>
      <x:c r="V267" s="27" t="str"/>
      <x:c r="W267" s="39" t="str"/>
      <x:c r="X267" s="39" t="str"/>
    </x:row>
    <x:row r="268">
      <x:c r="A268" s="27" t="str">
        <x:v>S17-MATH-01</x:v>
      </x:c>
      <x:c r="B268" s="37" t="n">
        <x:v>264</x:v>
      </x:c>
      <x:c r="C268" s="27" t="str">
        <x:v>S17</x:v>
      </x:c>
      <x:c r="D268" s="37" t="n">
        <x:v>17</x:v>
      </x:c>
      <x:c r="E268" s="27" t="str">
        <x:v>Grade 5</x:v>
      </x:c>
      <x:c r="F268" s="27" t="str">
        <x:v>5</x:v>
      </x:c>
      <x:c r="G268" s="27" t="str">
        <x:v>Fraction operations, volume, and independent research</x:v>
      </x:c>
      <x:c r="H268" s="27" t="str">
        <x:v>Mathematics</x:v>
      </x:c>
      <x:c r="I268" s="27" t="str">
        <x:v>Place value and decimals</x:v>
      </x:c>
      <x:c r="J268" s="27" t="str">
        <x:v>Base-ten system through thousandths</x:v>
      </x:c>
      <x:c r="K268" s="27" t="str">
        <x:v>Reading, writing, comparing, rounding, and operating with decimals to hundredths (and understanding place to thousandths) using place-value reasoning.</x:v>
      </x:c>
      <x:c r="L268" s="27" t="str">
        <x:v>Grade 4 decimals/fractions and multi-digit algorithms.</x:v>
      </x:c>
      <x:c r="M268" s="27" t="str">
        <x:v>S16-MATH-07</x:v>
      </x:c>
      <x:c r="N268" s="27" t="str">
        <x:v>G4/G5 — Concrete model linked to coordinated representations</x:v>
      </x:c>
      <x:c r="O268" s="27" t="str">
        <x:v>Physical quantity and spatial action; science measurement/models; computing/algorithms; finance; music rhythm/pattern; geographic data.</x:v>
      </x:c>
      <x:c r="P268" s="27" t="str">
        <x:v>Decimal operations support measurement, finance, statistics, and algebraic rational numbers.</x:v>
      </x:c>
      <x:c r="Q268" s="27" t="str">
        <x:v>S17-MATH-02</x:v>
      </x:c>
      <x:c r="R268" s="27" t="str">
        <x:v>Represents and computes with decimals, labels units, and checks reasonableness by estimation.</x:v>
      </x:c>
      <x:c r="S268" s="27" t="str">
        <x:v>SRC09</x:v>
      </x:c>
      <x:c r="T268" s="27" t="str">
        <x:v>Development varies; use observed performance and appropriate supports rather than age alone.</x:v>
      </x:c>
      <x:c r="U268" s="27" t="str"/>
      <x:c r="V268" s="27" t="str"/>
      <x:c r="W268" s="39" t="str"/>
      <x:c r="X268" s="39" t="str"/>
    </x:row>
    <x:row r="269">
      <x:c r="A269" s="27" t="str">
        <x:v>S17-MATH-02</x:v>
      </x:c>
      <x:c r="B269" s="37" t="n">
        <x:v>265</x:v>
      </x:c>
      <x:c r="C269" s="27" t="str">
        <x:v>S17</x:v>
      </x:c>
      <x:c r="D269" s="37" t="n">
        <x:v>17</x:v>
      </x:c>
      <x:c r="E269" s="27" t="str">
        <x:v>Grade 5</x:v>
      </x:c>
      <x:c r="F269" s="27" t="str">
        <x:v>5</x:v>
      </x:c>
      <x:c r="G269" s="27" t="str">
        <x:v>Fraction operations, volume, and independent research</x:v>
      </x:c>
      <x:c r="H269" s="27" t="str">
        <x:v>Mathematics</x:v>
      </x:c>
      <x:c r="I269" s="27" t="str">
        <x:v>Whole-number operations</x:v>
      </x:c>
      <x:c r="J269" s="27" t="str">
        <x:v>Multi-digit fluency and division</x:v>
      </x:c>
      <x:c r="K269" s="27" t="str">
        <x:v>Fluently multiplying multi-digit whole numbers and dividing up to four-digit dividends by two-digit divisors using place-value-based algorithms.</x:v>
      </x:c>
      <x:c r="L269" s="27" t="str">
        <x:v>Grade 4 partial products/quotients, facts, and estimation.</x:v>
      </x:c>
      <x:c r="M269" s="27" t="str">
        <x:v>S17-MATH-01</x:v>
      </x:c>
      <x:c r="N269" s="27" t="str">
        <x:v>G4/G5 — Concrete model linked to coordinated representations</x:v>
      </x:c>
      <x:c r="O269" s="27" t="str">
        <x:v>Physical quantity and spatial action; science measurement/models; computing/algorithms; finance; music rhythm/pattern; geographic data.</x:v>
      </x:c>
      <x:c r="P269" s="27" t="str">
        <x:v>Reliable operations remove a procedural bottleneck for fractions, ratios, and algebra.</x:v>
      </x:c>
      <x:c r="Q269" s="27" t="str">
        <x:v>S17-MATH-03</x:v>
      </x:c>
      <x:c r="R269" s="27" t="str">
        <x:v>Solves, estimates, and explains a multi-digit result using place-value units.</x:v>
      </x:c>
      <x:c r="S269" s="27" t="str">
        <x:v>SRC09</x:v>
      </x:c>
      <x:c r="T269" s="27" t="str">
        <x:v>Development varies; use observed performance and appropriate supports rather than age alone.</x:v>
      </x:c>
      <x:c r="U269" s="27" t="str"/>
      <x:c r="V269" s="27" t="str"/>
      <x:c r="W269" s="39" t="str"/>
      <x:c r="X269" s="39" t="str"/>
    </x:row>
    <x:row r="270">
      <x:c r="A270" s="27" t="str">
        <x:v>S17-MATH-03</x:v>
      </x:c>
      <x:c r="B270" s="37" t="n">
        <x:v>266</x:v>
      </x:c>
      <x:c r="C270" s="27" t="str">
        <x:v>S17</x:v>
      </x:c>
      <x:c r="D270" s="37" t="n">
        <x:v>17</x:v>
      </x:c>
      <x:c r="E270" s="27" t="str">
        <x:v>Grade 5</x:v>
      </x:c>
      <x:c r="F270" s="27" t="str">
        <x:v>5</x:v>
      </x:c>
      <x:c r="G270" s="27" t="str">
        <x:v>Fraction operations, volume, and independent research</x:v>
      </x:c>
      <x:c r="H270" s="27" t="str">
        <x:v>Mathematics</x:v>
      </x:c>
      <x:c r="I270" s="27" t="str">
        <x:v>Fractions</x:v>
      </x:c>
      <x:c r="J270" s="27" t="str">
        <x:v>Add/subtract unlike denominators</x:v>
      </x:c>
      <x:c r="K270" s="27" t="str">
        <x:v>Generating common equivalent units to add and subtract fractions and mixed numbers with unlike denominators.</x:v>
      </x:c>
      <x:c r="L270" s="27" t="str">
        <x:v>Grade 4 equivalence, factors/multiples, and like-denominator operations.</x:v>
      </x:c>
      <x:c r="M270" s="27" t="str">
        <x:v>S17-MATH-02</x:v>
      </x:c>
      <x:c r="N270" s="27" t="str">
        <x:v>G4/G5 — Concrete model linked to coordinated representations</x:v>
      </x:c>
      <x:c r="O270" s="27" t="str">
        <x:v>Physical quantity and spatial action; science measurement/models; computing/algorithms; finance; music rhythm/pattern; geographic data.</x:v>
      </x:c>
      <x:c r="P270" s="27" t="str">
        <x:v>Common units are logically required before quantities expressed in unlike fractional units can combine.</x:v>
      </x:c>
      <x:c r="Q270" s="27" t="str">
        <x:v>S17-MATH-04</x:v>
      </x:c>
      <x:c r="R270" s="27" t="str">
        <x:v>Finds a common denominator, computes, and explains the equivalent-unit transformation.</x:v>
      </x:c>
      <x:c r="S270" s="27" t="str">
        <x:v>SRC09</x:v>
      </x:c>
      <x:c r="T270" s="27" t="str">
        <x:v>Development varies; use observed performance and appropriate supports rather than age alone.</x:v>
      </x:c>
      <x:c r="U270" s="27" t="str"/>
      <x:c r="V270" s="27" t="str"/>
      <x:c r="W270" s="39" t="str"/>
      <x:c r="X270" s="39" t="str"/>
    </x:row>
    <x:row r="271">
      <x:c r="A271" s="27" t="str">
        <x:v>S17-MATH-04</x:v>
      </x:c>
      <x:c r="B271" s="37" t="n">
        <x:v>267</x:v>
      </x:c>
      <x:c r="C271" s="27" t="str">
        <x:v>S17</x:v>
      </x:c>
      <x:c r="D271" s="37" t="n">
        <x:v>17</x:v>
      </x:c>
      <x:c r="E271" s="27" t="str">
        <x:v>Grade 5</x:v>
      </x:c>
      <x:c r="F271" s="27" t="str">
        <x:v>5</x:v>
      </x:c>
      <x:c r="G271" s="27" t="str">
        <x:v>Fraction operations, volume, and independent research</x:v>
      </x:c>
      <x:c r="H271" s="27" t="str">
        <x:v>Mathematics</x:v>
      </x:c>
      <x:c r="I271" s="27" t="str">
        <x:v>Fractions</x:v>
      </x:c>
      <x:c r="J271" s="27" t="str">
        <x:v>Multiply fractions and scale</x:v>
      </x:c>
      <x:c r="K271" s="27" t="str">
        <x:v>Interpreting multiplication as scaling and area, multiplying fractions/mixed numbers, and predicting whether a factor makes a positive quantity larger or smaller.</x:v>
      </x:c>
      <x:c r="L271" s="27" t="str">
        <x:v>Grade 4 fraction×whole and area models.</x:v>
      </x:c>
      <x:c r="M271" s="27" t="str">
        <x:v>S17-MATH-03</x:v>
      </x:c>
      <x:c r="N271" s="27" t="str">
        <x:v>G4/G5 — Concrete model linked to coordinated representations</x:v>
      </x:c>
      <x:c r="O271" s="27" t="str">
        <x:v>Physical quantity and spatial action; science measurement/models; computing/algorithms; finance; music rhythm/pattern; geographic data.</x:v>
      </x:c>
      <x:c r="P271" s="27" t="str">
        <x:v>Scaling generalizes multiplication and prepares ratios, similarity, probability, and algebra.</x:v>
      </x:c>
      <x:c r="Q271" s="27" t="str">
        <x:v>S17-MATH-05</x:v>
      </x:c>
      <x:c r="R271" s="27" t="str">
        <x:v>Models a product, calculates it, and explains its size relative to a factor.</x:v>
      </x:c>
      <x:c r="S271" s="27" t="str">
        <x:v>SRC09</x:v>
      </x:c>
      <x:c r="T271" s="27" t="str">
        <x:v>Development varies; use observed performance and appropriate supports rather than age alone.</x:v>
      </x:c>
      <x:c r="U271" s="27" t="str"/>
      <x:c r="V271" s="27" t="str"/>
      <x:c r="W271" s="39" t="str"/>
      <x:c r="X271" s="39" t="str"/>
    </x:row>
    <x:row r="272">
      <x:c r="A272" s="27" t="str">
        <x:v>S17-MATH-05</x:v>
      </x:c>
      <x:c r="B272" s="37" t="n">
        <x:v>268</x:v>
      </x:c>
      <x:c r="C272" s="27" t="str">
        <x:v>S17</x:v>
      </x:c>
      <x:c r="D272" s="37" t="n">
        <x:v>17</x:v>
      </x:c>
      <x:c r="E272" s="27" t="str">
        <x:v>Grade 5</x:v>
      </x:c>
      <x:c r="F272" s="27" t="str">
        <x:v>5</x:v>
      </x:c>
      <x:c r="G272" s="27" t="str">
        <x:v>Fraction operations, volume, and independent research</x:v>
      </x:c>
      <x:c r="H272" s="27" t="str">
        <x:v>Mathematics</x:v>
      </x:c>
      <x:c r="I272" s="27" t="str">
        <x:v>Fractions</x:v>
      </x:c>
      <x:c r="J272" s="27" t="str">
        <x:v>Divide unit fractions and whole numbers</x:v>
      </x:c>
      <x:c r="K272" s="27" t="str">
        <x:v>Interpreting and solving cases of a unit fraction divided by a whole number and a whole number divided by a unit fraction.</x:v>
      </x:c>
      <x:c r="L272" s="27" t="str">
        <x:v>Fraction meaning, division meanings, and multiplication inverse.</x:v>
      </x:c>
      <x:c r="M272" s="27" t="str">
        <x:v>S17-MATH-04</x:v>
      </x:c>
      <x:c r="N272" s="27" t="str">
        <x:v>G4/G5 — Concrete model linked to coordinated representations</x:v>
      </x:c>
      <x:c r="O272" s="27" t="str">
        <x:v>Physical quantity and spatial action; science measurement/models; computing/algorithms; finance; music rhythm/pattern; geographic data.</x:v>
      </x:c>
      <x:c r="P272" s="27" t="str">
        <x:v>These cases introduce division with fractional units before full Grade 6 generalization.</x:v>
      </x:c>
      <x:c r="Q272" s="27" t="str">
        <x:v>S17-MATH-06</x:v>
      </x:c>
      <x:c r="R272" s="27" t="str">
        <x:v>Uses a model/equation to explain how many fractional groups or how a fraction is shared.</x:v>
      </x:c>
      <x:c r="S272" s="27" t="str">
        <x:v>SRC09</x:v>
      </x:c>
      <x:c r="T272" s="27" t="str">
        <x:v>Development varies; use observed performance and appropriate supports rather than age alone.</x:v>
      </x:c>
      <x:c r="U272" s="27" t="str"/>
      <x:c r="V272" s="27" t="str"/>
      <x:c r="W272" s="39" t="str"/>
      <x:c r="X272" s="39" t="str"/>
    </x:row>
    <x:row r="273">
      <x:c r="A273" s="27" t="str">
        <x:v>S17-MATH-06</x:v>
      </x:c>
      <x:c r="B273" s="37" t="n">
        <x:v>269</x:v>
      </x:c>
      <x:c r="C273" s="27" t="str">
        <x:v>S17</x:v>
      </x:c>
      <x:c r="D273" s="37" t="n">
        <x:v>17</x:v>
      </x:c>
      <x:c r="E273" s="27" t="str">
        <x:v>Grade 5</x:v>
      </x:c>
      <x:c r="F273" s="27" t="str">
        <x:v>5</x:v>
      </x:c>
      <x:c r="G273" s="27" t="str">
        <x:v>Fraction operations, volume, and independent research</x:v>
      </x:c>
      <x:c r="H273" s="27" t="str">
        <x:v>Mathematics</x:v>
      </x:c>
      <x:c r="I273" s="27" t="str">
        <x:v>Expressions and patterns</x:v>
      </x:c>
      <x:c r="J273" s="27" t="str">
        <x:v>Numerical expressions and coordinate relationships</x:v>
      </x:c>
      <x:c r="K273" s="27" t="str">
        <x:v>Using parentheses/brackets/braces, writing/interpreting numerical expressions, generating two numerical patterns, and graphing ordered pairs in the first quadrant.</x:v>
      </x:c>
      <x:c r="L273" s="27" t="str">
        <x:v>Grade 4 number patterns, operation properties, and spatial axes.</x:v>
      </x:c>
      <x:c r="M273" s="27" t="str">
        <x:v>S17-MATH-05</x:v>
      </x:c>
      <x:c r="N273" s="27" t="str">
        <x:v>G4/G5 — Concrete model linked to coordinated representations</x:v>
      </x:c>
      <x:c r="O273" s="27" t="str">
        <x:v>Physical quantity and spatial action; science measurement/models; computing/algorithms; finance; music rhythm/pattern; geographic data.</x:v>
      </x:c>
      <x:c r="P273" s="27" t="str">
        <x:v>Expressions separate structure from computation; coordinate graphs prepare functions.</x:v>
      </x:c>
      <x:c r="Q273" s="27" t="str">
        <x:v>S17-MATH-07</x:v>
      </x:c>
      <x:c r="R273" s="27" t="str">
        <x:v>Writes an expression from words and explains the relationship visible in paired patterns/graph.</x:v>
      </x:c>
      <x:c r="S273" s="27" t="str">
        <x:v>SRC09</x:v>
      </x:c>
      <x:c r="T273" s="27" t="str">
        <x:v>Development varies; use observed performance and appropriate supports rather than age alone.</x:v>
      </x:c>
      <x:c r="U273" s="27" t="str"/>
      <x:c r="V273" s="27" t="str"/>
      <x:c r="W273" s="39" t="str"/>
      <x:c r="X273" s="39" t="str"/>
    </x:row>
    <x:row r="274">
      <x:c r="A274" s="27" t="str">
        <x:v>S17-MATH-07</x:v>
      </x:c>
      <x:c r="B274" s="37" t="n">
        <x:v>270</x:v>
      </x:c>
      <x:c r="C274" s="27" t="str">
        <x:v>S17</x:v>
      </x:c>
      <x:c r="D274" s="37" t="n">
        <x:v>17</x:v>
      </x:c>
      <x:c r="E274" s="27" t="str">
        <x:v>Grade 5</x:v>
      </x:c>
      <x:c r="F274" s="27" t="str">
        <x:v>5</x:v>
      </x:c>
      <x:c r="G274" s="27" t="str">
        <x:v>Fraction operations, volume, and independent research</x:v>
      </x:c>
      <x:c r="H274" s="27" t="str">
        <x:v>Mathematics</x:v>
      </x:c>
      <x:c r="I274" s="27" t="str">
        <x:v>Measurement and geometry</x:v>
      </x:c>
      <x:c r="J274" s="27" t="str">
        <x:v>Volume and coordinate classification</x:v>
      </x:c>
      <x:c r="K274" s="27" t="str">
        <x:v>Understanding volume as unit-cube iteration and multiplication, solving volume problems, converting units, and classifying 2D figures in a hierarchy.</x:v>
      </x:c>
      <x:c r="L274" s="27" t="str">
        <x:v>Area/multiplication, standard units, and Grade 4 shape categories.</x:v>
      </x:c>
      <x:c r="M274" s="27" t="str">
        <x:v>S17-MATH-06</x:v>
      </x:c>
      <x:c r="N274" s="27" t="str">
        <x:v>G4/G5 — Concrete model linked to coordinated representations</x:v>
      </x:c>
      <x:c r="O274" s="27" t="str">
        <x:v>Physical quantity and spatial action; science measurement/models; computing/algorithms; finance; music rhythm/pattern; geographic data.</x:v>
      </x:c>
      <x:c r="P274" s="27" t="str">
        <x:v>Volume extends multiplicative measurement to three dimensions; hierarchy supports logical implication.</x:v>
      </x:c>
      <x:c r="Q274" s="27" t="str">
        <x:v>S17-MATH-08</x:v>
      </x:c>
      <x:c r="R274" s="27" t="str">
        <x:v>Derives/uses a volume expression and explains why one figure can belong to nested categories.</x:v>
      </x:c>
      <x:c r="S274" s="27" t="str">
        <x:v>SRC09</x:v>
      </x:c>
      <x:c r="T274" s="27" t="str">
        <x:v>Development varies; use observed performance and appropriate supports rather than age alone.</x:v>
      </x:c>
      <x:c r="U274" s="27" t="str"/>
      <x:c r="V274" s="27" t="str"/>
      <x:c r="W274" s="39" t="str"/>
      <x:c r="X274" s="39" t="str"/>
    </x:row>
    <x:row r="275">
      <x:c r="A275" s="27" t="str">
        <x:v>S17-MATH-08</x:v>
      </x:c>
      <x:c r="B275" s="37" t="n">
        <x:v>271</x:v>
      </x:c>
      <x:c r="C275" s="27" t="str">
        <x:v>S17</x:v>
      </x:c>
      <x:c r="D275" s="37" t="n">
        <x:v>17</x:v>
      </x:c>
      <x:c r="E275" s="27" t="str">
        <x:v>Grade 5</x:v>
      </x:c>
      <x:c r="F275" s="27" t="str">
        <x:v>5</x:v>
      </x:c>
      <x:c r="G275" s="27" t="str">
        <x:v>Fraction operations, volume, and independent research</x:v>
      </x:c>
      <x:c r="H275" s="27" t="str">
        <x:v>Mathematics</x:v>
      </x:c>
      <x:c r="I275" s="27" t="str">
        <x:v>Data</x:v>
      </x:c>
      <x:c r="J275" s="27" t="str">
        <x:v>Fractional line plots and data questions</x:v>
      </x:c>
      <x:c r="K275" s="27" t="str">
        <x:v>Representing measurement data including fractional values and solving problems by operating on values in the display.</x:v>
      </x:c>
      <x:c r="L275" s="27" t="str">
        <x:v>Grade 3/4 line plots and fraction operations.</x:v>
      </x:c>
      <x:c r="M275" s="27" t="str">
        <x:v>S17-MATH-07</x:v>
      </x:c>
      <x:c r="N275" s="27" t="str">
        <x:v>G4/G5 — Concrete model linked to coordinated representations</x:v>
      </x:c>
      <x:c r="O275" s="27" t="str">
        <x:v>Physical quantity and spatial action; science measurement/models; computing/algorithms; finance; music rhythm/pattern; geographic data.</x:v>
      </x:c>
      <x:c r="P275" s="27" t="str">
        <x:v>Operating on a dataset prepares center, variability, and statistical questions.</x:v>
      </x:c>
      <x:c r="Q275" s="27" t="str">
        <x:v>S18-MATH-01</x:v>
      </x:c>
      <x:c r="R275" s="27" t="str">
        <x:v>Constructs a line plot and answers a question requiring fraction calculation across observations.</x:v>
      </x:c>
      <x:c r="S275" s="27" t="str">
        <x:v>SRC09</x:v>
      </x:c>
      <x:c r="T275" s="27" t="str">
        <x:v>Development varies; use observed performance and appropriate supports rather than age alone.</x:v>
      </x:c>
      <x:c r="U275" s="27" t="str"/>
      <x:c r="V275" s="27" t="str"/>
      <x:c r="W275" s="39" t="str"/>
      <x:c r="X275" s="39" t="str"/>
    </x:row>
    <x:row r="276">
      <x:c r="A276" s="27" t="str">
        <x:v>S17-SCI-01</x:v>
      </x:c>
      <x:c r="B276" s="37" t="n">
        <x:v>272</x:v>
      </x:c>
      <x:c r="C276" s="27" t="str">
        <x:v>S17</x:v>
      </x:c>
      <x:c r="D276" s="37" t="n">
        <x:v>17</x:v>
      </x:c>
      <x:c r="E276" s="27" t="str">
        <x:v>Grade 5</x:v>
      </x:c>
      <x:c r="F276" s="27" t="str">
        <x:v>5</x:v>
      </x:c>
      <x:c r="G276" s="27" t="str">
        <x:v>Fraction operations, volume, and independent research</x:v>
      </x:c>
      <x:c r="H276" s="27" t="str">
        <x:v>Science &amp; Engineering</x:v>
      </x:c>
      <x:c r="I276" s="27" t="str">
        <x:v>Physical science</x:v>
      </x:c>
      <x:c r="J276" s="27" t="str">
        <x:v>Matter conservation and chemical change evidence</x:v>
      </x:c>
      <x:c r="K276" s="27" t="str">
        <x:v>Modeling particles qualitatively, measuring to show conservation of matter, identifying substances by properties, and using evidence of new substances.</x:v>
      </x:c>
      <x:c r="L276" s="27" t="str">
        <x:v>Grade 2 matter/properties, Grade 4 energy, volume, and decimal measurement.</x:v>
      </x:c>
      <x:c r="M276" s="27" t="str">
        <x:v>S16-SCI-03</x:v>
      </x:c>
      <x:c r="N276" s="27" t="str">
        <x:v>G4/G5 — Concrete model linked to coordinated representations</x:v>
      </x:c>
      <x:c r="O276" s="27" t="str">
        <x:v>Sensory observation and action; mathematics/data; reading/writing evidence; computing/models; health and environmental/civic decisions.</x:v>
      </x:c>
      <x:c r="P276" s="27" t="str">
        <x:v>Conservation and particle models prepare middle-school chemistry.</x:v>
      </x:c>
      <x:c r="Q276" s="27" t="str">
        <x:v>S17-SCI-02</x:v>
      </x:c>
      <x:c r="R276" s="27" t="str">
        <x:v>Uses measured data and observations to defend whether matter was conserved and a new substance formed.</x:v>
      </x:c>
      <x:c r="S276" s="27" t="str">
        <x:v>SRC11</x:v>
      </x:c>
      <x:c r="T276" s="27" t="str">
        <x:v>Development varies; use observed performance and appropriate supports rather than age alone.</x:v>
      </x:c>
      <x:c r="U276" s="27" t="str"/>
      <x:c r="V276" s="27" t="str"/>
      <x:c r="W276" s="39" t="str"/>
      <x:c r="X276" s="39" t="str"/>
    </x:row>
    <x:row r="277">
      <x:c r="A277" s="27" t="str">
        <x:v>S17-SCI-02</x:v>
      </x:c>
      <x:c r="B277" s="37" t="n">
        <x:v>273</x:v>
      </x:c>
      <x:c r="C277" s="27" t="str">
        <x:v>S17</x:v>
      </x:c>
      <x:c r="D277" s="37" t="n">
        <x:v>17</x:v>
      </x:c>
      <x:c r="E277" s="27" t="str">
        <x:v>Grade 5</x:v>
      </x:c>
      <x:c r="F277" s="27" t="str">
        <x:v>5</x:v>
      </x:c>
      <x:c r="G277" s="27" t="str">
        <x:v>Fraction operations, volume, and independent research</x:v>
      </x:c>
      <x:c r="H277" s="27" t="str">
        <x:v>Science &amp; Engineering</x:v>
      </x:c>
      <x:c r="I277" s="27" t="str">
        <x:v>Life science</x:v>
      </x:c>
      <x:c r="J277" s="27" t="str">
        <x:v>Matter and energy in organisms/ecosystems</x:v>
      </x:c>
      <x:c r="K277" s="27" t="str">
        <x:v>Modeling how plants obtain materials for growth and how matter moves among organisms and the environment while energy originates largely from the sun.</x:v>
      </x:c>
      <x:c r="L277" s="27" t="str">
        <x:v>Ecosystem needs/relationships, structure-function, and fraction/flow models.</x:v>
      </x:c>
      <x:c r="M277" s="27" t="str">
        <x:v>S17-SCI-01</x:v>
      </x:c>
      <x:c r="N277" s="27" t="str">
        <x:v>G4/G5 — Concrete model linked to coordinated representations</x:v>
      </x:c>
      <x:c r="O277" s="27" t="str">
        <x:v>Sensory observation and action; mathematics/data; reading/writing evidence; computing/models; health and environmental/civic decisions.</x:v>
      </x:c>
      <x:c r="P277" s="27" t="str">
        <x:v>Matter cycling and energy flow become the organizing ecosystem model.</x:v>
      </x:c>
      <x:c r="Q277" s="27" t="str">
        <x:v>S17-SCI-03</x:v>
      </x:c>
      <x:c r="R277" s="27" t="str">
        <x:v>Traces a material and energy pathway through a food-web or plant-growth model.</x:v>
      </x:c>
      <x:c r="S277" s="27" t="str">
        <x:v>SRC11</x:v>
      </x:c>
      <x:c r="T277" s="27" t="str">
        <x:v>Development varies; use observed performance and appropriate supports rather than age alone.</x:v>
      </x:c>
      <x:c r="U277" s="27" t="str"/>
      <x:c r="V277" s="27" t="str"/>
      <x:c r="W277" s="39" t="str"/>
      <x:c r="X277" s="39" t="str"/>
    </x:row>
    <x:row r="278">
      <x:c r="A278" s="27" t="str">
        <x:v>S17-SCI-03</x:v>
      </x:c>
      <x:c r="B278" s="37" t="n">
        <x:v>274</x:v>
      </x:c>
      <x:c r="C278" s="27" t="str">
        <x:v>S17</x:v>
      </x:c>
      <x:c r="D278" s="37" t="n">
        <x:v>17</x:v>
      </x:c>
      <x:c r="E278" s="27" t="str">
        <x:v>Grade 5</x:v>
      </x:c>
      <x:c r="F278" s="27" t="str">
        <x:v>5</x:v>
      </x:c>
      <x:c r="G278" s="27" t="str">
        <x:v>Fraction operations, volume, and independent research</x:v>
      </x:c>
      <x:c r="H278" s="27" t="str">
        <x:v>Science &amp; Engineering</x:v>
      </x:c>
      <x:c r="I278" s="27" t="str">
        <x:v>Earth and space</x:v>
      </x:c>
      <x:c r="J278" s="27" t="str">
        <x:v>Earth systems and space scale</x:v>
      </x:c>
      <x:c r="K278" s="27" t="str">
        <x:v>Modeling interactions among geosphere, hydrosphere, atmosphere, and biosphere; comparing water distribution; and using patterns to explain stars, sun, shadows, and orbits qualitatively.</x:v>
      </x:c>
      <x:c r="L278" s="27" t="str">
        <x:v>Grade 4 Earth processes, weather patterns, fractions, and scale reasoning.</x:v>
      </x:c>
      <x:c r="M278" s="27" t="str">
        <x:v>S17-SCI-02</x:v>
      </x:c>
      <x:c r="N278" s="27" t="str">
        <x:v>G4/G5 — Concrete model linked to coordinated representations</x:v>
      </x:c>
      <x:c r="O278" s="27" t="str">
        <x:v>Sensory observation and action; mathematics/data; reading/writing evidence; computing/models; health and environmental/civic decisions.</x:v>
      </x:c>
      <x:c r="P278" s="27" t="str">
        <x:v>Interacting Earth systems and astronomical patterns prepare dynamic-system study.</x:v>
      </x:c>
      <x:c r="Q278" s="27" t="str">
        <x:v>S17-SCI-04</x:v>
      </x:c>
      <x:c r="R278" s="27" t="str">
        <x:v>Uses a model/data to explain one system interaction or observed space pattern.</x:v>
      </x:c>
      <x:c r="S278" s="27" t="str">
        <x:v>SRC11</x:v>
      </x:c>
      <x:c r="T278" s="27" t="str">
        <x:v>Development varies; use observed performance and appropriate supports rather than age alone.</x:v>
      </x:c>
      <x:c r="U278" s="27" t="str"/>
      <x:c r="V278" s="27" t="str"/>
      <x:c r="W278" s="39" t="str"/>
      <x:c r="X278" s="39" t="str"/>
    </x:row>
    <x:row r="279">
      <x:c r="A279" s="27" t="str">
        <x:v>S17-SCI-04</x:v>
      </x:c>
      <x:c r="B279" s="37" t="n">
        <x:v>275</x:v>
      </x:c>
      <x:c r="C279" s="27" t="str">
        <x:v>S17</x:v>
      </x:c>
      <x:c r="D279" s="37" t="n">
        <x:v>17</x:v>
      </x:c>
      <x:c r="E279" s="27" t="str">
        <x:v>Grade 5</x:v>
      </x:c>
      <x:c r="F279" s="27" t="str">
        <x:v>5</x:v>
      </x:c>
      <x:c r="G279" s="27" t="str">
        <x:v>Fraction operations, volume, and independent research</x:v>
      </x:c>
      <x:c r="H279" s="27" t="str">
        <x:v>Science &amp; Engineering</x:v>
      </x:c>
      <x:c r="I279" s="27" t="str">
        <x:v>Engineering</x:v>
      </x:c>
      <x:c r="J279" s="27" t="str">
        <x:v>Criteria, constraints, prototypes, and fair tests</x:v>
      </x:c>
      <x:c r="K279" s="27" t="str">
        <x:v>Defining a problem, comparing solutions against criteria/constraints, building a model or prototype, and conducting fair tests with controlled changes.</x:v>
      </x:c>
      <x:c r="L279" s="27" t="str">
        <x:v>Grade 3/4 investigations, consequence analysis, and project planning.</x:v>
      </x:c>
      <x:c r="M279" s="27" t="str">
        <x:v>S17-SCI-03</x:v>
      </x:c>
      <x:c r="N279" s="27" t="str">
        <x:v>G4/G5 — Concrete model linked to coordinated representations</x:v>
      </x:c>
      <x:c r="O279" s="27" t="str">
        <x:v>Sensory observation and action; mathematics/data; reading/writing evidence; computing/models; health and environmental/civic decisions.</x:v>
      </x:c>
      <x:c r="P279" s="27" t="str">
        <x:v>Explicit criteria and controlled testing make design decisions evidence-based.</x:v>
      </x:c>
      <x:c r="Q279" s="27" t="str">
        <x:v>S18-SCI-01</x:v>
      </x:c>
      <x:c r="R279" s="27" t="str">
        <x:v>Documents requirements, test data, tradeoffs, and a justified revision.</x:v>
      </x:c>
      <x:c r="S279" s="27" t="str">
        <x:v>SRC11</x:v>
      </x:c>
      <x:c r="T279" s="27" t="str">
        <x:v>Development varies; use observed performance and appropriate supports rather than age alone.</x:v>
      </x:c>
      <x:c r="U279" s="27" t="str"/>
      <x:c r="V279" s="27" t="str"/>
      <x:c r="W279" s="39" t="str"/>
      <x:c r="X279" s="39" t="str"/>
    </x:row>
    <x:row r="280">
      <x:c r="A280" s="27" t="str">
        <x:v>S17-SST-01</x:v>
      </x:c>
      <x:c r="B280" s="37" t="n">
        <x:v>276</x:v>
      </x:c>
      <x:c r="C280" s="27" t="str">
        <x:v>S17</x:v>
      </x:c>
      <x:c r="D280" s="37" t="n">
        <x:v>17</x:v>
      </x:c>
      <x:c r="E280" s="27" t="str">
        <x:v>Grade 5</x:v>
      </x:c>
      <x:c r="F280" s="27" t="str">
        <x:v>5</x:v>
      </x:c>
      <x:c r="G280" s="27" t="str">
        <x:v>Fraction operations, volume, and independent research</x:v>
      </x:c>
      <x:c r="H280" s="27" t="str">
        <x:v>Social Studies</x:v>
      </x:c>
      <x:c r="I280" s="27" t="str">
        <x:v>Inquiry</x:v>
      </x:c>
      <x:c r="J280" s="27" t="str">
        <x:v>U.S. foundations and connected histories</x:v>
      </x:c>
      <x:c r="K280" s="27" t="str">
        <x:v>Using maps, timelines, primary/secondary sources, Indigenous histories, colonization, migration, government principles, markets, and contested perspectives to build evidence-based accounts.</x:v>
      </x:c>
      <x:c r="L280" s="27" t="str">
        <x:v>Grade 4 state/region inquiry, source corroboration, and research.</x:v>
      </x:c>
      <x:c r="M280" s="27" t="str">
        <x:v>S16-SST-01</x:v>
      </x:c>
      <x:c r="N280" s="27" t="str">
        <x:v>G4/G5 — Concrete model linked to coordinated representations</x:v>
      </x:c>
      <x:c r="O280" s="27" t="str">
        <x:v>Language/literacy and source evidence; maps/data/economics; ethics/SEL; media literacy; arts/culture; civic action.</x:v>
      </x:c>
      <x:c r="P280" s="27" t="str">
        <x:v>National-scale study requires chronology, causation, institutions, and ethical source handling.</x:v>
      </x:c>
      <x:c r="Q280" s="27" t="str">
        <x:v>S18-SST-01</x:v>
      </x:c>
      <x:c r="R280" s="27" t="str">
        <x:v>Presents a qualified historical/civic claim supported by corroborated evidence and perspective context.</x:v>
      </x:c>
      <x:c r="S280" s="27" t="str">
        <x:v>SRC12; SRC24</x:v>
      </x:c>
      <x:c r="T280" s="27" t="str">
        <x:v>Development varies; use observed performance and appropriate supports rather than age alone.</x:v>
      </x:c>
      <x:c r="U280" s="27" t="str"/>
      <x:c r="V280" s="27" t="str"/>
      <x:c r="W280" s="39" t="str"/>
      <x:c r="X280" s="39" t="str"/>
    </x:row>
    <x:row r="281">
      <x:c r="A281" s="27" t="str">
        <x:v>S17-ARTS-01</x:v>
      </x:c>
      <x:c r="B281" s="37" t="n">
        <x:v>277</x:v>
      </x:c>
      <x:c r="C281" s="27" t="str">
        <x:v>S17</x:v>
      </x:c>
      <x:c r="D281" s="37" t="n">
        <x:v>17</x:v>
      </x:c>
      <x:c r="E281" s="27" t="str">
        <x:v>Grade 5</x:v>
      </x:c>
      <x:c r="F281" s="27" t="str">
        <x:v>5</x:v>
      </x:c>
      <x:c r="G281" s="27" t="str">
        <x:v>Fraction operations, volume, and independent research</x:v>
      </x:c>
      <x:c r="H281" s="27" t="str">
        <x:v>Music &amp; Arts</x:v>
      </x:c>
      <x:c r="I281" s="27" t="str">
        <x:v>Music</x:v>
      </x:c>
      <x:c r="J281" s="27" t="str">
        <x:v>Harmony, notation fluency, composition, and cultural context</x:v>
      </x:c>
      <x:c r="K281" s="27" t="str">
        <x:v>Performing independent parts, reading/writing grade-appropriate notation, composing within constraints, and connecting style/function to historical or cultural context.</x:v>
      </x:c>
      <x:c r="L281" s="27" t="str">
        <x:v>Grade 4 texture/form/refinement and teamwork roles.</x:v>
      </x:c>
      <x:c r="M281" s="27" t="str">
        <x:v>S16-ARTS-01</x:v>
      </x:c>
      <x:c r="N281" s="27" t="str">
        <x:v>G4/G5 — Concrete model linked to coordinated representations</x:v>
      </x:c>
      <x:c r="O281" s="27" t="str">
        <x:v>Sensory discrimination; motor timing; language/prosody; mathematics/pattern; history/culture; emotion, design, and technology.</x:v>
      </x:c>
      <x:c r="P281" s="27" t="str">
        <x:v>Harmony and context integrate technical, expressive, and social understanding.</x:v>
      </x:c>
      <x:c r="Q281" s="27" t="str">
        <x:v>S18-ARTS-01</x:v>
      </x:c>
      <x:c r="R281" s="27" t="str">
        <x:v>Performs/creates a structured work and explains a harmonic, formal, or cultural choice.</x:v>
      </x:c>
      <x:c r="S281" s="27" t="str">
        <x:v>SRC13</x:v>
      </x:c>
      <x:c r="T281" s="27" t="str">
        <x:v>Development varies; use observed performance and appropriate supports rather than age alone.</x:v>
      </x:c>
      <x:c r="U281" s="27" t="str"/>
      <x:c r="V281" s="27" t="str"/>
      <x:c r="W281" s="39" t="str"/>
      <x:c r="X281" s="39" t="str"/>
    </x:row>
    <x:row r="282">
      <x:c r="A282" s="27" t="str">
        <x:v>S17-HLTH-01</x:v>
      </x:c>
      <x:c r="B282" s="37" t="n">
        <x:v>278</x:v>
      </x:c>
      <x:c r="C282" s="27" t="str">
        <x:v>S17</x:v>
      </x:c>
      <x:c r="D282" s="37" t="n">
        <x:v>17</x:v>
      </x:c>
      <x:c r="E282" s="27" t="str">
        <x:v>Grade 5</x:v>
      </x:c>
      <x:c r="F282" s="27" t="str">
        <x:v>5</x:v>
      </x:c>
      <x:c r="G282" s="27" t="str">
        <x:v>Fraction operations, volume, and independent research</x:v>
      </x:c>
      <x:c r="H282" s="27" t="str">
        <x:v>Physical &amp; Health</x:v>
      </x:c>
      <x:c r="I282" s="27" t="str">
        <x:v>Planning</x:v>
      </x:c>
      <x:c r="J282" s="27" t="str">
        <x:v>Personal activity and health goal</x:v>
      </x:c>
      <x:c r="K282" s="27" t="str">
        <x:v>Using baseline evidence to set a specific movement/fitness/health goal, plan actions, track progress, interpret influences, and revise safely.</x:v>
      </x:c>
      <x:c r="L282" s="27" t="str">
        <x:v>Grade 4 fitness components, project planning, and data displays.</x:v>
      </x:c>
      <x:c r="M282" s="27" t="str">
        <x:v>S16-HLTH-01</x:v>
      </x:c>
      <x:c r="N282" s="27" t="str">
        <x:v>G4/G5 — Concrete model linked to coordinated representations</x:v>
      </x:c>
      <x:c r="O282" s="27" t="str">
        <x:v>Motor/sensory development; life science; measurement/data; SEL/self-management; communication, safety, and decision-making.</x:v>
      </x:c>
      <x:c r="P282" s="27" t="str">
        <x:v>A monitored goal cycle prepares adolescent self-management and lifelong wellness.</x:v>
      </x:c>
      <x:c r="Q282" s="27" t="str">
        <x:v>S18-HLTH-01</x:v>
      </x:c>
      <x:c r="R282" s="27" t="str">
        <x:v>Submits baseline, goal, plan, progress evidence, reflection, and a justified adjustment.</x:v>
      </x:c>
      <x:c r="S282" s="27" t="str">
        <x:v>SRC14; SRC15</x:v>
      </x:c>
      <x:c r="T282" s="27" t="str">
        <x:v>Development varies; use observed performance and appropriate supports rather than age alone.</x:v>
      </x:c>
      <x:c r="U282" s="27" t="str"/>
      <x:c r="V282" s="27" t="str"/>
      <x:c r="W282" s="39" t="str"/>
      <x:c r="X282" s="39" t="str"/>
    </x:row>
    <x:row r="283">
      <x:c r="A283" s="27" t="str">
        <x:v>S17-COMP-01</x:v>
      </x:c>
      <x:c r="B283" s="37" t="n">
        <x:v>279</x:v>
      </x:c>
      <x:c r="C283" s="27" t="str">
        <x:v>S17</x:v>
      </x:c>
      <x:c r="D283" s="37" t="n">
        <x:v>17</x:v>
      </x:c>
      <x:c r="E283" s="27" t="str">
        <x:v>Grade 5</x:v>
      </x:c>
      <x:c r="F283" s="27" t="str">
        <x:v>5</x:v>
      </x:c>
      <x:c r="G283" s="27" t="str">
        <x:v>Fraction operations, volume, and independent research</x:v>
      </x:c>
      <x:c r="H283" s="27" t="str">
        <x:v>Computing &amp; Media</x:v>
      </x:c>
      <x:c r="I283" s="27" t="str">
        <x:v>Algorithms and data</x:v>
      </x:c>
      <x:c r="J283" s="27" t="str">
        <x:v>Abstraction, functions, data patterns, and privacy</x:v>
      </x:c>
      <x:c r="K283" s="27" t="str">
        <x:v>Representing repeated program behavior as a reusable function/procedure, analyzing patterns in datasets, and explaining how data collection/sharing affects privacy.</x:v>
      </x:c>
      <x:c r="L283" s="27" t="str">
        <x:v>Grade 4 systems/data, Grade 3 variables/modules, and fraction/coordinate patterns.</x:v>
      </x:c>
      <x:c r="M283" s="27" t="str">
        <x:v>S16-COMP-02</x:v>
      </x:c>
      <x:c r="N283" s="27" t="str">
        <x:v>G4/G5 — Concrete model linked to coordinated representations</x:v>
      </x:c>
      <x:c r="O283" s="27" t="str">
        <x:v>Mathematics/logic/data; language and media evidence; science/engineering models; art/design; civics, privacy, finance, and ethics.</x:v>
      </x:c>
      <x:c r="P283" s="27" t="str">
        <x:v>Abstraction manages complexity; data-pattern and privacy reasoning prepare secondary computing.</x:v>
      </x:c>
      <x:c r="Q283" s="27" t="str">
        <x:v>S18-COMP-01</x:v>
      </x:c>
      <x:c r="R283" s="27" t="str">
        <x:v>Builds a reusable procedure, identifies a data pattern, and states a specific privacy control.</x:v>
      </x:c>
      <x:c r="S283" s="27" t="str">
        <x:v>SRC16</x:v>
      </x:c>
      <x:c r="T283" s="27" t="str">
        <x:v>Development varies; use observed performance and appropriate supports rather than age alone.</x:v>
      </x:c>
      <x:c r="U283" s="27" t="str"/>
      <x:c r="V283" s="27" t="str"/>
      <x:c r="W283" s="39" t="str"/>
      <x:c r="X283" s="39" t="str"/>
    </x:row>
    <x:row r="284">
      <x:c r="A284" s="27" t="str">
        <x:v>S17-WLANG-01</x:v>
      </x:c>
      <x:c r="B284" s="37" t="n">
        <x:v>280</x:v>
      </x:c>
      <x:c r="C284" s="27" t="str">
        <x:v>S17</x:v>
      </x:c>
      <x:c r="D284" s="37" t="n">
        <x:v>17</x:v>
      </x:c>
      <x:c r="E284" s="27" t="str">
        <x:v>Grade 5</x:v>
      </x:c>
      <x:c r="F284" s="27" t="str">
        <x:v>5</x:v>
      </x:c>
      <x:c r="G284" s="27" t="str">
        <x:v>Fraction operations, volume, and independent research</x:v>
      </x:c>
      <x:c r="H284" s="27" t="str">
        <x:v>World Languages</x:v>
      </x:c>
      <x:c r="I284" s="27" t="str">
        <x:v>Communication</x:v>
      </x:c>
      <x:c r="J284" s="27" t="str">
        <x:v>Novice interpersonal/interpretive/presentational cycle</x:v>
      </x:c>
      <x:c r="K284" s="27" t="str">
        <x:v>Using practiced words and sentences to exchange information, interpret short authentic material, and present on familiar topics while making cultural comparisons.</x:v>
      </x:c>
      <x:c r="L284" s="27" t="str">
        <x:v>Strong first-language oral/literacy foundations and willingness to communicate.</x:v>
      </x:c>
      <x:c r="M284" s="27" t="str">
        <x:v>FOUNDATION</x:v>
      </x:c>
      <x:c r="N284" s="27" t="str">
        <x:v>G4/G5 — Concrete model linked to coordinated representations</x:v>
      </x:c>
      <x:c r="O284" s="27" t="str">
        <x:v>Oral language, reading, and writing; memory/retrieval; social interaction; history/geography/arts; intercultural perspective.</x:v>
      </x:c>
      <x:c r="P284" s="27" t="str">
        <x:v>The three communication modes and cultural reflection establish a proficiency-based pathway.</x:v>
      </x:c>
      <x:c r="Q284" s="27" t="str">
        <x:v>S18-WLANG-01</x:v>
      </x:c>
      <x:c r="R284" s="27" t="str">
        <x:v>Completes a short exchange, identifies key meaning in a source, and gives a brief comprehensible presentation.</x:v>
      </x:c>
      <x:c r="S284" s="27" t="str">
        <x:v>SRC17</x:v>
      </x:c>
      <x:c r="T284" s="27" t="str">
        <x:v>Language development depends strongly on instructional time and exposure; proficiency evidence is more informative than grade alone.</x:v>
      </x:c>
      <x:c r="U284" s="27" t="str"/>
      <x:c r="V284" s="27" t="str"/>
      <x:c r="W284" s="39" t="str"/>
      <x:c r="X284" s="39" t="str"/>
    </x:row>
    <x:row r="285">
      <x:c r="A285" s="27" t="str">
        <x:v>S17-LIFE-01</x:v>
      </x:c>
      <x:c r="B285" s="37" t="n">
        <x:v>281</x:v>
      </x:c>
      <x:c r="C285" s="27" t="str">
        <x:v>S17</x:v>
      </x:c>
      <x:c r="D285" s="37" t="n">
        <x:v>17</x:v>
      </x:c>
      <x:c r="E285" s="27" t="str">
        <x:v>Grade 5</x:v>
      </x:c>
      <x:c r="F285" s="27" t="str">
        <x:v>5</x:v>
      </x:c>
      <x:c r="G285" s="27" t="str">
        <x:v>Fraction operations, volume, and independent research</x:v>
      </x:c>
      <x:c r="H285" s="27" t="str">
        <x:v>Life, Finance &amp; Career</x:v>
      </x:c>
      <x:c r="I285" s="27" t="str">
        <x:v>Personal finance</x:v>
      </x:c>
      <x:c r="J285" s="27" t="str">
        <x:v>Interest, risk, and long-term choice introduction</x:v>
      </x:c>
      <x:c r="K285" s="27" t="str">
        <x:v>Explaining that savings can earn interest, borrowing has cost, investments vary in risk/return, and insurance pools certain risks.</x:v>
      </x:c>
      <x:c r="L285" s="27" t="str">
        <x:v>Grade 4 institutions/opportunity cost, decimals, and fractions.</x:v>
      </x:c>
      <x:c r="M285" s="27" t="str">
        <x:v>S16-LIFE-01</x:v>
      </x:c>
      <x:c r="N285" s="27" t="str">
        <x:v>G4/G5 — Concrete model linked to coordinated representations</x:v>
      </x:c>
      <x:c r="O285" s="27" t="str">
        <x:v>Mathematics/percent/growth; economics/civics; reading contracts/sources; computing/privacy; SEL, planning, and risk decisions.</x:v>
      </x:c>
      <x:c r="P285" s="27" t="str">
        <x:v>These relationships prepare compound growth, credit comparison, and risk management.</x:v>
      </x:c>
      <x:c r="Q285" s="27" t="str">
        <x:v>S18-LIFE-01</x:v>
      </x:c>
      <x:c r="R285" s="27" t="str">
        <x:v>Compares two simple financial options using cost, time, risk, and goal fit.</x:v>
      </x:c>
      <x:c r="S285" s="27" t="str">
        <x:v>SRC19</x:v>
      </x:c>
      <x:c r="T285" s="27" t="str">
        <x:v>Development varies; use observed performance and appropriate supports rather than age alone.</x:v>
      </x:c>
      <x:c r="U285" s="27" t="str"/>
      <x:c r="V285" s="27" t="str"/>
      <x:c r="W285" s="39" t="str"/>
      <x:c r="X285" s="39" t="str"/>
    </x:row>
    <x:row r="286">
      <x:c r="A286" s="27" t="str">
        <x:v>S18-LEARN-01</x:v>
      </x:c>
      <x:c r="B286" s="37" t="n">
        <x:v>282</x:v>
      </x:c>
      <x:c r="C286" s="27" t="str">
        <x:v>S18</x:v>
      </x:c>
      <x:c r="D286" s="37" t="n">
        <x:v>18</x:v>
      </x:c>
      <x:c r="E286" s="27" t="str">
        <x:v>Grade 6</x:v>
      </x:c>
      <x:c r="F286" s="27" t="str">
        <x:v>6</x:v>
      </x:c>
      <x:c r="G286" s="27" t="str">
        <x:v>Ratios, negative numbers, and disciplinary literacy</x:v>
      </x:c>
      <x:c r="H286" s="27" t="str">
        <x:v>Learning Foundations</x:v>
      </x:c>
      <x:c r="I286" s="27" t="str">
        <x:v>Memory architecture</x:v>
      </x:c>
      <x:c r="J286" s="27" t="str">
        <x:v>Retrieval–feedback–spacing cycle</x:v>
      </x:c>
      <x:c r="K286" s="27" t="str">
        <x:v>Attempting recall or reconstruction before review, receiving exact corrective feedback, and scheduling another retrieval after time has passed.</x:v>
      </x:c>
      <x:c r="L286" s="27" t="str">
        <x:v>Grade 5 project scheduling, error classification, and confidence monitoring.</x:v>
      </x:c>
      <x:c r="M286" s="27" t="str">
        <x:v>S17-LEARN-01</x:v>
      </x:c>
      <x:c r="N286" s="27" t="str">
        <x:v>G5/G6 — Coordinated representations within an evidence-based formal system</x:v>
      </x:c>
      <x:c r="O286" s="27" t="str">
        <x:v>All domains: attention, memory, strategy choice, monitoring, retrieval, and transfer.</x:v>
      </x:c>
      <x:c r="P286" s="27" t="str">
        <x:v>The cycle converts study from repeated exposure into measured strengthening of usable access.</x:v>
      </x:c>
      <x:c r="Q286" s="27" t="str">
        <x:v>S18-LEARN-02</x:v>
      </x:c>
      <x:c r="R286" s="27" t="str">
        <x:v>Completes delayed retrieval, corrects specific gaps, and records the next review interval.</x:v>
      </x:c>
      <x:c r="S286" s="27" t="str">
        <x:v>SRC23; SRC29; SRC30; SRC31; SRC34</x:v>
      </x:c>
      <x:c r="T286" s="27" t="str">
        <x:v>Development varies; use observed performance and appropriate supports rather than age alone.</x:v>
      </x:c>
      <x:c r="U286" s="27" t="str"/>
      <x:c r="V286" s="27" t="str"/>
      <x:c r="W286" s="39" t="str"/>
      <x:c r="X286" s="39" t="str"/>
    </x:row>
    <x:row r="287">
      <x:c r="A287" s="27" t="str">
        <x:v>S18-LEARN-02</x:v>
      </x:c>
      <x:c r="B287" s="37" t="n">
        <x:v>283</x:v>
      </x:c>
      <x:c r="C287" s="27" t="str">
        <x:v>S18</x:v>
      </x:c>
      <x:c r="D287" s="37" t="n">
        <x:v>18</x:v>
      </x:c>
      <x:c r="E287" s="27" t="str">
        <x:v>Grade 6</x:v>
      </x:c>
      <x:c r="F287" s="27" t="str">
        <x:v>6</x:v>
      </x:c>
      <x:c r="G287" s="27" t="str">
        <x:v>Ratios, negative numbers, and disciplinary literacy</x:v>
      </x:c>
      <x:c r="H287" s="27" t="str">
        <x:v>Learning Foundations</x:v>
      </x:c>
      <x:c r="I287" s="27" t="str">
        <x:v>Multisensory learning</x:v>
      </x:c>
      <x:c r="J287" s="27" t="str">
        <x:v>Representation mapping</x:v>
      </x:c>
      <x:c r="K287" s="27" t="str">
        <x:v>Connecting a concept across verbal, visual, symbolic, movement/action, sound, or tactile forms and explicitly identifying the structure shared by them.</x:v>
      </x:c>
      <x:c r="L287" s="27" t="str">
        <x:v>Symbolic representation, model interpretation, and explanation.</x:v>
      </x:c>
      <x:c r="M287" s="27" t="str">
        <x:v>S18-LEARN-01</x:v>
      </x:c>
      <x:c r="N287" s="27" t="str">
        <x:v>G5/G6 — Coordinated representations within an evidence-based formal system</x:v>
      </x:c>
      <x:c r="O287" s="27" t="str">
        <x:v>All domains: attention, memory, strategy choice, monitoring, retrieval, and transfer.</x:v>
      </x:c>
      <x:c r="P287" s="27" t="str">
        <x:v>Congruent mappings create multiple usable cues while preserving one coherent concept.</x:v>
      </x:c>
      <x:c r="Q287" s="27" t="str">
        <x:v>S19-LEARN-01</x:v>
      </x:c>
      <x:c r="R287" s="27" t="str">
        <x:v>Translates among at least three representations and explains what remains invariant.</x:v>
      </x:c>
      <x:c r="S287" s="27" t="str">
        <x:v>SRC29; SRC32</x:v>
      </x:c>
      <x:c r="T287" s="27" t="str">
        <x:v>Development varies; use observed performance and appropriate supports rather than age alone.</x:v>
      </x:c>
      <x:c r="U287" s="27" t="str"/>
      <x:c r="V287" s="27" t="str"/>
      <x:c r="W287" s="39" t="str"/>
      <x:c r="X287" s="39" t="str"/>
    </x:row>
    <x:row r="288">
      <x:c r="A288" s="27" t="str">
        <x:v>S18-SEL-01</x:v>
      </x:c>
      <x:c r="B288" s="37" t="n">
        <x:v>284</x:v>
      </x:c>
      <x:c r="C288" s="27" t="str">
        <x:v>S18</x:v>
      </x:c>
      <x:c r="D288" s="37" t="n">
        <x:v>18</x:v>
      </x:c>
      <x:c r="E288" s="27" t="str">
        <x:v>Grade 6</x:v>
      </x:c>
      <x:c r="F288" s="27" t="str">
        <x:v>6</x:v>
      </x:c>
      <x:c r="G288" s="27" t="str">
        <x:v>Ratios, negative numbers, and disciplinary literacy</x:v>
      </x:c>
      <x:c r="H288" s="27" t="str">
        <x:v>Social-Emotional</x:v>
      </x:c>
      <x:c r="I288" s="27" t="str">
        <x:v>Adolescent development</x:v>
      </x:c>
      <x:c r="J288" s="27" t="str">
        <x:v>Identity, belonging, and self-advocacy</x:v>
      </x:c>
      <x:c r="K288" s="27" t="str">
        <x:v>Reflecting on strengths, values, groups, goals, and support needs and communicating a specific request or boundary respectfully.</x:v>
      </x:c>
      <x:c r="L288" s="27" t="str">
        <x:v>Self-awareness, perspective, help calibration, and health communication.</x:v>
      </x:c>
      <x:c r="M288" s="27" t="str">
        <x:v>S17-SEL-01</x:v>
      </x:c>
      <x:c r="N288" s="27" t="str">
        <x:v>G5/G6 — Coordinated representations within an evidence-based formal system</x:v>
      </x:c>
      <x:c r="O288" s="27" t="str">
        <x:v>Language and communication; health; collaboration in science, arts, civics, and projects; responsible digital/financial decisions.</x:v>
      </x:c>
      <x:c r="P288" s="27" t="str">
        <x:v>Identity and advocacy support motivation, inclusion, and responsible independence during adolescence.</x:v>
      </x:c>
      <x:c r="Q288" s="27" t="str">
        <x:v>S19-SEL-01</x:v>
      </x:c>
      <x:c r="R288" s="27" t="str">
        <x:v>Explains a goal or need and makes a clear, context-appropriate request.</x:v>
      </x:c>
      <x:c r="S288" s="27" t="str">
        <x:v>SRC18</x:v>
      </x:c>
      <x:c r="T288" s="27" t="str">
        <x:v>Development varies; use observed performance and appropriate supports rather than age alone.</x:v>
      </x:c>
      <x:c r="U288" s="27" t="str"/>
      <x:c r="V288" s="27" t="str"/>
      <x:c r="W288" s="39" t="str"/>
      <x:c r="X288" s="39" t="str"/>
    </x:row>
    <x:row r="289">
      <x:c r="A289" s="27" t="str">
        <x:v>S18-READ-01</x:v>
      </x:c>
      <x:c r="B289" s="37" t="n">
        <x:v>285</x:v>
      </x:c>
      <x:c r="C289" s="27" t="str">
        <x:v>S18</x:v>
      </x:c>
      <x:c r="D289" s="37" t="n">
        <x:v>18</x:v>
      </x:c>
      <x:c r="E289" s="27" t="str">
        <x:v>Grade 6</x:v>
      </x:c>
      <x:c r="F289" s="27" t="str">
        <x:v>6</x:v>
      </x:c>
      <x:c r="G289" s="27" t="str">
        <x:v>Ratios, negative numbers, and disciplinary literacy</x:v>
      </x:c>
      <x:c r="H289" s="27" t="str">
        <x:v>Reading</x:v>
      </x:c>
      <x:c r="I289" s="27" t="str">
        <x:v>Disciplinary literacy</x:v>
      </x:c>
      <x:c r="J289" s="27" t="str">
        <x:v>Read differently by discipline</x:v>
      </x:c>
      <x:c r="K289" s="27" t="str">
        <x:v>Using subject-specific questions and structures: evidence/interpretation in history, claims/data/models in science, definitions/examples in mathematics, and theme/craft in literature.</x:v>
      </x:c>
      <x:c r="L289" s="27" t="str">
        <x:v>Grade 5 synthesis, author analysis, and domain vocabulary.</x:v>
      </x:c>
      <x:c r="M289" s="27" t="str">
        <x:v>S17-READ-02</x:v>
      </x:c>
      <x:c r="N289" s="27" t="str">
        <x:v>G5/G6 — Coordinated representations within an evidence-based formal system</x:v>
      </x:c>
      <x:c r="O289" s="27" t="str">
        <x:v>Oral language and writing; evidence in science/social studies; mathematical and technical problem interpretation; media verification.</x:v>
      </x:c>
      <x:c r="P289" s="27" t="str">
        <x:v>Disciplinary reading aligns attention with how each field builds knowledge.</x:v>
      </x:c>
      <x:c r="Q289" s="27" t="str">
        <x:v>S18-READ-02</x:v>
      </x:c>
      <x:c r="R289" s="27" t="str">
        <x:v>Annotates two subject texts using different, appropriate evidence questions.</x:v>
      </x:c>
      <x:c r="S289" s="27" t="str">
        <x:v>SRC10; SRC12</x:v>
      </x:c>
      <x:c r="T289" s="27" t="str">
        <x:v>Development varies; use observed performance and appropriate supports rather than age alone.</x:v>
      </x:c>
      <x:c r="U289" s="27" t="str"/>
      <x:c r="V289" s="27" t="str"/>
      <x:c r="W289" s="39" t="str"/>
      <x:c r="X289" s="39" t="str"/>
    </x:row>
    <x:row r="290">
      <x:c r="A290" s="27" t="str">
        <x:v>S18-READ-02</x:v>
      </x:c>
      <x:c r="B290" s="37" t="n">
        <x:v>286</x:v>
      </x:c>
      <x:c r="C290" s="27" t="str">
        <x:v>S18</x:v>
      </x:c>
      <x:c r="D290" s="37" t="n">
        <x:v>18</x:v>
      </x:c>
      <x:c r="E290" s="27" t="str">
        <x:v>Grade 6</x:v>
      </x:c>
      <x:c r="F290" s="27" t="str">
        <x:v>6</x:v>
      </x:c>
      <x:c r="G290" s="27" t="str">
        <x:v>Ratios, negative numbers, and disciplinary literacy</x:v>
      </x:c>
      <x:c r="H290" s="27" t="str">
        <x:v>Reading</x:v>
      </x:c>
      <x:c r="I290" s="27" t="str">
        <x:v>Evidence and structure</x:v>
      </x:c>
      <x:c r="J290" s="27" t="str">
        <x:v>Central ideas, objective summary, and development</x:v>
      </x:c>
      <x:c r="K290" s="27" t="str">
        <x:v>Determining theme/central idea, tracing its development through details, and producing an objective summary separated from personal judgment.</x:v>
      </x:c>
      <x:c r="L290" s="27" t="str">
        <x:v>Grade 5 quote/infer/summarize and multi-paragraph structure.</x:v>
      </x:c>
      <x:c r="M290" s="27" t="str">
        <x:v>S18-READ-01</x:v>
      </x:c>
      <x:c r="N290" s="27" t="str">
        <x:v>G5/G6 — Coordinated representations within an evidence-based formal system</x:v>
      </x:c>
      <x:c r="O290" s="27" t="str">
        <x:v>Oral language and writing; evidence in science/social studies; mathematical and technical problem interpretation; media verification.</x:v>
      </x:c>
      <x:c r="P290" s="27" t="str">
        <x:v>Tracing development prepares analysis of longer arguments and narratives.</x:v>
      </x:c>
      <x:c r="Q290" s="27" t="str">
        <x:v>S18-READ-03</x:v>
      </x:c>
      <x:c r="R290" s="27" t="str">
        <x:v>Writes an accurate objective summary and a separate analysis with cited evidence.</x:v>
      </x:c>
      <x:c r="S290" s="27" t="str">
        <x:v>SRC10</x:v>
      </x:c>
      <x:c r="T290" s="27" t="str">
        <x:v>Development varies; use observed performance and appropriate supports rather than age alone.</x:v>
      </x:c>
      <x:c r="U290" s="27" t="str"/>
      <x:c r="V290" s="27" t="str"/>
      <x:c r="W290" s="39" t="str"/>
      <x:c r="X290" s="39" t="str"/>
    </x:row>
    <x:row r="291">
      <x:c r="A291" s="27" t="str">
        <x:v>S18-READ-03</x:v>
      </x:c>
      <x:c r="B291" s="37" t="n">
        <x:v>287</x:v>
      </x:c>
      <x:c r="C291" s="27" t="str">
        <x:v>S18</x:v>
      </x:c>
      <x:c r="D291" s="37" t="n">
        <x:v>18</x:v>
      </x:c>
      <x:c r="E291" s="27" t="str">
        <x:v>Grade 6</x:v>
      </x:c>
      <x:c r="F291" s="27" t="str">
        <x:v>6</x:v>
      </x:c>
      <x:c r="G291" s="27" t="str">
        <x:v>Ratios, negative numbers, and disciplinary literacy</x:v>
      </x:c>
      <x:c r="H291" s="27" t="str">
        <x:v>Reading</x:v>
      </x:c>
      <x:c r="I291" s="27" t="str">
        <x:v>Argument evaluation</x:v>
      </x:c>
      <x:c r="J291" s="27" t="str">
        <x:v>Claim, reasons, evidence, and relevance</x:v>
      </x:c>
      <x:c r="K291" s="27" t="str">
        <x:v>Identifying claims and supporting reasons/evidence, distinguishing relevant from unrelated support, and noting unsupported points.</x:v>
      </x:c>
      <x:c r="L291" s="27" t="str">
        <x:v>Grade 5 reasons/evidence analysis and source credibility.</x:v>
      </x:c>
      <x:c r="M291" s="27" t="str">
        <x:v>S18-READ-02</x:v>
      </x:c>
      <x:c r="N291" s="27" t="str">
        <x:v>G5/G6 — Coordinated representations within an evidence-based formal system</x:v>
      </x:c>
      <x:c r="O291" s="27" t="str">
        <x:v>Oral language and writing; evidence in science/social studies; mathematical and technical problem interpretation; media verification.</x:v>
      </x:c>
      <x:c r="P291" s="27" t="str">
        <x:v>Argument anatomy is required for informed reading, writing, science, and civics.</x:v>
      </x:c>
      <x:c r="Q291" s="27" t="str">
        <x:v>S19-READ-01</x:v>
      </x:c>
      <x:c r="R291" s="27" t="str">
        <x:v>Maps an argument and evaluates whether each cited item actually supports its claim.</x:v>
      </x:c>
      <x:c r="S291" s="27" t="str">
        <x:v>SRC10; SRC20</x:v>
      </x:c>
      <x:c r="T291" s="27" t="str">
        <x:v>Development varies; use observed performance and appropriate supports rather than age alone.</x:v>
      </x:c>
      <x:c r="U291" s="27" t="str"/>
      <x:c r="V291" s="27" t="str"/>
      <x:c r="W291" s="39" t="str"/>
      <x:c r="X291" s="39" t="str"/>
    </x:row>
    <x:row r="292">
      <x:c r="A292" s="27" t="str">
        <x:v>S18-WRITE-01</x:v>
      </x:c>
      <x:c r="B292" s="37" t="n">
        <x:v>288</x:v>
      </x:c>
      <x:c r="C292" s="27" t="str">
        <x:v>S18</x:v>
      </x:c>
      <x:c r="D292" s="37" t="n">
        <x:v>18</x:v>
      </x:c>
      <x:c r="E292" s="27" t="str">
        <x:v>Grade 6</x:v>
      </x:c>
      <x:c r="F292" s="27" t="str">
        <x:v>6</x:v>
      </x:c>
      <x:c r="G292" s="27" t="str">
        <x:v>Ratios, negative numbers, and disciplinary literacy</x:v>
      </x:c>
      <x:c r="H292" s="27" t="str">
        <x:v>Writing &amp; Language</x:v>
      </x:c>
      <x:c r="I292" s="27" t="str">
        <x:v>Argument</x:v>
      </x:c>
      <x:c r="J292" s="27" t="str">
        <x:v>Focused claim and logical evidence chain</x:v>
      </x:c>
      <x:c r="K292" s="27" t="str">
        <x:v>Writing a claim, organizing reasons/evidence, explaining each evidence-to-claim connection, using transitions, and maintaining a formal or task-appropriate style.</x:v>
      </x:c>
      <x:c r="L292" s="27" t="str">
        <x:v>Grade 5 claim-evidence-reasoning and argument evaluation.</x:v>
      </x:c>
      <x:c r="M292" s="27" t="str">
        <x:v>S17-WRITE-04</x:v>
      </x:c>
      <x:c r="N292" s="27" t="str">
        <x:v>G5/G6 — Coordinated representations within an evidence-based formal system</x:v>
      </x:c>
      <x:c r="O292" s="27" t="str">
        <x:v>Reading models; evidence from science/social studies; mathematical explanation; research, media, and presentation.</x:v>
      </x:c>
      <x:c r="P292" s="27" t="str">
        <x:v>A visible reasoning chain prevents evidence lists and prepares counterclaim work.</x:v>
      </x:c>
      <x:c r="Q292" s="27" t="str">
        <x:v>S18-WRITE-02</x:v>
      </x:c>
      <x:c r="R292" s="27" t="str">
        <x:v>Produces an argument whose conclusion follows from explained evidence.</x:v>
      </x:c>
      <x:c r="S292" s="27" t="str">
        <x:v>SRC10; SRC22</x:v>
      </x:c>
      <x:c r="T292" s="27" t="str">
        <x:v>Development varies; use observed performance and appropriate supports rather than age alone.</x:v>
      </x:c>
      <x:c r="U292" s="27" t="str"/>
      <x:c r="V292" s="27" t="str"/>
      <x:c r="W292" s="39" t="str"/>
      <x:c r="X292" s="39" t="str"/>
    </x:row>
    <x:row r="293">
      <x:c r="A293" s="27" t="str">
        <x:v>S18-WRITE-02</x:v>
      </x:c>
      <x:c r="B293" s="37" t="n">
        <x:v>289</x:v>
      </x:c>
      <x:c r="C293" s="27" t="str">
        <x:v>S18</x:v>
      </x:c>
      <x:c r="D293" s="37" t="n">
        <x:v>18</x:v>
      </x:c>
      <x:c r="E293" s="27" t="str">
        <x:v>Grade 6</x:v>
      </x:c>
      <x:c r="F293" s="27" t="str">
        <x:v>6</x:v>
      </x:c>
      <x:c r="G293" s="27" t="str">
        <x:v>Ratios, negative numbers, and disciplinary literacy</x:v>
      </x:c>
      <x:c r="H293" s="27" t="str">
        <x:v>Writing &amp; Language</x:v>
      </x:c>
      <x:c r="I293" s="27" t="str">
        <x:v>Informative writing</x:v>
      </x:c>
      <x:c r="J293" s="27" t="str">
        <x:v>Definition, classification, comparison, cause, and process</x:v>
      </x:c>
      <x:c r="K293" s="27" t="str">
        <x:v>Selecting and organizing an explanatory structure that matches the relationship being taught, supported by facts, examples, quotations, and domain vocabulary.</x:v>
      </x:c>
      <x:c r="L293" s="27" t="str">
        <x:v>Grade 5 synthesis, paragraph organization, and disciplinary reading.</x:v>
      </x:c>
      <x:c r="M293" s="27" t="str">
        <x:v>S18-WRITE-01</x:v>
      </x:c>
      <x:c r="N293" s="27" t="str">
        <x:v>G5/G6 — Coordinated representations within an evidence-based formal system</x:v>
      </x:c>
      <x:c r="O293" s="27" t="str">
        <x:v>Reading models; evidence from science/social studies; mathematical explanation; research, media, and presentation.</x:v>
      </x:c>
      <x:c r="P293" s="27" t="str">
        <x:v>Structure choice makes complex knowledge teachable to an audience.</x:v>
      </x:c>
      <x:c r="Q293" s="27" t="str">
        <x:v>S18-WRITE-03</x:v>
      </x:c>
      <x:c r="R293" s="27" t="str">
        <x:v>Explains a topic using the correct organizing relationship and integrated evidence.</x:v>
      </x:c>
      <x:c r="S293" s="27" t="str">
        <x:v>SRC10; SRC22</x:v>
      </x:c>
      <x:c r="T293" s="27" t="str">
        <x:v>Development varies; use observed performance and appropriate supports rather than age alone.</x:v>
      </x:c>
      <x:c r="U293" s="27" t="str"/>
      <x:c r="V293" s="27" t="str"/>
      <x:c r="W293" s="39" t="str"/>
      <x:c r="X293" s="39" t="str"/>
    </x:row>
    <x:row r="294">
      <x:c r="A294" s="27" t="str">
        <x:v>S18-WRITE-03</x:v>
      </x:c>
      <x:c r="B294" s="37" t="n">
        <x:v>290</x:v>
      </x:c>
      <x:c r="C294" s="27" t="str">
        <x:v>S18</x:v>
      </x:c>
      <x:c r="D294" s="37" t="n">
        <x:v>18</x:v>
      </x:c>
      <x:c r="E294" s="27" t="str">
        <x:v>Grade 6</x:v>
      </x:c>
      <x:c r="F294" s="27" t="str">
        <x:v>6</x:v>
      </x:c>
      <x:c r="G294" s="27" t="str">
        <x:v>Ratios, negative numbers, and disciplinary literacy</x:v>
      </x:c>
      <x:c r="H294" s="27" t="str">
        <x:v>Writing &amp; Language</x:v>
      </x:c>
      <x:c r="I294" s="27" t="str">
        <x:v>Research and citation</x:v>
      </x:c>
      <x:c r="J294" s="27" t="str">
        <x:v>Source evaluation and consistent citation introduction</x:v>
      </x:c>
      <x:c r="K294" s="27" t="str">
        <x:v>Evaluating relevance, authority, evidence, date/context, and corroboration; quoting/paraphrasing accurately; and using a consistent teacher-selected citation format.</x:v>
      </x:c>
      <x:c r="L294" s="27" t="str">
        <x:v>Grade 5 source trail, media analysis, and independent inquiry.</x:v>
      </x:c>
      <x:c r="M294" s="27" t="str">
        <x:v>S18-WRITE-02</x:v>
      </x:c>
      <x:c r="N294" s="27" t="str">
        <x:v>G5/G6 — Coordinated representations within an evidence-based formal system</x:v>
      </x:c>
      <x:c r="O294" s="27" t="str">
        <x:v>Reading models; evidence from science/social studies; mathematical explanation; research, media, and presentation.</x:v>
      </x:c>
      <x:c r="P294" s="27" t="str">
        <x:v>Evaluation plus traceable attribution makes claims auditable.</x:v>
      </x:c>
      <x:c r="Q294" s="27" t="str">
        <x:v>S19-WRITE-01</x:v>
      </x:c>
      <x:c r="R294" s="27" t="str">
        <x:v>Submits an annotated source set and a paper whose in-text attributions match the source list.</x:v>
      </x:c>
      <x:c r="S294" s="27" t="str">
        <x:v>SRC10; SRC20; SRC22</x:v>
      </x:c>
      <x:c r="T294" s="27" t="str">
        <x:v>Development varies; use observed performance and appropriate supports rather than age alone.</x:v>
      </x:c>
      <x:c r="U294" s="27" t="str"/>
      <x:c r="V294" s="27" t="str"/>
      <x:c r="W294" s="39" t="str"/>
      <x:c r="X294" s="39" t="str"/>
    </x:row>
    <x:row r="295">
      <x:c r="A295" s="27" t="str">
        <x:v>S18-MATH-01</x:v>
      </x:c>
      <x:c r="B295" s="37" t="n">
        <x:v>291</x:v>
      </x:c>
      <x:c r="C295" s="27" t="str">
        <x:v>S18</x:v>
      </x:c>
      <x:c r="D295" s="37" t="n">
        <x:v>18</x:v>
      </x:c>
      <x:c r="E295" s="27" t="str">
        <x:v>Grade 6</x:v>
      </x:c>
      <x:c r="F295" s="27" t="str">
        <x:v>6</x:v>
      </x:c>
      <x:c r="G295" s="27" t="str">
        <x:v>Ratios, negative numbers, and disciplinary literacy</x:v>
      </x:c>
      <x:c r="H295" s="27" t="str">
        <x:v>Mathematics</x:v>
      </x:c>
      <x:c r="I295" s="27" t="str">
        <x:v>Ratios and rates</x:v>
      </x:c>
      <x:c r="J295" s="27" t="str">
        <x:v>Ratio concepts and unit rates</x:v>
      </x:c>
      <x:c r="K295" s="27" t="str">
        <x:v>Representing multiplicative comparisons with ratio language, tables, diagrams, double number lines, and equations and finding unit rates including unit pricing/speed.</x:v>
      </x:c>
      <x:c r="L295" s="27" t="str">
        <x:v>Grade 5 fraction multiplication/division, decimals, and paired patterns.</x:v>
      </x:c>
      <x:c r="M295" s="27" t="str">
        <x:v>S17-MATH-08</x:v>
      </x:c>
      <x:c r="N295" s="27" t="str">
        <x:v>G5/G6 — Coordinated representations within an evidence-based formal system</x:v>
      </x:c>
      <x:c r="O295" s="27" t="str">
        <x:v>Physical quantity and spatial action; science measurement/models; computing/algorithms; finance; music rhythm/pattern; geographic data.</x:v>
      </x:c>
      <x:c r="P295" s="27" t="str">
        <x:v>Ratios generalize multiplication to linked quantities and lead to proportional functions.</x:v>
      </x:c>
      <x:c r="Q295" s="27" t="str">
        <x:v>S18-MATH-02</x:v>
      </x:c>
      <x:c r="R295" s="27" t="str">
        <x:v>Solves and explains a ratio/rate problem in at least two representations.</x:v>
      </x:c>
      <x:c r="S295" s="27" t="str">
        <x:v>SRC09</x:v>
      </x:c>
      <x:c r="T295" s="27" t="str">
        <x:v>Development varies; use observed performance and appropriate supports rather than age alone.</x:v>
      </x:c>
      <x:c r="U295" s="27" t="str"/>
      <x:c r="V295" s="27" t="str"/>
      <x:c r="W295" s="39" t="str"/>
      <x:c r="X295" s="39" t="str"/>
    </x:row>
    <x:row r="296">
      <x:c r="A296" s="27" t="str">
        <x:v>S18-MATH-02</x:v>
      </x:c>
      <x:c r="B296" s="37" t="n">
        <x:v>292</x:v>
      </x:c>
      <x:c r="C296" s="27" t="str">
        <x:v>S18</x:v>
      </x:c>
      <x:c r="D296" s="37" t="n">
        <x:v>18</x:v>
      </x:c>
      <x:c r="E296" s="27" t="str">
        <x:v>Grade 6</x:v>
      </x:c>
      <x:c r="F296" s="27" t="str">
        <x:v>6</x:v>
      </x:c>
      <x:c r="G296" s="27" t="str">
        <x:v>Ratios, negative numbers, and disciplinary literacy</x:v>
      </x:c>
      <x:c r="H296" s="27" t="str">
        <x:v>Mathematics</x:v>
      </x:c>
      <x:c r="I296" s="27" t="str">
        <x:v>Number system</x:v>
      </x:c>
      <x:c r="J296" s="27" t="str">
        <x:v>Divide fractions and operate with decimals</x:v>
      </x:c>
      <x:c r="K296" s="27" t="str">
        <x:v>Dividing fractions by fractions through models/equations and fluently computing multi-digit decimals while tracking units and magnitude.</x:v>
      </x:c>
      <x:c r="L296" s="27" t="str">
        <x:v>Grade 5 fraction cases, multiplication inverse, and decimal operations.</x:v>
      </x:c>
      <x:c r="M296" s="27" t="str">
        <x:v>S18-MATH-01</x:v>
      </x:c>
      <x:c r="N296" s="27" t="str">
        <x:v>G5/G6 — Coordinated representations within an evidence-based formal system</x:v>
      </x:c>
      <x:c r="O296" s="27" t="str">
        <x:v>Physical quantity and spatial action; science measurement/models; computing/algorithms; finance; music rhythm/pattern; geographic data.</x:v>
      </x:c>
      <x:c r="P296" s="27" t="str">
        <x:v>Complete rational operations are needed for ratios, algebra, geometry, and science.</x:v>
      </x:c>
      <x:c r="Q296" s="27" t="str">
        <x:v>S18-MATH-03</x:v>
      </x:c>
      <x:c r="R296" s="27" t="str">
        <x:v>Models a fraction quotient and checks a decimal computation by estimation and inverse operation.</x:v>
      </x:c>
      <x:c r="S296" s="27" t="str">
        <x:v>SRC09</x:v>
      </x:c>
      <x:c r="T296" s="27" t="str">
        <x:v>Development varies; use observed performance and appropriate supports rather than age alone.</x:v>
      </x:c>
      <x:c r="U296" s="27" t="str"/>
      <x:c r="V296" s="27" t="str"/>
      <x:c r="W296" s="39" t="str"/>
      <x:c r="X296" s="39" t="str"/>
    </x:row>
    <x:row r="297">
      <x:c r="A297" s="27" t="str">
        <x:v>S18-MATH-03</x:v>
      </x:c>
      <x:c r="B297" s="37" t="n">
        <x:v>293</x:v>
      </x:c>
      <x:c r="C297" s="27" t="str">
        <x:v>S18</x:v>
      </x:c>
      <x:c r="D297" s="37" t="n">
        <x:v>18</x:v>
      </x:c>
      <x:c r="E297" s="27" t="str">
        <x:v>Grade 6</x:v>
      </x:c>
      <x:c r="F297" s="27" t="str">
        <x:v>6</x:v>
      </x:c>
      <x:c r="G297" s="27" t="str">
        <x:v>Ratios, negative numbers, and disciplinary literacy</x:v>
      </x:c>
      <x:c r="H297" s="27" t="str">
        <x:v>Mathematics</x:v>
      </x:c>
      <x:c r="I297" s="27" t="str">
        <x:v>Signed numbers</x:v>
      </x:c>
      <x:c r="J297" s="27" t="str">
        <x:v>Negative numbers and absolute value</x:v>
      </x:c>
      <x:c r="K297" s="27" t="str">
        <x:v>Interpreting positive/negative quantities in context, locating/ordering rational numbers on number lines/planes, and understanding absolute value as distance from zero.</x:v>
      </x:c>
      <x:c r="L297" s="27" t="str">
        <x:v>Whole-number order, fractions/decimals as numbers, and coordinate plane.</x:v>
      </x:c>
      <x:c r="M297" s="27" t="str">
        <x:v>S18-MATH-02</x:v>
      </x:c>
      <x:c r="N297" s="27" t="str">
        <x:v>G5/G6 — Coordinated representations within an evidence-based formal system</x:v>
      </x:c>
      <x:c r="O297" s="27" t="str">
        <x:v>Physical quantity and spatial action; science measurement/models; computing/algorithms; finance; music rhythm/pattern; geographic data.</x:v>
      </x:c>
      <x:c r="P297" s="27" t="str">
        <x:v>Signed magnitude extends arithmetic and enables change, direction, and algebraic solutions.</x:v>
      </x:c>
      <x:c r="Q297" s="27" t="str">
        <x:v>S18-MATH-04</x:v>
      </x:c>
      <x:c r="R297" s="27" t="str">
        <x:v>Models a contextual comparison and distinguishes numerical order from absolute magnitude.</x:v>
      </x:c>
      <x:c r="S297" s="27" t="str">
        <x:v>SRC09</x:v>
      </x:c>
      <x:c r="T297" s="27" t="str">
        <x:v>Development varies; use observed performance and appropriate supports rather than age alone.</x:v>
      </x:c>
      <x:c r="U297" s="27" t="str"/>
      <x:c r="V297" s="27" t="str"/>
      <x:c r="W297" s="39" t="str"/>
      <x:c r="X297" s="39" t="str"/>
    </x:row>
    <x:row r="298">
      <x:c r="A298" s="27" t="str">
        <x:v>S18-MATH-04</x:v>
      </x:c>
      <x:c r="B298" s="37" t="n">
        <x:v>294</x:v>
      </x:c>
      <x:c r="C298" s="27" t="str">
        <x:v>S18</x:v>
      </x:c>
      <x:c r="D298" s="37" t="n">
        <x:v>18</x:v>
      </x:c>
      <x:c r="E298" s="27" t="str">
        <x:v>Grade 6</x:v>
      </x:c>
      <x:c r="F298" s="27" t="str">
        <x:v>6</x:v>
      </x:c>
      <x:c r="G298" s="27" t="str">
        <x:v>Ratios, negative numbers, and disciplinary literacy</x:v>
      </x:c>
      <x:c r="H298" s="27" t="str">
        <x:v>Mathematics</x:v>
      </x:c>
      <x:c r="I298" s="27" t="str">
        <x:v>Expressions and equations</x:v>
      </x:c>
      <x:c r="J298" s="27" t="str">
        <x:v>Variables, properties, and one-step equations</x:v>
      </x:c>
      <x:c r="K298" s="27" t="str">
        <x:v>Writing/evaluating expressions, using exponent notation for whole-number powers, generating equivalent expressions, and solving one-variable equations/inequalities tied to contexts.</x:v>
      </x:c>
      <x:c r="L298" s="27" t="str">
        <x:v>Grade 5 numerical expressions, unknowns, and operation properties.</x:v>
      </x:c>
      <x:c r="M298" s="27" t="str">
        <x:v>S18-MATH-03</x:v>
      </x:c>
      <x:c r="N298" s="27" t="str">
        <x:v>G5/G6 — Coordinated representations within an evidence-based formal system</x:v>
      </x:c>
      <x:c r="O298" s="27" t="str">
        <x:v>Physical quantity and spatial action; science measurement/models; computing/algorithms; finance; music rhythm/pattern; geographic data.</x:v>
      </x:c>
      <x:c r="P298" s="27" t="str">
        <x:v>Letters now represent variable quantities and generalized relationships.</x:v>
      </x:c>
      <x:c r="Q298" s="27" t="str">
        <x:v>S18-MATH-05</x:v>
      </x:c>
      <x:c r="R298" s="27" t="str">
        <x:v>Translates a situation into an expression/equation and verifies the solution in context.</x:v>
      </x:c>
      <x:c r="S298" s="27" t="str">
        <x:v>SRC09</x:v>
      </x:c>
      <x:c r="T298" s="27" t="str">
        <x:v>Development varies; use observed performance and appropriate supports rather than age alone.</x:v>
      </x:c>
      <x:c r="U298" s="27" t="str"/>
      <x:c r="V298" s="27" t="str"/>
      <x:c r="W298" s="39" t="str"/>
      <x:c r="X298" s="39" t="str"/>
    </x:row>
    <x:row r="299">
      <x:c r="A299" s="27" t="str">
        <x:v>S18-MATH-05</x:v>
      </x:c>
      <x:c r="B299" s="37" t="n">
        <x:v>295</x:v>
      </x:c>
      <x:c r="C299" s="27" t="str">
        <x:v>S18</x:v>
      </x:c>
      <x:c r="D299" s="37" t="n">
        <x:v>18</x:v>
      </x:c>
      <x:c r="E299" s="27" t="str">
        <x:v>Grade 6</x:v>
      </x:c>
      <x:c r="F299" s="27" t="str">
        <x:v>6</x:v>
      </x:c>
      <x:c r="G299" s="27" t="str">
        <x:v>Ratios, negative numbers, and disciplinary literacy</x:v>
      </x:c>
      <x:c r="H299" s="27" t="str">
        <x:v>Mathematics</x:v>
      </x:c>
      <x:c r="I299" s="27" t="str">
        <x:v>Geometry</x:v>
      </x:c>
      <x:c r="J299" s="27" t="str">
        <x:v>Area, surface area, and volume</x:v>
      </x:c>
      <x:c r="K299" s="27" t="str">
        <x:v>Finding area of triangles/quadrilaterals/polygons, plotting figures, and using nets to reason about surface area and volume of right rectangular prisms with fractional edges.</x:v>
      </x:c>
      <x:c r="L299" s="27" t="str">
        <x:v>Grade 5 volume, fraction multiplication, and coordinate geometry.</x:v>
      </x:c>
      <x:c r="M299" s="27" t="str">
        <x:v>S18-MATH-04</x:v>
      </x:c>
      <x:c r="N299" s="27" t="str">
        <x:v>G5/G6 — Coordinated representations within an evidence-based formal system</x:v>
      </x:c>
      <x:c r="O299" s="27" t="str">
        <x:v>Physical quantity and spatial action; science measurement/models; computing/algorithms; finance; music rhythm/pattern; geographic data.</x:v>
      </x:c>
      <x:c r="P299" s="27" t="str">
        <x:v>Decomposition and formulas connect spatial structure to algebraic expressions.</x:v>
      </x:c>
      <x:c r="Q299" s="27" t="str">
        <x:v>S18-MATH-06</x:v>
      </x:c>
      <x:c r="R299" s="27" t="str">
        <x:v>Decomposes a figure or net and justifies the formula/units used.</x:v>
      </x:c>
      <x:c r="S299" s="27" t="str">
        <x:v>SRC09</x:v>
      </x:c>
      <x:c r="T299" s="27" t="str">
        <x:v>Development varies; use observed performance and appropriate supports rather than age alone.</x:v>
      </x:c>
      <x:c r="U299" s="27" t="str"/>
      <x:c r="V299" s="27" t="str"/>
      <x:c r="W299" s="39" t="str"/>
      <x:c r="X299" s="39" t="str"/>
    </x:row>
    <x:row r="300">
      <x:c r="A300" s="27" t="str">
        <x:v>S18-MATH-06</x:v>
      </x:c>
      <x:c r="B300" s="37" t="n">
        <x:v>296</x:v>
      </x:c>
      <x:c r="C300" s="27" t="str">
        <x:v>S18</x:v>
      </x:c>
      <x:c r="D300" s="37" t="n">
        <x:v>18</x:v>
      </x:c>
      <x:c r="E300" s="27" t="str">
        <x:v>Grade 6</x:v>
      </x:c>
      <x:c r="F300" s="27" t="str">
        <x:v>6</x:v>
      </x:c>
      <x:c r="G300" s="27" t="str">
        <x:v>Ratios, negative numbers, and disciplinary literacy</x:v>
      </x:c>
      <x:c r="H300" s="27" t="str">
        <x:v>Mathematics</x:v>
      </x:c>
      <x:c r="I300" s="27" t="str">
        <x:v>Statistics</x:v>
      </x:c>
      <x:c r="J300" s="27" t="str">
        <x:v>Statistical questions and distributions</x:v>
      </x:c>
      <x:c r="K300" s="27" t="str">
        <x:v>Recognizing questions that anticipate variability, describing distributions by center, spread, overall pattern, and unusual features, and using dot plots/histograms/box plots.</x:v>
      </x:c>
      <x:c r="L300" s="27" t="str">
        <x:v>Grade 5 line plots, fraction/decimal operations, and data questions.</x:v>
      </x:c>
      <x:c r="M300" s="27" t="str">
        <x:v>S18-MATH-05</x:v>
      </x:c>
      <x:c r="N300" s="27" t="str">
        <x:v>G5/G6 — Coordinated representations within an evidence-based formal system</x:v>
      </x:c>
      <x:c r="O300" s="27" t="str">
        <x:v>Physical quantity and spatial action; science measurement/models; computing/algorithms; finance; music rhythm/pattern; geographic data.</x:v>
      </x:c>
      <x:c r="P300" s="27" t="str">
        <x:v>Variability changes data work from graph reading into statistical reasoning.</x:v>
      </x:c>
      <x:c r="Q300" s="27" t="str">
        <x:v>S19-MATH-01</x:v>
      </x:c>
      <x:c r="R300" s="27" t="str">
        <x:v>Formulates a statistical question and writes a distribution description supported by calculated/visual evidence.</x:v>
      </x:c>
      <x:c r="S300" s="27" t="str">
        <x:v>SRC09</x:v>
      </x:c>
      <x:c r="T300" s="27" t="str">
        <x:v>Development varies; use observed performance and appropriate supports rather than age alone.</x:v>
      </x:c>
      <x:c r="U300" s="27" t="str"/>
      <x:c r="V300" s="27" t="str"/>
      <x:c r="W300" s="39" t="str"/>
      <x:c r="X300" s="39" t="str"/>
    </x:row>
    <x:row r="301">
      <x:c r="A301" s="27" t="str">
        <x:v>S18-SCI-01</x:v>
      </x:c>
      <x:c r="B301" s="37" t="n">
        <x:v>297</x:v>
      </x:c>
      <x:c r="C301" s="27" t="str">
        <x:v>S18</x:v>
      </x:c>
      <x:c r="D301" s="37" t="n">
        <x:v>18</x:v>
      </x:c>
      <x:c r="E301" s="27" t="str">
        <x:v>Grade 6</x:v>
      </x:c>
      <x:c r="F301" s="27" t="str">
        <x:v>6</x:v>
      </x:c>
      <x:c r="G301" s="27" t="str">
        <x:v>Ratios, negative numbers, and disciplinary literacy</x:v>
      </x:c>
      <x:c r="H301" s="27" t="str">
        <x:v>Science &amp; Engineering</x:v>
      </x:c>
      <x:c r="I301" s="27" t="str">
        <x:v>Physical science</x:v>
      </x:c>
      <x:c r="J301" s="27" t="str">
        <x:v>Matter, atoms/molecules, and thermal energy</x:v>
      </x:c>
      <x:c r="K301" s="27" t="str">
        <x:v>Modeling matter as particles, relating particle motion to temperature/state, analyzing chemical-reaction evidence, and tracing thermal-energy transfer.</x:v>
      </x:c>
      <x:c r="L301" s="27" t="str">
        <x:v>Grade 5 matter conservation, decimals, ratios, and model translation.</x:v>
      </x:c>
      <x:c r="M301" s="27" t="str">
        <x:v>S17-SCI-04</x:v>
      </x:c>
      <x:c r="N301" s="27" t="str">
        <x:v>G5/G6 — Coordinated representations within an evidence-based formal system</x:v>
      </x:c>
      <x:c r="O301" s="27" t="str">
        <x:v>Sensory observation and action; mathematics/data; reading/writing evidence; computing/models; health and environmental/civic decisions.</x:v>
      </x:c>
      <x:c r="P301" s="27" t="str">
        <x:v>Particle models explain macroscopic properties and reactions.</x:v>
      </x:c>
      <x:c r="Q301" s="27" t="str">
        <x:v>S18-SCI-02</x:v>
      </x:c>
      <x:c r="R301" s="27" t="str">
        <x:v>Uses a particle model plus data to explain a state or temperature change.</x:v>
      </x:c>
      <x:c r="S301" s="27" t="str">
        <x:v>SRC11</x:v>
      </x:c>
      <x:c r="T301" s="27" t="str">
        <x:v>Development varies; use observed performance and appropriate supports rather than age alone.</x:v>
      </x:c>
      <x:c r="U301" s="27" t="str"/>
      <x:c r="V301" s="27" t="str"/>
      <x:c r="W301" s="39" t="str"/>
      <x:c r="X301" s="39" t="str"/>
    </x:row>
    <x:row r="302">
      <x:c r="A302" s="27" t="str">
        <x:v>S18-SCI-02</x:v>
      </x:c>
      <x:c r="B302" s="37" t="n">
        <x:v>298</x:v>
      </x:c>
      <x:c r="C302" s="27" t="str">
        <x:v>S18</x:v>
      </x:c>
      <x:c r="D302" s="37" t="n">
        <x:v>18</x:v>
      </x:c>
      <x:c r="E302" s="27" t="str">
        <x:v>Grade 6</x:v>
      </x:c>
      <x:c r="F302" s="27" t="str">
        <x:v>6</x:v>
      </x:c>
      <x:c r="G302" s="27" t="str">
        <x:v>Ratios, negative numbers, and disciplinary literacy</x:v>
      </x:c>
      <x:c r="H302" s="27" t="str">
        <x:v>Science &amp; Engineering</x:v>
      </x:c>
      <x:c r="I302" s="27" t="str">
        <x:v>Life science</x:v>
      </x:c>
      <x:c r="J302" s="27" t="str">
        <x:v>Cells and body systems</x:v>
      </x:c>
      <x:c r="K302" s="27" t="str">
        <x:v>Explaining cells as basic units, specialized structures/functions, hierarchical organization, and interacting body systems including information processing.</x:v>
      </x:c>
      <x:c r="L302" s="27" t="str">
        <x:v>Grade 4 structures/sensing and Grade 5 matter-energy systems.</x:v>
      </x:c>
      <x:c r="M302" s="27" t="str">
        <x:v>S18-SCI-01</x:v>
      </x:c>
      <x:c r="N302" s="27" t="str">
        <x:v>G5/G6 — Coordinated representations within an evidence-based formal system</x:v>
      </x:c>
      <x:c r="O302" s="27" t="str">
        <x:v>Sensory observation and action; mathematics/data; reading/writing evidence; computing/models; health and environmental/civic decisions.</x:v>
      </x:c>
      <x:c r="P302" s="27" t="str">
        <x:v>Cell-to-system hierarchy is the organizing model for modern biology.</x:v>
      </x:c>
      <x:c r="Q302" s="27" t="str">
        <x:v>S18-SCI-03</x:v>
      </x:c>
      <x:c r="R302" s="27" t="str">
        <x:v>Traces a function across cell, tissue, organ, and organ-system levels.</x:v>
      </x:c>
      <x:c r="S302" s="27" t="str">
        <x:v>SRC11</x:v>
      </x:c>
      <x:c r="T302" s="27" t="str">
        <x:v>Development varies; use observed performance and appropriate supports rather than age alone.</x:v>
      </x:c>
      <x:c r="U302" s="27" t="str"/>
      <x:c r="V302" s="27" t="str"/>
      <x:c r="W302" s="39" t="str"/>
      <x:c r="X302" s="39" t="str"/>
    </x:row>
    <x:row r="303">
      <x:c r="A303" s="27" t="str">
        <x:v>S18-SCI-03</x:v>
      </x:c>
      <x:c r="B303" s="37" t="n">
        <x:v>299</x:v>
      </x:c>
      <x:c r="C303" s="27" t="str">
        <x:v>S18</x:v>
      </x:c>
      <x:c r="D303" s="37" t="n">
        <x:v>18</x:v>
      </x:c>
      <x:c r="E303" s="27" t="str">
        <x:v>Grade 6</x:v>
      </x:c>
      <x:c r="F303" s="27" t="str">
        <x:v>6</x:v>
      </x:c>
      <x:c r="G303" s="27" t="str">
        <x:v>Ratios, negative numbers, and disciplinary literacy</x:v>
      </x:c>
      <x:c r="H303" s="27" t="str">
        <x:v>Science &amp; Engineering</x:v>
      </x:c>
      <x:c r="I303" s="27" t="str">
        <x:v>Earth and space</x:v>
      </x:c>
      <x:c r="J303" s="27" t="str">
        <x:v>Earth systems and geologic processes</x:v>
      </x:c>
      <x:c r="K303" s="27" t="str">
        <x:v>Modeling cycling of water/rock/materials, plate/surface processes, weather/climate drivers, resource distribution, and evidence of Earth history.</x:v>
      </x:c>
      <x:c r="L303" s="27" t="str">
        <x:v>Grade 5 Earth systems, maps, rate/change, and distributions.</x:v>
      </x:c>
      <x:c r="M303" s="27" t="str">
        <x:v>S18-SCI-02</x:v>
      </x:c>
      <x:c r="N303" s="27" t="str">
        <x:v>G5/G6 — Coordinated representations within an evidence-based formal system</x:v>
      </x:c>
      <x:c r="O303" s="27" t="str">
        <x:v>Sensory observation and action; mathematics/data; reading/writing evidence; computing/models; health and environmental/civic decisions.</x:v>
      </x:c>
      <x:c r="P303" s="27" t="str">
        <x:v>Dynamic interacting systems connect local processes with deep time and human impacts.</x:v>
      </x:c>
      <x:c r="Q303" s="27" t="str">
        <x:v>S19-SCI-01</x:v>
      </x:c>
      <x:c r="R303" s="27" t="str">
        <x:v>Builds a causal model supported by map, material, or time-scale evidence.</x:v>
      </x:c>
      <x:c r="S303" s="27" t="str">
        <x:v>SRC11</x:v>
      </x:c>
      <x:c r="T303" s="27" t="str">
        <x:v>Development varies; use observed performance and appropriate supports rather than age alone.</x:v>
      </x:c>
      <x:c r="U303" s="27" t="str"/>
      <x:c r="V303" s="27" t="str"/>
      <x:c r="W303" s="39" t="str"/>
      <x:c r="X303" s="39" t="str"/>
    </x:row>
    <x:row r="304">
      <x:c r="A304" s="27" t="str">
        <x:v>S18-SST-01</x:v>
      </x:c>
      <x:c r="B304" s="37" t="n">
        <x:v>300</x:v>
      </x:c>
      <x:c r="C304" s="27" t="str">
        <x:v>S18</x:v>
      </x:c>
      <x:c r="D304" s="37" t="n">
        <x:v>18</x:v>
      </x:c>
      <x:c r="E304" s="27" t="str">
        <x:v>Grade 6</x:v>
      </x:c>
      <x:c r="F304" s="27" t="str">
        <x:v>6</x:v>
      </x:c>
      <x:c r="G304" s="27" t="str">
        <x:v>Ratios, negative numbers, and disciplinary literacy</x:v>
      </x:c>
      <x:c r="H304" s="27" t="str">
        <x:v>Social Studies</x:v>
      </x:c>
      <x:c r="I304" s="27" t="str">
        <x:v>Inquiry</x:v>
      </x:c>
      <x:c r="J304" s="27" t="str">
        <x:v>Ancient civilizations and human systems</x:v>
      </x:c>
      <x:c r="K304" s="27" t="str">
        <x:v>Using archaeology, primary/secondary texts, maps, chronology, environment, governance, belief, trade, and social structure to compare early societies.</x:v>
      </x:c>
      <x:c r="L304" s="27" t="str">
        <x:v>Grade 5 national/history inquiry, disciplinary literacy, and ratios/maps.</x:v>
      </x:c>
      <x:c r="M304" s="27" t="str">
        <x:v>S17-SST-01</x:v>
      </x:c>
      <x:c r="N304" s="27" t="str">
        <x:v>G5/G6 — Coordinated representations within an evidence-based formal system</x:v>
      </x:c>
      <x:c r="O304" s="27" t="str">
        <x:v>Language/literacy and source evidence; maps/data/economics; ethics/SEL; media literacy; arts/culture; civic action.</x:v>
      </x:c>
      <x:c r="P304" s="27" t="str">
        <x:v>Ancient-world comparison develops chronology, causation, continuity/change, and contextualization.</x:v>
      </x:c>
      <x:c r="Q304" s="27" t="str">
        <x:v>S18-SST-02</x:v>
      </x:c>
      <x:c r="R304" s="27" t="str">
        <x:v>Answers a compelling question with corroborated evidence and a comparison that respects historical context.</x:v>
      </x:c>
      <x:c r="S304" s="27" t="str">
        <x:v>SRC12; SRC24</x:v>
      </x:c>
      <x:c r="T304" s="27" t="str">
        <x:v>Development varies; use observed performance and appropriate supports rather than age alone.</x:v>
      </x:c>
      <x:c r="U304" s="27" t="str"/>
      <x:c r="V304" s="27" t="str"/>
      <x:c r="W304" s="39" t="str"/>
      <x:c r="X304" s="39" t="str"/>
    </x:row>
    <x:row r="305">
      <x:c r="A305" s="27" t="str">
        <x:v>S18-SST-02</x:v>
      </x:c>
      <x:c r="B305" s="37" t="n">
        <x:v>301</x:v>
      </x:c>
      <x:c r="C305" s="27" t="str">
        <x:v>S18</x:v>
      </x:c>
      <x:c r="D305" s="37" t="n">
        <x:v>18</x:v>
      </x:c>
      <x:c r="E305" s="27" t="str">
        <x:v>Grade 6</x:v>
      </x:c>
      <x:c r="F305" s="27" t="str">
        <x:v>6</x:v>
      </x:c>
      <x:c r="G305" s="27" t="str">
        <x:v>Ratios, negative numbers, and disciplinary literacy</x:v>
      </x:c>
      <x:c r="H305" s="27" t="str">
        <x:v>Social Studies</x:v>
      </x:c>
      <x:c r="I305" s="27" t="str">
        <x:v>Civics and economics</x:v>
      </x:c>
      <x:c r="J305" s="27" t="str">
        <x:v>Institutions, scarcity, incentives, and public decisions</x:v>
      </x:c>
      <x:c r="K305" s="27" t="str">
        <x:v>Analyzing how institutions distribute authority, how scarcity/incentives shape choices, and how groups use evidence in public decisions.</x:v>
      </x:c>
      <x:c r="L305" s="27" t="str">
        <x:v>Grade 5 government principles, opportunity cost, and argument anatomy.</x:v>
      </x:c>
      <x:c r="M305" s="27" t="str">
        <x:v>S18-SST-01</x:v>
      </x:c>
      <x:c r="N305" s="27" t="str">
        <x:v>G5/G6 — Coordinated representations within an evidence-based formal system</x:v>
      </x:c>
      <x:c r="O305" s="27" t="str">
        <x:v>Language/literacy and source evidence; maps/data/economics; ethics/SEL; media literacy; arts/culture; civic action.</x:v>
      </x:c>
      <x:c r="P305" s="27" t="str">
        <x:v>Institutional and economic tools explain recurring patterns across history and current life.</x:v>
      </x:c>
      <x:c r="Q305" s="27" t="str">
        <x:v>S19-SST-01</x:v>
      </x:c>
      <x:c r="R305" s="27" t="str">
        <x:v>Evaluates a decision using authority, stakeholder, incentive, cost, and evidence lenses.</x:v>
      </x:c>
      <x:c r="S305" s="27" t="str">
        <x:v>SRC12</x:v>
      </x:c>
      <x:c r="T305" s="27" t="str">
        <x:v>Development varies; use observed performance and appropriate supports rather than age alone.</x:v>
      </x:c>
      <x:c r="U305" s="27" t="str"/>
      <x:c r="V305" s="27" t="str"/>
      <x:c r="W305" s="39" t="str"/>
      <x:c r="X305" s="39" t="str"/>
    </x:row>
    <x:row r="306">
      <x:c r="A306" s="27" t="str">
        <x:v>S18-ARTS-01</x:v>
      </x:c>
      <x:c r="B306" s="37" t="n">
        <x:v>302</x:v>
      </x:c>
      <x:c r="C306" s="27" t="str">
        <x:v>S18</x:v>
      </x:c>
      <x:c r="D306" s="37" t="n">
        <x:v>18</x:v>
      </x:c>
      <x:c r="E306" s="27" t="str">
        <x:v>Grade 6</x:v>
      </x:c>
      <x:c r="F306" s="27" t="str">
        <x:v>6</x:v>
      </x:c>
      <x:c r="G306" s="27" t="str">
        <x:v>Ratios, negative numbers, and disciplinary literacy</x:v>
      </x:c>
      <x:c r="H306" s="27" t="str">
        <x:v>Music &amp; Arts</x:v>
      </x:c>
      <x:c r="I306" s="27" t="str">
        <x:v>Music</x:v>
      </x:c>
      <x:c r="J306" s="27" t="str">
        <x:v>Scales, chords, meter, form, and ensemble interpretation</x:v>
      </x:c>
      <x:c r="K306" s="27" t="str">
        <x:v>Performing/creating with grade-appropriate notation, major/minor or modal materials as available, chord/function awareness, varied meters/forms, and documented interpretive choices.</x:v>
      </x:c>
      <x:c r="L306" s="27" t="str">
        <x:v>Grade 5 notation/harmony/context and fraction/ratio relationships.</x:v>
      </x:c>
      <x:c r="M306" s="27" t="str">
        <x:v>S17-ARTS-01</x:v>
      </x:c>
      <x:c r="N306" s="27" t="str">
        <x:v>G5/G6 — Coordinated representations within an evidence-based formal system</x:v>
      </x:c>
      <x:c r="O306" s="27" t="str">
        <x:v>Sensory discrimination; motor timing; language/prosody; mathematics/pattern; history/culture; emotion, design, and technology.</x:v>
      </x:c>
      <x:c r="P306" s="27" t="str">
        <x:v>Tonal/rhythmic systems and interpretation prepare specialized ensemble, theory, composition, and technology pathways.</x:v>
      </x:c>
      <x:c r="Q306" s="27" t="str">
        <x:v>S19-ARTS-01</x:v>
      </x:c>
      <x:c r="R306" s="27" t="str">
        <x:v>Performs or creates a complete work and defends technical/expressive decisions with criteria.</x:v>
      </x:c>
      <x:c r="S306" s="27" t="str">
        <x:v>SRC13</x:v>
      </x:c>
      <x:c r="T306" s="27" t="str">
        <x:v>Development varies; use observed performance and appropriate supports rather than age alone.</x:v>
      </x:c>
      <x:c r="U306" s="27" t="str"/>
      <x:c r="V306" s="27" t="str"/>
      <x:c r="W306" s="39" t="str"/>
      <x:c r="X306" s="39" t="str"/>
    </x:row>
    <x:row r="307">
      <x:c r="A307" s="27" t="str">
        <x:v>S18-HLTH-01</x:v>
      </x:c>
      <x:c r="B307" s="37" t="n">
        <x:v>303</x:v>
      </x:c>
      <x:c r="C307" s="27" t="str">
        <x:v>S18</x:v>
      </x:c>
      <x:c r="D307" s="37" t="n">
        <x:v>18</x:v>
      </x:c>
      <x:c r="E307" s="27" t="str">
        <x:v>Grade 6</x:v>
      </x:c>
      <x:c r="F307" s="27" t="str">
        <x:v>6</x:v>
      </x:c>
      <x:c r="G307" s="27" t="str">
        <x:v>Ratios, negative numbers, and disciplinary literacy</x:v>
      </x:c>
      <x:c r="H307" s="27" t="str">
        <x:v>Physical &amp; Health</x:v>
      </x:c>
      <x:c r="I307" s="27" t="str">
        <x:v>Adolescent health</x:v>
      </x:c>
      <x:c r="J307" s="27" t="str">
        <x:v>Puberty, mental health, consent/boundaries, and reliable help</x:v>
      </x:c>
      <x:c r="K307" s="27" t="str">
        <x:v>Using accurate health information to understand developmental change, stress and coping, interpersonal boundaries/consent, safety, and when/how to seek qualified help.</x:v>
      </x:c>
      <x:c r="L307" s="27" t="str">
        <x:v>Grade 5 health goal, self-advocacy, and source evaluation.</x:v>
      </x:c>
      <x:c r="M307" s="27" t="str">
        <x:v>S17-HLTH-01</x:v>
      </x:c>
      <x:c r="N307" s="27" t="str">
        <x:v>G5/G6 — Coordinated representations within an evidence-based formal system</x:v>
      </x:c>
      <x:c r="O307" s="27" t="str">
        <x:v>Motor/sensory development; life science; measurement/data; SEL/self-management; communication, safety, and decision-making.</x:v>
      </x:c>
      <x:c r="P307" s="27" t="str">
        <x:v>Accurate information and practiced communication support health-protective decisions during adolescence.</x:v>
      </x:c>
      <x:c r="Q307" s="27" t="str">
        <x:v>S19-HLTH-01</x:v>
      </x:c>
      <x:c r="R307" s="27" t="str">
        <x:v>Analyzes a scenario, identifies reliable help, and demonstrates clear boundary/help communication.</x:v>
      </x:c>
      <x:c r="S307" s="27" t="str">
        <x:v>SRC15</x:v>
      </x:c>
      <x:c r="T307" s="27" t="str">
        <x:v>Development varies; use observed performance and appropriate supports rather than age alone.</x:v>
      </x:c>
      <x:c r="U307" s="27" t="str"/>
      <x:c r="V307" s="27" t="str"/>
      <x:c r="W307" s="39" t="str"/>
      <x:c r="X307" s="39" t="str"/>
    </x:row>
    <x:row r="308">
      <x:c r="A308" s="27" t="str">
        <x:v>S18-COMP-01</x:v>
      </x:c>
      <x:c r="B308" s="37" t="n">
        <x:v>304</x:v>
      </x:c>
      <x:c r="C308" s="27" t="str">
        <x:v>S18</x:v>
      </x:c>
      <x:c r="D308" s="37" t="n">
        <x:v>18</x:v>
      </x:c>
      <x:c r="E308" s="27" t="str">
        <x:v>Grade 6</x:v>
      </x:c>
      <x:c r="F308" s="27" t="str">
        <x:v>6</x:v>
      </x:c>
      <x:c r="G308" s="27" t="str">
        <x:v>Ratios, negative numbers, and disciplinary literacy</x:v>
      </x:c>
      <x:c r="H308" s="27" t="str">
        <x:v>Computing &amp; Media</x:v>
      </x:c>
      <x:c r="I308" s="27" t="str">
        <x:v>Computing</x:v>
      </x:c>
      <x:c r="J308" s="27" t="str">
        <x:v>Algorithms, networks, cybersecurity, and data ethics</x:v>
      </x:c>
      <x:c r="K308" s="27" t="str">
        <x:v>Comparing algorithm efficiency at an introductory level, explaining network transmission, applying authentication/privacy practices, and analyzing consequences of data collection.</x:v>
      </x:c>
      <x:c r="L308" s="27" t="str">
        <x:v>Grade 5 procedures/data/privacy and ratio/statistics thinking.</x:v>
      </x:c>
      <x:c r="M308" s="27" t="str">
        <x:v>S17-COMP-01</x:v>
      </x:c>
      <x:c r="N308" s="27" t="str">
        <x:v>G5/G6 — Coordinated representations within an evidence-based formal system</x:v>
      </x:c>
      <x:c r="O308" s="27" t="str">
        <x:v>Mathematics/logic/data; language and media evidence; science/engineering models; art/design; civics, privacy, finance, and ethics.</x:v>
      </x:c>
      <x:c r="P308" s="27" t="str">
        <x:v>Technical systems and ethical impacts must be understood together.</x:v>
      </x:c>
      <x:c r="Q308" s="27" t="str">
        <x:v>S19-COMP-01</x:v>
      </x:c>
      <x:c r="R308" s="27" t="str">
        <x:v>Explains a system/algorithm and recommends a specific security or data-governance control.</x:v>
      </x:c>
      <x:c r="S308" s="27" t="str">
        <x:v>SRC16</x:v>
      </x:c>
      <x:c r="T308" s="27" t="str">
        <x:v>Development varies; use observed performance and appropriate supports rather than age alone.</x:v>
      </x:c>
      <x:c r="U308" s="27" t="str"/>
      <x:c r="V308" s="27" t="str"/>
      <x:c r="W308" s="39" t="str"/>
      <x:c r="X308" s="39" t="str"/>
    </x:row>
    <x:row r="309">
      <x:c r="A309" s="27" t="str">
        <x:v>S18-WLANG-01</x:v>
      </x:c>
      <x:c r="B309" s="37" t="n">
        <x:v>305</x:v>
      </x:c>
      <x:c r="C309" s="27" t="str">
        <x:v>S18</x:v>
      </x:c>
      <x:c r="D309" s="37" t="n">
        <x:v>18</x:v>
      </x:c>
      <x:c r="E309" s="27" t="str">
        <x:v>Grade 6</x:v>
      </x:c>
      <x:c r="F309" s="27" t="str">
        <x:v>6</x:v>
      </x:c>
      <x:c r="G309" s="27" t="str">
        <x:v>Ratios, negative numbers, and disciplinary literacy</x:v>
      </x:c>
      <x:c r="H309" s="27" t="str">
        <x:v>World Languages</x:v>
      </x:c>
      <x:c r="I309" s="27" t="str">
        <x:v>Proficiency</x:v>
      </x:c>
      <x:c r="J309" s="27" t="str">
        <x:v>Novice-high communication and cultural interpretation</x:v>
      </x:c>
      <x:c r="K309" s="27" t="str">
        <x:v>Combining sentences to handle familiar exchanges, understand main ideas/details in short authentic sources, present organized information, and reflect on cultural practices/products/perspectives.</x:v>
      </x:c>
      <x:c r="L309" s="27" t="str">
        <x:v>Grade 5 novice communication cycle and sustained literacy strategies.</x:v>
      </x:c>
      <x:c r="M309" s="27" t="str">
        <x:v>S17-WLANG-01</x:v>
      </x:c>
      <x:c r="N309" s="27" t="str">
        <x:v>G5/G6 — Coordinated representations within an evidence-based formal system</x:v>
      </x:c>
      <x:c r="O309" s="27" t="str">
        <x:v>Oral language, reading, and writing; memory/retrieval; social interaction; history/geography/arts; intercultural perspective.</x:v>
      </x:c>
      <x:c r="P309" s="27" t="str">
        <x:v>Connected sentences and authentic interpretation move language use beyond memorized scripts.</x:v>
      </x:c>
      <x:c r="Q309" s="27" t="str">
        <x:v>S19-WLANG-01</x:v>
      </x:c>
      <x:c r="R309" s="27" t="str">
        <x:v>Completes an unscripted familiar interaction and supports an interpretation with source features.</x:v>
      </x:c>
      <x:c r="S309" s="27" t="str">
        <x:v>SRC17</x:v>
      </x:c>
      <x:c r="T309" s="27" t="str">
        <x:v>Proficiency depends on cumulative exposure and use; place learners by demonstrated communication.</x:v>
      </x:c>
      <x:c r="U309" s="27" t="str"/>
      <x:c r="V309" s="27" t="str"/>
      <x:c r="W309" s="39" t="str"/>
      <x:c r="X309" s="39" t="str"/>
    </x:row>
    <x:row r="310">
      <x:c r="A310" s="27" t="str">
        <x:v>S18-LIFE-01</x:v>
      </x:c>
      <x:c r="B310" s="37" t="n">
        <x:v>306</x:v>
      </x:c>
      <x:c r="C310" s="27" t="str">
        <x:v>S18</x:v>
      </x:c>
      <x:c r="D310" s="37" t="n">
        <x:v>18</x:v>
      </x:c>
      <x:c r="E310" s="27" t="str">
        <x:v>Grade 6</x:v>
      </x:c>
      <x:c r="F310" s="27" t="str">
        <x:v>6</x:v>
      </x:c>
      <x:c r="G310" s="27" t="str">
        <x:v>Ratios, negative numbers, and disciplinary literacy</x:v>
      </x:c>
      <x:c r="H310" s="27" t="str">
        <x:v>Life, Finance &amp; Career</x:v>
      </x:c>
      <x:c r="I310" s="27" t="str">
        <x:v>Personal finance</x:v>
      </x:c>
      <x:c r="J310" s="27" t="str">
        <x:v>Percent, taxes, simple interest, and spending plans</x:v>
      </x:c>
      <x:c r="K310" s="27" t="str">
        <x:v>Using rates/percents to interpret discounts, sales tax, tips, simple interest, income deductions, and a realistic short-term spending/saving plan.</x:v>
      </x:c>
      <x:c r="L310" s="27" t="str">
        <x:v>Grade 5 interest/risk, ratios/unit rates, and decimal operations.</x:v>
      </x:c>
      <x:c r="M310" s="27" t="str">
        <x:v>S17-LIFE-01</x:v>
      </x:c>
      <x:c r="N310" s="27" t="str">
        <x:v>G5/G6 — Coordinated representations within an evidence-based formal system</x:v>
      </x:c>
      <x:c r="O310" s="27" t="str">
        <x:v>Mathematics/percent/growth; economics/civics; reading contracts/sources; computing/privacy; SEL, planning, and risk decisions.</x:v>
      </x:c>
      <x:c r="P310" s="27" t="str">
        <x:v>Percent translates proportional reasoning into common financial decisions.</x:v>
      </x:c>
      <x:c r="Q310" s="27" t="str">
        <x:v>S19-LIFE-01</x:v>
      </x:c>
      <x:c r="R310" s="27" t="str">
        <x:v>Builds and checks a plan containing income, deductions, expenses, savings, and one percentage-based cost.</x:v>
      </x:c>
      <x:c r="S310" s="27" t="str">
        <x:v>SRC19</x:v>
      </x:c>
      <x:c r="T310" s="27" t="str">
        <x:v>Development varies; use observed performance and appropriate supports rather than age alone.</x:v>
      </x:c>
      <x:c r="U310" s="27" t="str"/>
      <x:c r="V310" s="27" t="str"/>
      <x:c r="W310" s="39" t="str"/>
      <x:c r="X310" s="39" t="str"/>
    </x:row>
    <x:row r="311">
      <x:c r="A311" s="27" t="str">
        <x:v>S19-LEARN-01</x:v>
      </x:c>
      <x:c r="B311" s="37" t="n">
        <x:v>307</x:v>
      </x:c>
      <x:c r="C311" s="27" t="str">
        <x:v>S19</x:v>
      </x:c>
      <x:c r="D311" s="37" t="n">
        <x:v>19</x:v>
      </x:c>
      <x:c r="E311" s="27" t="str">
        <x:v>Grade 7</x:v>
      </x:c>
      <x:c r="F311" s="27" t="str">
        <x:v>7</x:v>
      </x:c>
      <x:c r="G311" s="27" t="str">
        <x:v>Proportional models, rational operations, and argument</x:v>
      </x:c>
      <x:c r="H311" s="27" t="str">
        <x:v>Learning Foundations</x:v>
      </x:c>
      <x:c r="I311" s="27" t="str">
        <x:v>Memory architecture</x:v>
      </x:c>
      <x:c r="J311" s="27" t="str">
        <x:v>Interleaving and discrimination</x:v>
      </x:c>
      <x:c r="K311" s="27" t="str">
        <x:v>Mixing related problem types, texts, concepts, or procedures so the learner must identify the governing structure and select the tool.</x:v>
      </x:c>
      <x:c r="L311" s="27" t="str">
        <x:v>Retrieval-feedback-spacing and representation mapping.</x:v>
      </x:c>
      <x:c r="M311" s="27" t="str">
        <x:v>S18-LEARN-02</x:v>
      </x:c>
      <x:c r="N311" s="27" t="str">
        <x:v>G5/G6 — Coordinated representations within an evidence-based formal system</x:v>
      </x:c>
      <x:c r="O311" s="27" t="str">
        <x:v>All domains: attention, memory, strategy choice, monitoring, retrieval, and transfer.</x:v>
      </x:c>
      <x:c r="P311" s="27" t="str">
        <x:v>Interleaving trains when/why to use knowledge, which is necessary for transfer.</x:v>
      </x:c>
      <x:c r="Q311" s="27" t="str">
        <x:v>S20-LEARN-01</x:v>
      </x:c>
      <x:c r="R311" s="27" t="str">
        <x:v>Classifies mixed tasks, selects strategies without labels, and explains discriminating features.</x:v>
      </x:c>
      <x:c r="S311" s="27" t="str">
        <x:v>SRC23; SRC29; SRC34</x:v>
      </x:c>
      <x:c r="T311" s="27" t="str">
        <x:v>Development varies; use observed performance and appropriate supports rather than age alone.</x:v>
      </x:c>
      <x:c r="U311" s="27" t="str"/>
      <x:c r="V311" s="27" t="str"/>
      <x:c r="W311" s="39" t="str"/>
      <x:c r="X311" s="39" t="str"/>
    </x:row>
    <x:row r="312">
      <x:c r="A312" s="27" t="str">
        <x:v>S19-SEL-01</x:v>
      </x:c>
      <x:c r="B312" s="37" t="n">
        <x:v>308</x:v>
      </x:c>
      <x:c r="C312" s="27" t="str">
        <x:v>S19</x:v>
      </x:c>
      <x:c r="D312" s="37" t="n">
        <x:v>19</x:v>
      </x:c>
      <x:c r="E312" s="27" t="str">
        <x:v>Grade 7</x:v>
      </x:c>
      <x:c r="F312" s="27" t="str">
        <x:v>7</x:v>
      </x:c>
      <x:c r="G312" s="27" t="str">
        <x:v>Proportional models, rational operations, and argument</x:v>
      </x:c>
      <x:c r="H312" s="27" t="str">
        <x:v>Social-Emotional</x:v>
      </x:c>
      <x:c r="I312" s="27" t="str">
        <x:v>Decision-making</x:v>
      </x:c>
      <x:c r="J312" s="27" t="str">
        <x:v>Values, evidence, pressure, and long-term effects</x:v>
      </x:c>
      <x:c r="K312" s="27" t="str">
        <x:v>Evaluating a choice against personal/community values, credible evidence, social influences, and immediate/longer consequences.</x:v>
      </x:c>
      <x:c r="L312" s="27" t="str">
        <x:v>Grade 6 identity/advocacy, argument evaluation, and consequence analysis.</x:v>
      </x:c>
      <x:c r="M312" s="27" t="str">
        <x:v>S18-SEL-01</x:v>
      </x:c>
      <x:c r="N312" s="27" t="str">
        <x:v>G5/G6 — Coordinated representations within an evidence-based formal system</x:v>
      </x:c>
      <x:c r="O312" s="27" t="str">
        <x:v>Language and communication; health; collaboration in science, arts, civics, and projects; responsible digital/financial decisions.</x:v>
      </x:c>
      <x:c r="P312" s="27" t="str">
        <x:v>A multi-factor decision model supports health, digital, financial, and civic judgment.</x:v>
      </x:c>
      <x:c r="Q312" s="27" t="str">
        <x:v>S20-SEL-01</x:v>
      </x:c>
      <x:c r="R312" s="27" t="str">
        <x:v>Documents options and reaches a reasoned decision while naming uncertainty and influence.</x:v>
      </x:c>
      <x:c r="S312" s="27" t="str">
        <x:v>SRC18</x:v>
      </x:c>
      <x:c r="T312" s="27" t="str">
        <x:v>Development varies; use observed performance and appropriate supports rather than age alone.</x:v>
      </x:c>
      <x:c r="U312" s="27" t="str"/>
      <x:c r="V312" s="27" t="str"/>
      <x:c r="W312" s="39" t="str"/>
      <x:c r="X312" s="39" t="str"/>
    </x:row>
    <x:row r="313">
      <x:c r="A313" s="27" t="str">
        <x:v>S19-READ-01</x:v>
      </x:c>
      <x:c r="B313" s="37" t="n">
        <x:v>309</x:v>
      </x:c>
      <x:c r="C313" s="27" t="str">
        <x:v>S19</x:v>
      </x:c>
      <x:c r="D313" s="37" t="n">
        <x:v>19</x:v>
      </x:c>
      <x:c r="E313" s="27" t="str">
        <x:v>Grade 7</x:v>
      </x:c>
      <x:c r="F313" s="27" t="str">
        <x:v>7</x:v>
      </x:c>
      <x:c r="G313" s="27" t="str">
        <x:v>Proportional models, rational operations, and argument</x:v>
      </x:c>
      <x:c r="H313" s="27" t="str">
        <x:v>Reading</x:v>
      </x:c>
      <x:c r="I313" s="27" t="str">
        <x:v>Literature</x:v>
      </x:c>
      <x:c r="J313" s="27" t="str">
        <x:v>Theme interaction and craft</x:v>
      </x:c>
      <x:c r="K313" s="27" t="str">
        <x:v>Analyzing how setting, character, plot, point of view, language, and form interact to develop themes and effects.</x:v>
      </x:c>
      <x:c r="L313" s="27" t="str">
        <x:v>Grade 6 central-idea development and author analysis.</x:v>
      </x:c>
      <x:c r="M313" s="27" t="str">
        <x:v>S18-READ-03</x:v>
      </x:c>
      <x:c r="N313" s="27" t="str">
        <x:v>G5/G6 — Coordinated representations within an evidence-based formal system</x:v>
      </x:c>
      <x:c r="O313" s="27" t="str">
        <x:v>Oral language and writing; evidence in science/social studies; mathematical and technical problem interpretation; media verification.</x:v>
      </x:c>
      <x:c r="P313" s="27" t="str">
        <x:v>Interaction analysis replaces isolated identification of literary elements.</x:v>
      </x:c>
      <x:c r="Q313" s="27" t="str">
        <x:v>S19-READ-02</x:v>
      </x:c>
      <x:c r="R313" s="27" t="str">
        <x:v>Explains a theme/effect through a chain of at least two interacting craft choices.</x:v>
      </x:c>
      <x:c r="S313" s="27" t="str">
        <x:v>SRC10</x:v>
      </x:c>
      <x:c r="T313" s="27" t="str">
        <x:v>Development varies; use observed performance and appropriate supports rather than age alone.</x:v>
      </x:c>
      <x:c r="U313" s="27" t="str"/>
      <x:c r="V313" s="27" t="str"/>
      <x:c r="W313" s="39" t="str"/>
      <x:c r="X313" s="39" t="str"/>
    </x:row>
    <x:row r="314">
      <x:c r="A314" s="27" t="str">
        <x:v>S19-READ-02</x:v>
      </x:c>
      <x:c r="B314" s="37" t="n">
        <x:v>310</x:v>
      </x:c>
      <x:c r="C314" s="27" t="str">
        <x:v>S19</x:v>
      </x:c>
      <x:c r="D314" s="37" t="n">
        <x:v>19</x:v>
      </x:c>
      <x:c r="E314" s="27" t="str">
        <x:v>Grade 7</x:v>
      </x:c>
      <x:c r="F314" s="27" t="str">
        <x:v>7</x:v>
      </x:c>
      <x:c r="G314" s="27" t="str">
        <x:v>Proportional models, rational operations, and argument</x:v>
      </x:c>
      <x:c r="H314" s="27" t="str">
        <x:v>Reading</x:v>
      </x:c>
      <x:c r="I314" s="27" t="str">
        <x:v>Informational argument</x:v>
      </x:c>
      <x:c r="J314" s="27" t="str">
        <x:v>Author purpose, evidence quality, and conflicting information</x:v>
      </x:c>
      <x:c r="K314" s="27" t="str">
        <x:v>Tracing an argument, evaluating evidence sufficiency/accuracy/relevance, comparing authors’ purposes, and reconciling disagreement across sources.</x:v>
      </x:c>
      <x:c r="L314" s="27" t="str">
        <x:v>Grade 6 argument mapping, research evaluation, and viewpoint analysis.</x:v>
      </x:c>
      <x:c r="M314" s="27" t="str">
        <x:v>S19-READ-01</x:v>
      </x:c>
      <x:c r="N314" s="27" t="str">
        <x:v>G5/G6 — Coordinated representations within an evidence-based formal system</x:v>
      </x:c>
      <x:c r="O314" s="27" t="str">
        <x:v>Oral language and writing; evidence in science/social studies; mathematical and technical problem interpretation; media verification.</x:v>
      </x:c>
      <x:c r="P314" s="27" t="str">
        <x:v>Conflicting sources require evaluation rather than simple accumulation.</x:v>
      </x:c>
      <x:c r="Q314" s="27" t="str">
        <x:v>S20-READ-01</x:v>
      </x:c>
      <x:c r="R314" s="27" t="str">
        <x:v>Ranks evidence quality and explains the strongest supported conclusion and remaining uncertainty.</x:v>
      </x:c>
      <x:c r="S314" s="27" t="str">
        <x:v>SRC10; SRC20</x:v>
      </x:c>
      <x:c r="T314" s="27" t="str">
        <x:v>Development varies; use observed performance and appropriate supports rather than age alone.</x:v>
      </x:c>
      <x:c r="U314" s="27" t="str"/>
      <x:c r="V314" s="27" t="str"/>
      <x:c r="W314" s="39" t="str"/>
      <x:c r="X314" s="39" t="str"/>
    </x:row>
    <x:row r="315">
      <x:c r="A315" s="27" t="str">
        <x:v>S19-WRITE-01</x:v>
      </x:c>
      <x:c r="B315" s="37" t="n">
        <x:v>311</x:v>
      </x:c>
      <x:c r="C315" s="27" t="str">
        <x:v>S19</x:v>
      </x:c>
      <x:c r="D315" s="37" t="n">
        <x:v>19</x:v>
      </x:c>
      <x:c r="E315" s="27" t="str">
        <x:v>Grade 7</x:v>
      </x:c>
      <x:c r="F315" s="27" t="str">
        <x:v>7</x:v>
      </x:c>
      <x:c r="G315" s="27" t="str">
        <x:v>Proportional models, rational operations, and argument</x:v>
      </x:c>
      <x:c r="H315" s="27" t="str">
        <x:v>Writing &amp; Language</x:v>
      </x:c>
      <x:c r="I315" s="27" t="str">
        <x:v>Argument</x:v>
      </x:c>
      <x:c r="J315" s="27" t="str">
        <x:v>Counterclaim and rebuttal</x:v>
      </x:c>
      <x:c r="K315" s="27" t="str">
        <x:v>Developing a claim with logical reasons/evidence, acknowledging a credible counterclaim, and responding through evidence and reasoning rather than dismissal.</x:v>
      </x:c>
      <x:c r="L315" s="27" t="str">
        <x:v>Grade 6 evidence chain, literature/informational analysis, and perspective consensus.</x:v>
      </x:c>
      <x:c r="M315" s="27" t="str">
        <x:v>S18-WRITE-03</x:v>
      </x:c>
      <x:c r="N315" s="27" t="str">
        <x:v>G5/G6 — Coordinated representations within an evidence-based formal system</x:v>
      </x:c>
      <x:c r="O315" s="27" t="str">
        <x:v>Reading models; evidence from science/social studies; mathematical explanation; research, media, and presentation.</x:v>
      </x:c>
      <x:c r="P315" s="27" t="str">
        <x:v>Counterargument tests claim strength and prepares formal debate and academic writing.</x:v>
      </x:c>
      <x:c r="Q315" s="27" t="str">
        <x:v>S19-WRITE-02</x:v>
      </x:c>
      <x:c r="R315" s="27" t="str">
        <x:v>Represents a counterclaim fairly and writes a relevant evidence-based response.</x:v>
      </x:c>
      <x:c r="S315" s="27" t="str">
        <x:v>SRC10; SRC22</x:v>
      </x:c>
      <x:c r="T315" s="27" t="str">
        <x:v>Development varies; use observed performance and appropriate supports rather than age alone.</x:v>
      </x:c>
      <x:c r="U315" s="27" t="str"/>
      <x:c r="V315" s="27" t="str"/>
      <x:c r="W315" s="39" t="str"/>
      <x:c r="X315" s="39" t="str"/>
    </x:row>
    <x:row r="316">
      <x:c r="A316" s="27" t="str">
        <x:v>S19-WRITE-02</x:v>
      </x:c>
      <x:c r="B316" s="37" t="n">
        <x:v>312</x:v>
      </x:c>
      <x:c r="C316" s="27" t="str">
        <x:v>S19</x:v>
      </x:c>
      <x:c r="D316" s="37" t="n">
        <x:v>19</x:v>
      </x:c>
      <x:c r="E316" s="27" t="str">
        <x:v>Grade 7</x:v>
      </x:c>
      <x:c r="F316" s="27" t="str">
        <x:v>7</x:v>
      </x:c>
      <x:c r="G316" s="27" t="str">
        <x:v>Proportional models, rational operations, and argument</x:v>
      </x:c>
      <x:c r="H316" s="27" t="str">
        <x:v>Writing &amp; Language</x:v>
      </x:c>
      <x:c r="I316" s="27" t="str">
        <x:v>Exposition and synthesis</x:v>
      </x:c>
      <x:c r="J316" s="27" t="str">
        <x:v>Synthesize across sources and representations</x:v>
      </x:c>
      <x:c r="K316" s="27" t="str">
        <x:v>Organizing a controlling idea from several sources, integrating quotation/paraphrase/data/visuals, and explaining relationships among them.</x:v>
      </x:c>
      <x:c r="L316" s="27" t="str">
        <x:v>Grade 6 source evaluation/citation and Grade 5 synthesis.</x:v>
      </x:c>
      <x:c r="M316" s="27" t="str">
        <x:v>S19-WRITE-01</x:v>
      </x:c>
      <x:c r="N316" s="27" t="str">
        <x:v>G5/G6 — Coordinated representations within an evidence-based formal system</x:v>
      </x:c>
      <x:c r="O316" s="27" t="str">
        <x:v>Reading models; evidence from science/social studies; mathematical explanation; research, media, and presentation.</x:v>
      </x:c>
      <x:c r="P316" s="27" t="str">
        <x:v>Synthesis constructs new understanding across evidence rather than summarizing sources one at a time.</x:v>
      </x:c>
      <x:c r="Q316" s="27" t="str">
        <x:v>S19-WRITE-03</x:v>
      </x:c>
      <x:c r="R316" s="27" t="str">
        <x:v>Produces a source-integrated explanation organized by ideas instead of source order.</x:v>
      </x:c>
      <x:c r="S316" s="27" t="str">
        <x:v>SRC10; SRC22</x:v>
      </x:c>
      <x:c r="T316" s="27" t="str">
        <x:v>Development varies; use observed performance and appropriate supports rather than age alone.</x:v>
      </x:c>
      <x:c r="U316" s="27" t="str"/>
      <x:c r="V316" s="27" t="str"/>
      <x:c r="W316" s="39" t="str"/>
      <x:c r="X316" s="39" t="str"/>
    </x:row>
    <x:row r="317">
      <x:c r="A317" s="27" t="str">
        <x:v>S19-WRITE-03</x:v>
      </x:c>
      <x:c r="B317" s="37" t="n">
        <x:v>313</x:v>
      </x:c>
      <x:c r="C317" s="27" t="str">
        <x:v>S19</x:v>
      </x:c>
      <x:c r="D317" s="37" t="n">
        <x:v>19</x:v>
      </x:c>
      <x:c r="E317" s="27" t="str">
        <x:v>Grade 7</x:v>
      </x:c>
      <x:c r="F317" s="27" t="str">
        <x:v>7</x:v>
      </x:c>
      <x:c r="G317" s="27" t="str">
        <x:v>Proportional models, rational operations, and argument</x:v>
      </x:c>
      <x:c r="H317" s="27" t="str">
        <x:v>Writing &amp; Language</x:v>
      </x:c>
      <x:c r="I317" s="27" t="str">
        <x:v>Process</x:v>
      </x:c>
      <x:c r="J317" s="27" t="str">
        <x:v>Model–practice–reflect revision cycle</x:v>
      </x:c>
      <x:c r="K317" s="27" t="str">
        <x:v>Studying a strong model, practicing one target feature, receiving focused feedback, revising, and reflecting on the transfer rule.</x:v>
      </x:c>
      <x:c r="L317" s="27" t="str">
        <x:v>Grade 6 argument/exposition and error classification.</x:v>
      </x:c>
      <x:c r="M317" s="27" t="str">
        <x:v>S19-WRITE-02</x:v>
      </x:c>
      <x:c r="N317" s="27" t="str">
        <x:v>G5/G6 — Coordinated representations within an evidence-based formal system</x:v>
      </x:c>
      <x:c r="O317" s="27" t="str">
        <x:v>Reading models; evidence from science/social studies; mathematical explanation; research, media, and presentation.</x:v>
      </x:c>
      <x:c r="P317" s="27" t="str">
        <x:v>A controlled revision cycle builds reusable writing strategies.</x:v>
      </x:c>
      <x:c r="Q317" s="27" t="str">
        <x:v>S20-WRITE-01</x:v>
      </x:c>
      <x:c r="R317" s="27" t="str">
        <x:v>Shows the modeled feature, targeted practice, revision, and a rule for future writing.</x:v>
      </x:c>
      <x:c r="S317" s="27" t="str">
        <x:v>SRC22</x:v>
      </x:c>
      <x:c r="T317" s="27" t="str">
        <x:v>Development varies; use observed performance and appropriate supports rather than age alone.</x:v>
      </x:c>
      <x:c r="U317" s="27" t="str"/>
      <x:c r="V317" s="27" t="str"/>
      <x:c r="W317" s="39" t="str"/>
      <x:c r="X317" s="39" t="str"/>
    </x:row>
    <x:row r="318">
      <x:c r="A318" s="27" t="str">
        <x:v>S19-MATH-01</x:v>
      </x:c>
      <x:c r="B318" s="37" t="n">
        <x:v>314</x:v>
      </x:c>
      <x:c r="C318" s="27" t="str">
        <x:v>S19</x:v>
      </x:c>
      <x:c r="D318" s="37" t="n">
        <x:v>19</x:v>
      </x:c>
      <x:c r="E318" s="27" t="str">
        <x:v>Grade 7</x:v>
      </x:c>
      <x:c r="F318" s="27" t="str">
        <x:v>7</x:v>
      </x:c>
      <x:c r="G318" s="27" t="str">
        <x:v>Proportional models, rational operations, and argument</x:v>
      </x:c>
      <x:c r="H318" s="27" t="str">
        <x:v>Mathematics</x:v>
      </x:c>
      <x:c r="I318" s="27" t="str">
        <x:v>Proportional relationships</x:v>
      </x:c>
      <x:c r="J318" s="27" t="str">
        <x:v>Constants of proportionality and equations</x:v>
      </x:c>
      <x:c r="K318" s="27" t="str">
        <x:v>Recognizing proportional relationships in tables/graphs/equations, computing unit rates including fractions, and using y = kx to model and solve.</x:v>
      </x:c>
      <x:c r="L318" s="27" t="str">
        <x:v>Grade 6 ratios/unit rates, fraction division, and variable expressions.</x:v>
      </x:c>
      <x:c r="M318" s="27" t="str">
        <x:v>S18-MATH-06</x:v>
      </x:c>
      <x:c r="N318" s="27" t="str">
        <x:v>G5/G6 — Coordinated representations within an evidence-based formal system</x:v>
      </x:c>
      <x:c r="O318" s="27" t="str">
        <x:v>Physical quantity and spatial action; science measurement/models; computing/algorithms; finance; music rhythm/pattern; geographic data.</x:v>
      </x:c>
      <x:c r="P318" s="27" t="str">
        <x:v>A proportional relationship is the first major function family and basis of similarity and percent.</x:v>
      </x:c>
      <x:c r="Q318" s="27" t="str">
        <x:v>S19-MATH-02</x:v>
      </x:c>
      <x:c r="R318" s="27" t="str">
        <x:v>Determines whether a relationship is proportional and explains k across representations.</x:v>
      </x:c>
      <x:c r="S318" s="27" t="str">
        <x:v>SRC09</x:v>
      </x:c>
      <x:c r="T318" s="27" t="str">
        <x:v>Development varies; use observed performance and appropriate supports rather than age alone.</x:v>
      </x:c>
      <x:c r="U318" s="27" t="str"/>
      <x:c r="V318" s="27" t="str"/>
      <x:c r="W318" s="39" t="str"/>
      <x:c r="X318" s="39" t="str"/>
    </x:row>
    <x:row r="319">
      <x:c r="A319" s="27" t="str">
        <x:v>S19-MATH-02</x:v>
      </x:c>
      <x:c r="B319" s="37" t="n">
        <x:v>315</x:v>
      </x:c>
      <x:c r="C319" s="27" t="str">
        <x:v>S19</x:v>
      </x:c>
      <x:c r="D319" s="37" t="n">
        <x:v>19</x:v>
      </x:c>
      <x:c r="E319" s="27" t="str">
        <x:v>Grade 7</x:v>
      </x:c>
      <x:c r="F319" s="27" t="str">
        <x:v>7</x:v>
      </x:c>
      <x:c r="G319" s="27" t="str">
        <x:v>Proportional models, rational operations, and argument</x:v>
      </x:c>
      <x:c r="H319" s="27" t="str">
        <x:v>Mathematics</x:v>
      </x:c>
      <x:c r="I319" s="27" t="str">
        <x:v>Rational numbers</x:v>
      </x:c>
      <x:c r="J319" s="27" t="str">
        <x:v>All four operations with signed rational numbers</x:v>
      </x:c>
      <x:c r="K319" s="27" t="str">
        <x:v>Adding, subtracting, multiplying, and dividing positive/negative fractions and decimals using number-line, magnitude, inverse, and property reasoning.</x:v>
      </x:c>
      <x:c r="L319" s="27" t="str">
        <x:v>Grade 6 signed numbers, fraction/decimal operations, and absolute value.</x:v>
      </x:c>
      <x:c r="M319" s="27" t="str">
        <x:v>S19-MATH-01</x:v>
      </x:c>
      <x:c r="N319" s="27" t="str">
        <x:v>G5/G6 — Coordinated representations within an evidence-based formal system</x:v>
      </x:c>
      <x:c r="O319" s="27" t="str">
        <x:v>Physical quantity and spatial action; science measurement/models; computing/algorithms; finance; music rhythm/pattern; geographic data.</x:v>
      </x:c>
      <x:c r="P319" s="27" t="str">
        <x:v>Complete rational arithmetic is required for algebraic manipulation and quantitative science.</x:v>
      </x:c>
      <x:c r="Q319" s="27" t="str">
        <x:v>S19-MATH-03</x:v>
      </x:c>
      <x:c r="R319" s="27" t="str">
        <x:v>Computes a mixed signed expression and explains sign and magnitude using context or properties.</x:v>
      </x:c>
      <x:c r="S319" s="27" t="str">
        <x:v>SRC09</x:v>
      </x:c>
      <x:c r="T319" s="27" t="str">
        <x:v>Development varies; use observed performance and appropriate supports rather than age alone.</x:v>
      </x:c>
      <x:c r="U319" s="27" t="str"/>
      <x:c r="V319" s="27" t="str"/>
      <x:c r="W319" s="39" t="str"/>
      <x:c r="X319" s="39" t="str"/>
    </x:row>
    <x:row r="320">
      <x:c r="A320" s="27" t="str">
        <x:v>S19-MATH-03</x:v>
      </x:c>
      <x:c r="B320" s="37" t="n">
        <x:v>316</x:v>
      </x:c>
      <x:c r="C320" s="27" t="str">
        <x:v>S19</x:v>
      </x:c>
      <x:c r="D320" s="37" t="n">
        <x:v>19</x:v>
      </x:c>
      <x:c r="E320" s="27" t="str">
        <x:v>Grade 7</x:v>
      </x:c>
      <x:c r="F320" s="27" t="str">
        <x:v>7</x:v>
      </x:c>
      <x:c r="G320" s="27" t="str">
        <x:v>Proportional models, rational operations, and argument</x:v>
      </x:c>
      <x:c r="H320" s="27" t="str">
        <x:v>Mathematics</x:v>
      </x:c>
      <x:c r="I320" s="27" t="str">
        <x:v>Expressions and equations</x:v>
      </x:c>
      <x:c r="J320" s="27" t="str">
        <x:v>Equivalent expressions and multi-step equations</x:v>
      </x:c>
      <x:c r="K320" s="27" t="str">
        <x:v>Using distributive/combining-like-term properties, solving equations and inequalities of forms px+q=r and p(x+q)=r, and interpreting solution sets.</x:v>
      </x:c>
      <x:c r="L320" s="27" t="str">
        <x:v>Grade 6 expressions/one-step equations and rational operations.</x:v>
      </x:c>
      <x:c r="M320" s="27" t="str">
        <x:v>S19-MATH-02</x:v>
      </x:c>
      <x:c r="N320" s="27" t="str">
        <x:v>G5/G6 — Coordinated representations within an evidence-based formal system</x:v>
      </x:c>
      <x:c r="O320" s="27" t="str">
        <x:v>Physical quantity and spatial action; science measurement/models; computing/algorithms; finance; music rhythm/pattern; geographic data.</x:v>
      </x:c>
      <x:c r="P320" s="27" t="str">
        <x:v>Symbolic equivalence and inverse operations prepare linear systems and functions.</x:v>
      </x:c>
      <x:c r="Q320" s="27" t="str">
        <x:v>S19-MATH-04</x:v>
      </x:c>
      <x:c r="R320" s="27" t="str">
        <x:v>Solves and verifies a multi-step equation and explains each equivalence-preserving move.</x:v>
      </x:c>
      <x:c r="S320" s="27" t="str">
        <x:v>SRC09</x:v>
      </x:c>
      <x:c r="T320" s="27" t="str">
        <x:v>Development varies; use observed performance and appropriate supports rather than age alone.</x:v>
      </x:c>
      <x:c r="U320" s="27" t="str"/>
      <x:c r="V320" s="27" t="str"/>
      <x:c r="W320" s="39" t="str"/>
      <x:c r="X320" s="39" t="str"/>
    </x:row>
    <x:row r="321">
      <x:c r="A321" s="27" t="str">
        <x:v>S19-MATH-04</x:v>
      </x:c>
      <x:c r="B321" s="37" t="n">
        <x:v>317</x:v>
      </x:c>
      <x:c r="C321" s="27" t="str">
        <x:v>S19</x:v>
      </x:c>
      <x:c r="D321" s="37" t="n">
        <x:v>19</x:v>
      </x:c>
      <x:c r="E321" s="27" t="str">
        <x:v>Grade 7</x:v>
      </x:c>
      <x:c r="F321" s="27" t="str">
        <x:v>7</x:v>
      </x:c>
      <x:c r="G321" s="27" t="str">
        <x:v>Proportional models, rational operations, and argument</x:v>
      </x:c>
      <x:c r="H321" s="27" t="str">
        <x:v>Mathematics</x:v>
      </x:c>
      <x:c r="I321" s="27" t="str">
        <x:v>Percent and scale</x:v>
      </x:c>
      <x:c r="J321" s="27" t="str">
        <x:v>Percent change, proportional problems, scale drawings</x:v>
      </x:c>
      <x:c r="K321" s="27" t="str">
        <x:v>Solving tax, discount, markup, tip, commission, interest, percent error/change, and scale-drawing problems with proportional reasoning.</x:v>
      </x:c>
      <x:c r="L321" s="27" t="str">
        <x:v>Constants of proportionality, Grade 6 percent finance, and geometry measurement.</x:v>
      </x:c>
      <x:c r="M321" s="27" t="str">
        <x:v>S19-MATH-03</x:v>
      </x:c>
      <x:c r="N321" s="27" t="str">
        <x:v>G5/G6 — Coordinated representations within an evidence-based formal system</x:v>
      </x:c>
      <x:c r="O321" s="27" t="str">
        <x:v>Physical quantity and spatial action; science measurement/models; computing/algorithms; finance; music rhythm/pattern; geographic data.</x:v>
      </x:c>
      <x:c r="P321" s="27" t="str">
        <x:v>Percent and scale apply one multiplicative structure across finance, maps, models, and measurement.</x:v>
      </x:c>
      <x:c r="Q321" s="27" t="str">
        <x:v>S19-MATH-05</x:v>
      </x:c>
      <x:c r="R321" s="27" t="str">
        <x:v>Builds a proportion/equation, computes, and interprets the result and units.</x:v>
      </x:c>
      <x:c r="S321" s="27" t="str">
        <x:v>SRC09</x:v>
      </x:c>
      <x:c r="T321" s="27" t="str">
        <x:v>Development varies; use observed performance and appropriate supports rather than age alone.</x:v>
      </x:c>
      <x:c r="U321" s="27" t="str"/>
      <x:c r="V321" s="27" t="str"/>
      <x:c r="W321" s="39" t="str"/>
      <x:c r="X321" s="39" t="str"/>
    </x:row>
    <x:row r="322">
      <x:c r="A322" s="27" t="str">
        <x:v>S19-MATH-05</x:v>
      </x:c>
      <x:c r="B322" s="37" t="n">
        <x:v>318</x:v>
      </x:c>
      <x:c r="C322" s="27" t="str">
        <x:v>S19</x:v>
      </x:c>
      <x:c r="D322" s="37" t="n">
        <x:v>19</x:v>
      </x:c>
      <x:c r="E322" s="27" t="str">
        <x:v>Grade 7</x:v>
      </x:c>
      <x:c r="F322" s="27" t="str">
        <x:v>7</x:v>
      </x:c>
      <x:c r="G322" s="27" t="str">
        <x:v>Proportional models, rational operations, and argument</x:v>
      </x:c>
      <x:c r="H322" s="27" t="str">
        <x:v>Mathematics</x:v>
      </x:c>
      <x:c r="I322" s="27" t="str">
        <x:v>Geometry</x:v>
      </x:c>
      <x:c r="J322" s="27" t="str">
        <x:v>Circles, angle relationships, area/volume/surface area</x:v>
      </x:c>
      <x:c r="K322" s="27" t="str">
        <x:v>Using π for circle measures, solving angle equations, constructing/using scale drawings, and solving composite 2D/3D measurement problems.</x:v>
      </x:c>
      <x:c r="L322" s="27" t="str">
        <x:v>Grade 6 geometry, proportions, equations, and fraction/decimal operations.</x:v>
      </x:c>
      <x:c r="M322" s="27" t="str">
        <x:v>S19-MATH-04</x:v>
      </x:c>
      <x:c r="N322" s="27" t="str">
        <x:v>G5/G6 — Coordinated representations within an evidence-based formal system</x:v>
      </x:c>
      <x:c r="O322" s="27" t="str">
        <x:v>Physical quantity and spatial action; science measurement/models; computing/algorithms; finance; music rhythm/pattern; geographic data.</x:v>
      </x:c>
      <x:c r="P322" s="27" t="str">
        <x:v>Geometric formulas become algebraic relationships and support Grade 8 transformations/Pythagorean work.</x:v>
      </x:c>
      <x:c r="Q322" s="27" t="str">
        <x:v>S19-MATH-06</x:v>
      </x:c>
      <x:c r="R322" s="27" t="str">
        <x:v>Solves a composite problem and justifies decomposition, formula, and unit power.</x:v>
      </x:c>
      <x:c r="S322" s="27" t="str">
        <x:v>SRC09</x:v>
      </x:c>
      <x:c r="T322" s="27" t="str">
        <x:v>Development varies; use observed performance and appropriate supports rather than age alone.</x:v>
      </x:c>
      <x:c r="U322" s="27" t="str"/>
      <x:c r="V322" s="27" t="str"/>
      <x:c r="W322" s="39" t="str"/>
      <x:c r="X322" s="39" t="str"/>
    </x:row>
    <x:row r="323">
      <x:c r="A323" s="27" t="str">
        <x:v>S19-MATH-06</x:v>
      </x:c>
      <x:c r="B323" s="37" t="n">
        <x:v>319</x:v>
      </x:c>
      <x:c r="C323" s="27" t="str">
        <x:v>S19</x:v>
      </x:c>
      <x:c r="D323" s="37" t="n">
        <x:v>19</x:v>
      </x:c>
      <x:c r="E323" s="27" t="str">
        <x:v>Grade 7</x:v>
      </x:c>
      <x:c r="F323" s="27" t="str">
        <x:v>7</x:v>
      </x:c>
      <x:c r="G323" s="27" t="str">
        <x:v>Proportional models, rational operations, and argument</x:v>
      </x:c>
      <x:c r="H323" s="27" t="str">
        <x:v>Mathematics</x:v>
      </x:c>
      <x:c r="I323" s="27" t="str">
        <x:v>Probability and statistics</x:v>
      </x:c>
      <x:c r="J323" s="27" t="str">
        <x:v>Chance models, samples, and comparative distributions</x:v>
      </x:c>
      <x:c r="K323" s="27" t="str">
        <x:v>Estimating/theorizing probabilities, using compound-event models, understanding random samples, and comparing populations through center/variability.</x:v>
      </x:c>
      <x:c r="L323" s="27" t="str">
        <x:v>Grade 6 distributions, ratios, and fraction operations.</x:v>
      </x:c>
      <x:c r="M323" s="27" t="str">
        <x:v>S19-MATH-05</x:v>
      </x:c>
      <x:c r="N323" s="27" t="str">
        <x:v>G5/G6 — Coordinated representations within an evidence-based formal system</x:v>
      </x:c>
      <x:c r="O323" s="27" t="str">
        <x:v>Physical quantity and spatial action; science measurement/models; computing/algorithms; finance; music rhythm/pattern; geographic data.</x:v>
      </x:c>
      <x:c r="P323" s="27" t="str">
        <x:v>Chance and sampling connect data to inference under uncertainty.</x:v>
      </x:c>
      <x:c r="Q323" s="27" t="str">
        <x:v>S20-MATH-01</x:v>
      </x:c>
      <x:c r="R323" s="27" t="str">
        <x:v>Designs a simulation/sample argument and states a conclusion with variability limits.</x:v>
      </x:c>
      <x:c r="S323" s="27" t="str">
        <x:v>SRC09</x:v>
      </x:c>
      <x:c r="T323" s="27" t="str">
        <x:v>Development varies; use observed performance and appropriate supports rather than age alone.</x:v>
      </x:c>
      <x:c r="U323" s="27" t="str"/>
      <x:c r="V323" s="27" t="str"/>
      <x:c r="W323" s="39" t="str"/>
      <x:c r="X323" s="39" t="str"/>
    </x:row>
    <x:row r="324">
      <x:c r="A324" s="27" t="str">
        <x:v>S19-SCI-01</x:v>
      </x:c>
      <x:c r="B324" s="37" t="n">
        <x:v>320</x:v>
      </x:c>
      <x:c r="C324" s="27" t="str">
        <x:v>S19</x:v>
      </x:c>
      <x:c r="D324" s="37" t="n">
        <x:v>19</x:v>
      </x:c>
      <x:c r="E324" s="27" t="str">
        <x:v>Grade 7</x:v>
      </x:c>
      <x:c r="F324" s="27" t="str">
        <x:v>7</x:v>
      </x:c>
      <x:c r="G324" s="27" t="str">
        <x:v>Proportional models, rational operations, and argument</x:v>
      </x:c>
      <x:c r="H324" s="27" t="str">
        <x:v>Science &amp; Engineering</x:v>
      </x:c>
      <x:c r="I324" s="27" t="str">
        <x:v>Physical/life science</x:v>
      </x:c>
      <x:c r="J324" s="27" t="str">
        <x:v>Chemical reactions and ecosystem dynamics</x:v>
      </x:c>
      <x:c r="K324" s="27" t="str">
        <x:v>Modeling atom rearrangement and energy change in reactions and analyzing matter/energy flows, resource limits, interactions, and ecosystem stability.</x:v>
      </x:c>
      <x:c r="L324" s="27" t="str">
        <x:v>Grade 6 particles/thermal energy and ecosystems/cells.</x:v>
      </x:c>
      <x:c r="M324" s="27" t="str">
        <x:v>S18-SCI-03</x:v>
      </x:c>
      <x:c r="N324" s="27" t="str">
        <x:v>G5/G6 — Coordinated representations within an evidence-based formal system</x:v>
      </x:c>
      <x:c r="O324" s="27" t="str">
        <x:v>Sensory observation and action; mathematics/data; reading/writing evidence; computing/models; health and environmental/civic decisions.</x:v>
      </x:c>
      <x:c r="P324" s="27" t="str">
        <x:v>Conservation and systems feedback explain changes in chemical and ecological systems.</x:v>
      </x:c>
      <x:c r="Q324" s="27" t="str">
        <x:v>S19-SCI-02</x:v>
      </x:c>
      <x:c r="R324" s="27" t="str">
        <x:v>Uses a model and data to trace conserved matter and explain a system change.</x:v>
      </x:c>
      <x:c r="S324" s="27" t="str">
        <x:v>SRC11</x:v>
      </x:c>
      <x:c r="T324" s="27" t="str">
        <x:v>Development varies; use observed performance and appropriate supports rather than age alone.</x:v>
      </x:c>
      <x:c r="U324" s="27" t="str"/>
      <x:c r="V324" s="27" t="str"/>
      <x:c r="W324" s="39" t="str"/>
      <x:c r="X324" s="39" t="str"/>
    </x:row>
    <x:row r="325">
      <x:c r="A325" s="27" t="str">
        <x:v>S19-SCI-02</x:v>
      </x:c>
      <x:c r="B325" s="37" t="n">
        <x:v>321</x:v>
      </x:c>
      <x:c r="C325" s="27" t="str">
        <x:v>S19</x:v>
      </x:c>
      <x:c r="D325" s="37" t="n">
        <x:v>19</x:v>
      </x:c>
      <x:c r="E325" s="27" t="str">
        <x:v>Grade 7</x:v>
      </x:c>
      <x:c r="F325" s="27" t="str">
        <x:v>7</x:v>
      </x:c>
      <x:c r="G325" s="27" t="str">
        <x:v>Proportional models, rational operations, and argument</x:v>
      </x:c>
      <x:c r="H325" s="27" t="str">
        <x:v>Science &amp; Engineering</x:v>
      </x:c>
      <x:c r="I325" s="27" t="str">
        <x:v>Life science</x:v>
      </x:c>
      <x:c r="J325" s="27" t="str">
        <x:v>Reproduction, heredity, and variation</x:v>
      </x:c>
      <x:c r="K325" s="27" t="str">
        <x:v>Explaining sexual/asexual reproduction, genes/chromosomes at an introductory level, trait variation, and environmental influences on growth/development.</x:v>
      </x:c>
      <x:c r="L325" s="27" t="str">
        <x:v>Grade 6 cells/systems and Grade 3/5 traits.</x:v>
      </x:c>
      <x:c r="M325" s="27" t="str">
        <x:v>S19-SCI-01</x:v>
      </x:c>
      <x:c r="N325" s="27" t="str">
        <x:v>G5/G6 — Coordinated representations within an evidence-based formal system</x:v>
      </x:c>
      <x:c r="O325" s="27" t="str">
        <x:v>Sensory observation and action; mathematics/data; reading/writing evidence; computing/models; health and environmental/civic decisions.</x:v>
      </x:c>
      <x:c r="P325" s="27" t="str">
        <x:v>Mechanisms of inheritance prepare natural selection and high-school genetics.</x:v>
      </x:c>
      <x:c r="Q325" s="27" t="str">
        <x:v>S19-SCI-03</x:v>
      </x:c>
      <x:c r="R325" s="27" t="str">
        <x:v>Uses a model to distinguish inherited information, variation, and environmental effect.</x:v>
      </x:c>
      <x:c r="S325" s="27" t="str">
        <x:v>SRC11</x:v>
      </x:c>
      <x:c r="T325" s="27" t="str">
        <x:v>Development varies; use observed performance and appropriate supports rather than age alone.</x:v>
      </x:c>
      <x:c r="U325" s="27" t="str"/>
      <x:c r="V325" s="27" t="str"/>
      <x:c r="W325" s="39" t="str"/>
      <x:c r="X325" s="39" t="str"/>
    </x:row>
    <x:row r="326">
      <x:c r="A326" s="27" t="str">
        <x:v>S19-SCI-03</x:v>
      </x:c>
      <x:c r="B326" s="37" t="n">
        <x:v>322</x:v>
      </x:c>
      <x:c r="C326" s="27" t="str">
        <x:v>S19</x:v>
      </x:c>
      <x:c r="D326" s="37" t="n">
        <x:v>19</x:v>
      </x:c>
      <x:c r="E326" s="27" t="str">
        <x:v>Grade 7</x:v>
      </x:c>
      <x:c r="F326" s="27" t="str">
        <x:v>7</x:v>
      </x:c>
      <x:c r="G326" s="27" t="str">
        <x:v>Proportional models, rational operations, and argument</x:v>
      </x:c>
      <x:c r="H326" s="27" t="str">
        <x:v>Science &amp; Engineering</x:v>
      </x:c>
      <x:c r="I326" s="27" t="str">
        <x:v>Earth/space science</x:v>
      </x:c>
      <x:c r="J326" s="27" t="str">
        <x:v>Gravity, seasons, weather, climate, and human impacts</x:v>
      </x:c>
      <x:c r="K326" s="27" t="str">
        <x:v>Using scale/system models and data to explain gravitational organization, seasons, atmospheric/ocean circulation, climate patterns, resources, hazards, and human impacts.</x:v>
      </x:c>
      <x:c r="L326" s="27" t="str">
        <x:v>Grade 6 Earth systems, proportional reasoning, and distributions.</x:v>
      </x:c>
      <x:c r="M326" s="27" t="str">
        <x:v>S19-SCI-02</x:v>
      </x:c>
      <x:c r="N326" s="27" t="str">
        <x:v>G5/G6 — Coordinated representations within an evidence-based formal system</x:v>
      </x:c>
      <x:c r="O326" s="27" t="str">
        <x:v>Sensory observation and action; mathematics/data; reading/writing evidence; computing/models; health and environmental/civic decisions.</x:v>
      </x:c>
      <x:c r="P326" s="27" t="str">
        <x:v>Energy-driven circulation and gravity connect Earth to larger physical models and decisions.</x:v>
      </x:c>
      <x:c r="Q326" s="27" t="str">
        <x:v>S20-SCI-01</x:v>
      </x:c>
      <x:c r="R326" s="27" t="str">
        <x:v>Builds a causal explanation using system components, energy/matter movement, and data.</x:v>
      </x:c>
      <x:c r="S326" s="27" t="str">
        <x:v>SRC11</x:v>
      </x:c>
      <x:c r="T326" s="27" t="str">
        <x:v>Development varies; use observed performance and appropriate supports rather than age alone.</x:v>
      </x:c>
      <x:c r="U326" s="27" t="str"/>
      <x:c r="V326" s="27" t="str"/>
      <x:c r="W326" s="39" t="str"/>
      <x:c r="X326" s="39" t="str"/>
    </x:row>
    <x:row r="327">
      <x:c r="A327" s="27" t="str">
        <x:v>S19-SST-01</x:v>
      </x:c>
      <x:c r="B327" s="37" t="n">
        <x:v>323</x:v>
      </x:c>
      <x:c r="C327" s="27" t="str">
        <x:v>S19</x:v>
      </x:c>
      <x:c r="D327" s="37" t="n">
        <x:v>19</x:v>
      </x:c>
      <x:c r="E327" s="27" t="str">
        <x:v>Grade 7</x:v>
      </x:c>
      <x:c r="F327" s="27" t="str">
        <x:v>7</x:v>
      </x:c>
      <x:c r="G327" s="27" t="str">
        <x:v>Proportional models, rational operations, and argument</x:v>
      </x:c>
      <x:c r="H327" s="27" t="str">
        <x:v>Social Studies</x:v>
      </x:c>
      <x:c r="I327" s="27" t="str">
        <x:v>History</x:v>
      </x:c>
      <x:c r="J327" s="27" t="str">
        <x:v>Medieval-to-early-modern global networks</x:v>
      </x:c>
      <x:c r="K327" s="27" t="str">
        <x:v>Analyzing states/empires, religions, technologies, trade networks, disease, environment, colonization, resistance, and cultural exchange through sources and maps.</x:v>
      </x:c>
      <x:c r="L327" s="27" t="str">
        <x:v>Grade 6 ancient comparison, chronology, and conflict-source analysis.</x:v>
      </x:c>
      <x:c r="M327" s="27" t="str">
        <x:v>S18-SST-02</x:v>
      </x:c>
      <x:c r="N327" s="27" t="str">
        <x:v>G5/G6 — Coordinated representations within an evidence-based formal system</x:v>
      </x:c>
      <x:c r="O327" s="27" t="str">
        <x:v>Language/literacy and source evidence; maps/data/economics; ethics/SEL; media literacy; arts/culture; civic action.</x:v>
      </x:c>
      <x:c r="P327" s="27" t="str">
        <x:v>Network analysis explains simultaneous diffusion, power, interdependence, and unequal consequences.</x:v>
      </x:c>
      <x:c r="Q327" s="27" t="str">
        <x:v>S19-SST-02</x:v>
      </x:c>
      <x:c r="R327" s="27" t="str">
        <x:v>Constructs a causal network using evidence from multiple regions and perspectives.</x:v>
      </x:c>
      <x:c r="S327" s="27" t="str">
        <x:v>SRC12; SRC24</x:v>
      </x:c>
      <x:c r="T327" s="27" t="str">
        <x:v>Development varies; use observed performance and appropriate supports rather than age alone.</x:v>
      </x:c>
      <x:c r="U327" s="27" t="str"/>
      <x:c r="V327" s="27" t="str"/>
      <x:c r="W327" s="39" t="str"/>
      <x:c r="X327" s="39" t="str"/>
    </x:row>
    <x:row r="328">
      <x:c r="A328" s="27" t="str">
        <x:v>S19-SST-02</x:v>
      </x:c>
      <x:c r="B328" s="37" t="n">
        <x:v>324</x:v>
      </x:c>
      <x:c r="C328" s="27" t="str">
        <x:v>S19</x:v>
      </x:c>
      <x:c r="D328" s="37" t="n">
        <x:v>19</x:v>
      </x:c>
      <x:c r="E328" s="27" t="str">
        <x:v>Grade 7</x:v>
      </x:c>
      <x:c r="F328" s="27" t="str">
        <x:v>7</x:v>
      </x:c>
      <x:c r="G328" s="27" t="str">
        <x:v>Proportional models, rational operations, and argument</x:v>
      </x:c>
      <x:c r="H328" s="27" t="str">
        <x:v>Social Studies</x:v>
      </x:c>
      <x:c r="I328" s="27" t="str">
        <x:v>Civics/economics</x:v>
      </x:c>
      <x:c r="J328" s="27" t="str">
        <x:v>Rights, law, markets, and collective action</x:v>
      </x:c>
      <x:c r="K328" s="27" t="str">
        <x:v>Comparing legal/political systems, analyzing rights/responsibilities and market/public choices, and evaluating how groups pursue change.</x:v>
      </x:c>
      <x:c r="L328" s="27" t="str">
        <x:v>Grade 6 institutions/incentives, counterclaim, and decision model.</x:v>
      </x:c>
      <x:c r="M328" s="27" t="str">
        <x:v>S19-SST-01</x:v>
      </x:c>
      <x:c r="N328" s="27" t="str">
        <x:v>G5/G6 — Coordinated representations within an evidence-based formal system</x:v>
      </x:c>
      <x:c r="O328" s="27" t="str">
        <x:v>Language/literacy and source evidence; maps/data/economics; ethics/SEL; media literacy; arts/culture; civic action.</x:v>
      </x:c>
      <x:c r="P328" s="27" t="str">
        <x:v>Rights and collective action link institutional design to lived outcomes.</x:v>
      </x:c>
      <x:c r="Q328" s="27" t="str">
        <x:v>S20-SST-01</x:v>
      </x:c>
      <x:c r="R328" s="27" t="str">
        <x:v>Evaluates a policy or historical choice using legal, economic, stakeholder, and evidence criteria.</x:v>
      </x:c>
      <x:c r="S328" s="27" t="str">
        <x:v>SRC12</x:v>
      </x:c>
      <x:c r="T328" s="27" t="str">
        <x:v>Development varies; use observed performance and appropriate supports rather than age alone.</x:v>
      </x:c>
      <x:c r="U328" s="27" t="str"/>
      <x:c r="V328" s="27" t="str"/>
      <x:c r="W328" s="39" t="str"/>
      <x:c r="X328" s="39" t="str"/>
    </x:row>
    <x:row r="329">
      <x:c r="A329" s="27" t="str">
        <x:v>S19-ARTS-01</x:v>
      </x:c>
      <x:c r="B329" s="37" t="n">
        <x:v>325</x:v>
      </x:c>
      <x:c r="C329" s="27" t="str">
        <x:v>S19</x:v>
      </x:c>
      <x:c r="D329" s="37" t="n">
        <x:v>19</x:v>
      </x:c>
      <x:c r="E329" s="27" t="str">
        <x:v>Grade 7</x:v>
      </x:c>
      <x:c r="F329" s="27" t="str">
        <x:v>7</x:v>
      </x:c>
      <x:c r="G329" s="27" t="str">
        <x:v>Proportional models, rational operations, and argument</x:v>
      </x:c>
      <x:c r="H329" s="27" t="str">
        <x:v>Music &amp; Arts</x:v>
      </x:c>
      <x:c r="I329" s="27" t="str">
        <x:v>Music</x:v>
      </x:c>
      <x:c r="J329" s="27" t="str">
        <x:v>Harmony, improvisation, composition, and analysis</x:v>
      </x:c>
      <x:c r="K329" s="27" t="str">
        <x:v>Performing more independent lines, using chords/scales/forms to improvise or compose, and analyzing how musical elements create style and meaning.</x:v>
      </x:c>
      <x:c r="L329" s="27" t="str">
        <x:v>Grade 6 scales/chords/form and deliberate refinement.</x:v>
      </x:c>
      <x:c r="M329" s="27" t="str">
        <x:v>S18-ARTS-01</x:v>
      </x:c>
      <x:c r="N329" s="27" t="str">
        <x:v>G5/G6 — Coordinated representations within an evidence-based formal system</x:v>
      </x:c>
      <x:c r="O329" s="27" t="str">
        <x:v>Sensory discrimination; motor timing; language/prosody; mathematics/pattern; history/culture; emotion, design, and technology.</x:v>
      </x:c>
      <x:c r="P329" s="27" t="str">
        <x:v>Generative use of tonal/formal systems marks the shift from reproduction toward authorship.</x:v>
      </x:c>
      <x:c r="Q329" s="27" t="str">
        <x:v>S20-ARTS-01</x:v>
      </x:c>
      <x:c r="R329" s="27" t="str">
        <x:v>Creates or performs an original/arranged section and explains harmonic/formal decisions.</x:v>
      </x:c>
      <x:c r="S329" s="27" t="str">
        <x:v>SRC13</x:v>
      </x:c>
      <x:c r="T329" s="27" t="str">
        <x:v>Development varies; use observed performance and appropriate supports rather than age alone.</x:v>
      </x:c>
      <x:c r="U329" s="27" t="str"/>
      <x:c r="V329" s="27" t="str"/>
      <x:c r="W329" s="39" t="str"/>
      <x:c r="X329" s="39" t="str"/>
    </x:row>
    <x:row r="330">
      <x:c r="A330" s="27" t="str">
        <x:v>S19-HLTH-01</x:v>
      </x:c>
      <x:c r="B330" s="37" t="n">
        <x:v>326</x:v>
      </x:c>
      <x:c r="C330" s="27" t="str">
        <x:v>S19</x:v>
      </x:c>
      <x:c r="D330" s="37" t="n">
        <x:v>19</x:v>
      </x:c>
      <x:c r="E330" s="27" t="str">
        <x:v>Grade 7</x:v>
      </x:c>
      <x:c r="F330" s="27" t="str">
        <x:v>7</x:v>
      </x:c>
      <x:c r="G330" s="27" t="str">
        <x:v>Proportional models, rational operations, and argument</x:v>
      </x:c>
      <x:c r="H330" s="27" t="str">
        <x:v>Physical &amp; Health</x:v>
      </x:c>
      <x:c r="I330" s="27" t="str">
        <x:v>Health decisions</x:v>
      </x:c>
      <x:c r="J330" s="27" t="str">
        <x:v>Risk, protective factors, communication, and goals</x:v>
      </x:c>
      <x:c r="K330" s="27" t="str">
        <x:v>Analyzing internal/external influences, risk and protective factors, refusal/negotiation/help skills, and progress toward physical/mental/social health goals.</x:v>
      </x:c>
      <x:c r="L330" s="27" t="str">
        <x:v>Grade 6 adolescent health, decision model, and statistics/probability.</x:v>
      </x:c>
      <x:c r="M330" s="27" t="str">
        <x:v>S18-HLTH-01</x:v>
      </x:c>
      <x:c r="N330" s="27" t="str">
        <x:v>G5/G6 — Coordinated representations within an evidence-based formal system</x:v>
      </x:c>
      <x:c r="O330" s="27" t="str">
        <x:v>Motor/sensory development; life science; measurement/data; SEL/self-management; communication, safety, and decision-making.</x:v>
      </x:c>
      <x:c r="P330" s="27" t="str">
        <x:v>Probability-informed risk and practiced communication support protective action.</x:v>
      </x:c>
      <x:c r="Q330" s="27" t="str">
        <x:v>S20-HLTH-01</x:v>
      </x:c>
      <x:c r="R330" s="27" t="str">
        <x:v>Completes a scenario decision and demonstrates a communication strategy tied to a health goal.</x:v>
      </x:c>
      <x:c r="S330" s="27" t="str">
        <x:v>SRC14; SRC15</x:v>
      </x:c>
      <x:c r="T330" s="27" t="str">
        <x:v>Development varies; use observed performance and appropriate supports rather than age alone.</x:v>
      </x:c>
      <x:c r="U330" s="27" t="str"/>
      <x:c r="V330" s="27" t="str"/>
      <x:c r="W330" s="39" t="str"/>
      <x:c r="X330" s="39" t="str"/>
    </x:row>
    <x:row r="331">
      <x:c r="A331" s="27" t="str">
        <x:v>S19-COMP-01</x:v>
      </x:c>
      <x:c r="B331" s="37" t="n">
        <x:v>327</x:v>
      </x:c>
      <x:c r="C331" s="27" t="str">
        <x:v>S19</x:v>
      </x:c>
      <x:c r="D331" s="37" t="n">
        <x:v>19</x:v>
      </x:c>
      <x:c r="E331" s="27" t="str">
        <x:v>Grade 7</x:v>
      </x:c>
      <x:c r="F331" s="27" t="str">
        <x:v>7</x:v>
      </x:c>
      <x:c r="G331" s="27" t="str">
        <x:v>Proportional models, rational operations, and argument</x:v>
      </x:c>
      <x:c r="H331" s="27" t="str">
        <x:v>Computing &amp; Media</x:v>
      </x:c>
      <x:c r="I331" s="27" t="str">
        <x:v>Programming and systems</x:v>
      </x:c>
      <x:c r="J331" s="27" t="str">
        <x:v>Collections, functions, testing, and network protocols</x:v>
      </x:c>
      <x:c r="K331" s="27" t="str">
        <x:v>Using lists/collections and functions to manage data, designing test cases, and explaining how protocols support reliable network communication.</x:v>
      </x:c>
      <x:c r="L331" s="27" t="str">
        <x:v>Grade 6 algorithms/networks, variables, and modularity.</x:v>
      </x:c>
      <x:c r="M331" s="27" t="str">
        <x:v>S18-COMP-01</x:v>
      </x:c>
      <x:c r="N331" s="27" t="str">
        <x:v>G5/G6 — Coordinated representations within an evidence-based formal system</x:v>
      </x:c>
      <x:c r="O331" s="27" t="str">
        <x:v>Mathematics/logic/data; language and media evidence; science/engineering models; art/design; civics, privacy, finance, and ethics.</x:v>
      </x:c>
      <x:c r="P331" s="27" t="str">
        <x:v>Data structures and testing scale programs; protocols coordinate distributed systems.</x:v>
      </x:c>
      <x:c r="Q331" s="27" t="str">
        <x:v>S19-COMP-02</x:v>
      </x:c>
      <x:c r="R331" s="27" t="str">
        <x:v>Builds/tests a data-processing program and explains a network protocol’s coordination role.</x:v>
      </x:c>
      <x:c r="S331" s="27" t="str">
        <x:v>SRC16</x:v>
      </x:c>
      <x:c r="T331" s="27" t="str">
        <x:v>Development varies; use observed performance and appropriate supports rather than age alone.</x:v>
      </x:c>
      <x:c r="U331" s="27" t="str"/>
      <x:c r="V331" s="27" t="str"/>
      <x:c r="W331" s="39" t="str"/>
      <x:c r="X331" s="39" t="str"/>
    </x:row>
    <x:row r="332">
      <x:c r="A332" s="27" t="str">
        <x:v>S19-COMP-02</x:v>
      </x:c>
      <x:c r="B332" s="37" t="n">
        <x:v>328</x:v>
      </x:c>
      <x:c r="C332" s="27" t="str">
        <x:v>S19</x:v>
      </x:c>
      <x:c r="D332" s="37" t="n">
        <x:v>19</x:v>
      </x:c>
      <x:c r="E332" s="27" t="str">
        <x:v>Grade 7</x:v>
      </x:c>
      <x:c r="F332" s="27" t="str">
        <x:v>7</x:v>
      </x:c>
      <x:c r="G332" s="27" t="str">
        <x:v>Proportional models, rational operations, and argument</x:v>
      </x:c>
      <x:c r="H332" s="27" t="str">
        <x:v>Computing &amp; Media</x:v>
      </x:c>
      <x:c r="I332" s="27" t="str">
        <x:v>AI and media</x:v>
      </x:c>
      <x:c r="J332" s="27" t="str">
        <x:v>Classification, training data, and persuasive systems</x:v>
      </x:c>
      <x:c r="K332" s="27" t="str">
        <x:v>Explaining an introductory classification model, how training examples/features affect output, and how recommendation/persuasion systems shape attention and choices.</x:v>
      </x:c>
      <x:c r="L332" s="27" t="str">
        <x:v>Grade 6 data ethics, statistics, and media evidence/omission.</x:v>
      </x:c>
      <x:c r="M332" s="27" t="str">
        <x:v>S19-COMP-01</x:v>
      </x:c>
      <x:c r="N332" s="27" t="str">
        <x:v>G5/G6 — Coordinated representations within an evidence-based formal system</x:v>
      </x:c>
      <x:c r="O332" s="27" t="str">
        <x:v>Mathematics/logic/data; language and media evidence; science/engineering models; art/design; civics, privacy, finance, and ethics.</x:v>
      </x:c>
      <x:c r="P332" s="27" t="str">
        <x:v>Model-data-impact reasoning prepares responsible AI use and evaluation.</x:v>
      </x:c>
      <x:c r="Q332" s="27" t="str">
        <x:v>S20-COMP-01</x:v>
      </x:c>
      <x:c r="R332" s="27" t="str">
        <x:v>Tests a simple classifier or recommendation claim and documents an error, data limitation, or influence mechanism.</x:v>
      </x:c>
      <x:c r="S332" s="27" t="str">
        <x:v>SRC16; SRC20</x:v>
      </x:c>
      <x:c r="T332" s="27" t="str">
        <x:v>Development varies; use observed performance and appropriate supports rather than age alone.</x:v>
      </x:c>
      <x:c r="U332" s="27" t="str"/>
      <x:c r="V332" s="27" t="str"/>
      <x:c r="W332" s="39" t="str"/>
      <x:c r="X332" s="39" t="str"/>
    </x:row>
    <x:row r="333">
      <x:c r="A333" s="27" t="str">
        <x:v>S19-WLANG-01</x:v>
      </x:c>
      <x:c r="B333" s="37" t="n">
        <x:v>329</x:v>
      </x:c>
      <x:c r="C333" s="27" t="str">
        <x:v>S19</x:v>
      </x:c>
      <x:c r="D333" s="37" t="n">
        <x:v>19</x:v>
      </x:c>
      <x:c r="E333" s="27" t="str">
        <x:v>Grade 7</x:v>
      </x:c>
      <x:c r="F333" s="27" t="str">
        <x:v>7</x:v>
      </x:c>
      <x:c r="G333" s="27" t="str">
        <x:v>Proportional models, rational operations, and argument</x:v>
      </x:c>
      <x:c r="H333" s="27" t="str">
        <x:v>World Languages</x:v>
      </x:c>
      <x:c r="I333" s="27" t="str">
        <x:v>Proficiency</x:v>
      </x:c>
      <x:c r="J333" s="27" t="str">
        <x:v>Intermediate-low connected communication</x:v>
      </x:c>
      <x:c r="K333" s="27" t="str">
        <x:v>Creating with language in connected sentences about familiar topics, asking follow-up questions, interpreting main ideas/supporting details, and comparing cultural perspectives.</x:v>
      </x:c>
      <x:c r="L333" s="27" t="str">
        <x:v>Grade 6 novice-high use and source interpretation.</x:v>
      </x:c>
      <x:c r="M333" s="27" t="str">
        <x:v>S18-WLANG-01</x:v>
      </x:c>
      <x:c r="N333" s="27" t="str">
        <x:v>G5/G6 — Coordinated representations within an evidence-based formal system</x:v>
      </x:c>
      <x:c r="O333" s="27" t="str">
        <x:v>Oral language, reading, and writing; memory/retrieval; social interaction; history/geography/arts; intercultural perspective.</x:v>
      </x:c>
      <x:c r="P333" s="27" t="str">
        <x:v>Created sentences and sustained exchange increase communicative independence.</x:v>
      </x:c>
      <x:c r="Q333" s="27" t="str">
        <x:v>S20-WLANG-01</x:v>
      </x:c>
      <x:c r="R333" s="27" t="str">
        <x:v>Maintains an unscripted exchange and produces an organized message understandable to a sympathetic listener/reader.</x:v>
      </x:c>
      <x:c r="S333" s="27" t="str">
        <x:v>SRC17</x:v>
      </x:c>
      <x:c r="T333" s="27" t="str">
        <x:v>Use demonstrated proficiency and exposure history to place the learner.</x:v>
      </x:c>
      <x:c r="U333" s="27" t="str"/>
      <x:c r="V333" s="27" t="str"/>
      <x:c r="W333" s="39" t="str"/>
      <x:c r="X333" s="39" t="str"/>
    </x:row>
    <x:row r="334">
      <x:c r="A334" s="27" t="str">
        <x:v>S19-LIFE-01</x:v>
      </x:c>
      <x:c r="B334" s="37" t="n">
        <x:v>330</x:v>
      </x:c>
      <x:c r="C334" s="27" t="str">
        <x:v>S19</x:v>
      </x:c>
      <x:c r="D334" s="37" t="n">
        <x:v>19</x:v>
      </x:c>
      <x:c r="E334" s="27" t="str">
        <x:v>Grade 7</x:v>
      </x:c>
      <x:c r="F334" s="27" t="str">
        <x:v>7</x:v>
      </x:c>
      <x:c r="G334" s="27" t="str">
        <x:v>Proportional models, rational operations, and argument</x:v>
      </x:c>
      <x:c r="H334" s="27" t="str">
        <x:v>Life, Finance &amp; Career</x:v>
      </x:c>
      <x:c r="I334" s="27" t="str">
        <x:v>Personal finance</x:v>
      </x:c>
      <x:c r="J334" s="27" t="str">
        <x:v>Compound growth, credit, and consumer decisions</x:v>
      </x:c>
      <x:c r="K334" s="27" t="str">
        <x:v>Modeling repeated percentage growth, comparing credit cost/terms, evaluating advertising/consumer information, and protecting financial identity.</x:v>
      </x:c>
      <x:c r="L334" s="27" t="str">
        <x:v>Grade 6 percent/interest, exponential-pattern preparation, and source evaluation.</x:v>
      </x:c>
      <x:c r="M334" s="27" t="str">
        <x:v>S18-LIFE-01</x:v>
      </x:c>
      <x:c r="N334" s="27" t="str">
        <x:v>G5/G6 — Coordinated representations within an evidence-based formal system</x:v>
      </x:c>
      <x:c r="O334" s="27" t="str">
        <x:v>Mathematics/percent/growth; economics/civics; reading contracts/sources; computing/privacy; SEL, planning, and risk decisions.</x:v>
      </x:c>
      <x:c r="P334" s="27" t="str">
        <x:v>Time-dependent growth and borrowing cost prepare exponential functions and adult credit decisions.</x:v>
      </x:c>
      <x:c r="Q334" s="27" t="str">
        <x:v>S20-LIFE-01</x:v>
      </x:c>
      <x:c r="R334" s="27" t="str">
        <x:v>Compares options using total cost, time, rate, risk, and contract/source evidence.</x:v>
      </x:c>
      <x:c r="S334" s="27" t="str">
        <x:v>SRC19</x:v>
      </x:c>
      <x:c r="T334" s="27" t="str">
        <x:v>Development varies; use observed performance and appropriate supports rather than age alone.</x:v>
      </x:c>
      <x:c r="U334" s="27" t="str"/>
      <x:c r="V334" s="27" t="str"/>
      <x:c r="W334" s="39" t="str"/>
      <x:c r="X334" s="39" t="str"/>
    </x:row>
    <x:row r="335">
      <x:c r="A335" s="27" t="str">
        <x:v>S20-LEARN-01</x:v>
      </x:c>
      <x:c r="B335" s="37" t="n">
        <x:v>331</x:v>
      </x:c>
      <x:c r="C335" s="27" t="str">
        <x:v>S20</x:v>
      </x:c>
      <x:c r="D335" s="37" t="n">
        <x:v>20</x:v>
      </x:c>
      <x:c r="E335" s="27" t="str">
        <x:v>Grade 8</x:v>
      </x:c>
      <x:c r="F335" s="27" t="str">
        <x:v>8</x:v>
      </x:c>
      <x:c r="G335" s="27" t="str">
        <x:v>Linear systems and integrated scientific explanation</x:v>
      </x:c>
      <x:c r="H335" s="27" t="str">
        <x:v>Learning Foundations</x:v>
      </x:c>
      <x:c r="I335" s="27" t="str">
        <x:v>Transfer</x:v>
      </x:c>
      <x:c r="J335" s="27" t="str">
        <x:v>Near and far transfer testing</x:v>
      </x:c>
      <x:c r="K335" s="27" t="str">
        <x:v>Applying a learned principle first to a structurally similar new task and then to a surface-different authentic task while explaining the shared structure.</x:v>
      </x:c>
      <x:c r="L335" s="27" t="str">
        <x:v>Interleaving, representation mapping, and metacognitive error analysis.</x:v>
      </x:c>
      <x:c r="M335" s="27" t="str">
        <x:v>S19-LEARN-01</x:v>
      </x:c>
      <x:c r="N335" s="27" t="str">
        <x:v>G5/G6 — Coordinated representations within an evidence-based formal system</x:v>
      </x:c>
      <x:c r="O335" s="27" t="str">
        <x:v>All domains: attention, memory, strategy choice, monitoring, retrieval, and transfer.</x:v>
      </x:c>
      <x:c r="P335" s="27" t="str">
        <x:v>Transfer is the final test that knowledge is organized around relationships rather than examples.</x:v>
      </x:c>
      <x:c r="Q335" s="27" t="str">
        <x:v>S21-LEARN-01</x:v>
      </x:c>
      <x:c r="R335" s="27" t="str">
        <x:v>Solves both transfer tasks and explicitly maps their deep structure to the learned principle.</x:v>
      </x:c>
      <x:c r="S335" s="27" t="str">
        <x:v>SRC23; SRC29; SRC30</x:v>
      </x:c>
      <x:c r="T335" s="27" t="str">
        <x:v>Development varies; use observed performance and appropriate supports rather than age alone.</x:v>
      </x:c>
      <x:c r="U335" s="27" t="str"/>
      <x:c r="V335" s="27" t="str"/>
      <x:c r="W335" s="39" t="str"/>
      <x:c r="X335" s="39" t="str"/>
    </x:row>
    <x:row r="336">
      <x:c r="A336" s="27" t="str">
        <x:v>S20-SEL-01</x:v>
      </x:c>
      <x:c r="B336" s="37" t="n">
        <x:v>332</x:v>
      </x:c>
      <x:c r="C336" s="27" t="str">
        <x:v>S20</x:v>
      </x:c>
      <x:c r="D336" s="37" t="n">
        <x:v>20</x:v>
      </x:c>
      <x:c r="E336" s="27" t="str">
        <x:v>Grade 8</x:v>
      </x:c>
      <x:c r="F336" s="27" t="str">
        <x:v>8</x:v>
      </x:c>
      <x:c r="G336" s="27" t="str">
        <x:v>Linear systems and integrated scientific explanation</x:v>
      </x:c>
      <x:c r="H336" s="27" t="str">
        <x:v>Social-Emotional</x:v>
      </x:c>
      <x:c r="I336" s="27" t="str">
        <x:v>Agency</x:v>
      </x:c>
      <x:c r="J336" s="27" t="str">
        <x:v>Independent decision and revision record</x:v>
      </x:c>
      <x:c r="K336" s="27" t="str">
        <x:v>Making a consequential age-appropriate decision, documenting evidence/values/constraints, acting, and revising from outcomes and feedback.</x:v>
      </x:c>
      <x:c r="L336" s="27" t="str">
        <x:v>Grade 7 multi-factor decision model and long-term project planning.</x:v>
      </x:c>
      <x:c r="M336" s="27" t="str">
        <x:v>S19-SEL-01</x:v>
      </x:c>
      <x:c r="N336" s="27" t="str">
        <x:v>G5/G6 — Coordinated representations within an evidence-based formal system</x:v>
      </x:c>
      <x:c r="O336" s="27" t="str">
        <x:v>Language and communication; health; collaboration in science, arts, civics, and projects; responsible digital/financial decisions.</x:v>
      </x:c>
      <x:c r="P336" s="27" t="str">
        <x:v>A decision record turns independence into accountable learning.</x:v>
      </x:c>
      <x:c r="Q336" s="27" t="str">
        <x:v>S21-SEL-01</x:v>
      </x:c>
      <x:c r="R336" s="27" t="str">
        <x:v>Produces a complete decision-action-result-revision record.</x:v>
      </x:c>
      <x:c r="S336" s="27" t="str">
        <x:v>SRC18</x:v>
      </x:c>
      <x:c r="T336" s="27" t="str">
        <x:v>Development varies; use observed performance and appropriate supports rather than age alone.</x:v>
      </x:c>
      <x:c r="U336" s="27" t="str"/>
      <x:c r="V336" s="27" t="str"/>
      <x:c r="W336" s="39" t="str"/>
      <x:c r="X336" s="39" t="str"/>
    </x:row>
    <x:row r="337">
      <x:c r="A337" s="27" t="str">
        <x:v>S20-READ-01</x:v>
      </x:c>
      <x:c r="B337" s="37" t="n">
        <x:v>333</x:v>
      </x:c>
      <x:c r="C337" s="27" t="str">
        <x:v>S20</x:v>
      </x:c>
      <x:c r="D337" s="37" t="n">
        <x:v>20</x:v>
      </x:c>
      <x:c r="E337" s="27" t="str">
        <x:v>Grade 8</x:v>
      </x:c>
      <x:c r="F337" s="27" t="str">
        <x:v>8</x:v>
      </x:c>
      <x:c r="G337" s="27" t="str">
        <x:v>Linear systems and integrated scientific explanation</x:v>
      </x:c>
      <x:c r="H337" s="27" t="str">
        <x:v>Reading</x:v>
      </x:c>
      <x:c r="I337" s="27" t="str">
        <x:v>Literary analysis</x:v>
      </x:c>
      <x:c r="J337" s="27" t="str">
        <x:v>Theme, structure, allusion, and viewpoint</x:v>
      </x:c>
      <x:c r="K337" s="27" t="str">
        <x:v>Analyzing how dialogue/incidents, contrasting viewpoints, structural choices, figurative language, and allusions develop theme and meaning.</x:v>
      </x:c>
      <x:c r="L337" s="27" t="str">
        <x:v>Grade 7 interacting craft analysis and cultural/historical context.</x:v>
      </x:c>
      <x:c r="M337" s="27" t="str">
        <x:v>S19-READ-02</x:v>
      </x:c>
      <x:c r="N337" s="27" t="str">
        <x:v>G5/G6 — Coordinated representations within an evidence-based formal system</x:v>
      </x:c>
      <x:c r="O337" s="27" t="str">
        <x:v>Oral language and writing; evidence in science/social studies; mathematical and technical problem interpretation; media verification.</x:v>
      </x:c>
      <x:c r="P337" s="27" t="str">
        <x:v>Layered references and structural choices prepare high-school literary interpretation.</x:v>
      </x:c>
      <x:c r="Q337" s="27" t="str">
        <x:v>S20-READ-02</x:v>
      </x:c>
      <x:c r="R337" s="27" t="str">
        <x:v>Builds an interpretation supported by a pattern of textual details and contextual knowledge.</x:v>
      </x:c>
      <x:c r="S337" s="27" t="str">
        <x:v>SRC10</x:v>
      </x:c>
      <x:c r="T337" s="27" t="str">
        <x:v>Development varies; use observed performance and appropriate supports rather than age alone.</x:v>
      </x:c>
      <x:c r="U337" s="27" t="str"/>
      <x:c r="V337" s="27" t="str"/>
      <x:c r="W337" s="39" t="str"/>
      <x:c r="X337" s="39" t="str"/>
    </x:row>
    <x:row r="338">
      <x:c r="A338" s="27" t="str">
        <x:v>S20-READ-02</x:v>
      </x:c>
      <x:c r="B338" s="37" t="n">
        <x:v>334</x:v>
      </x:c>
      <x:c r="C338" s="27" t="str">
        <x:v>S20</x:v>
      </x:c>
      <x:c r="D338" s="37" t="n">
        <x:v>20</x:v>
      </x:c>
      <x:c r="E338" s="27" t="str">
        <x:v>Grade 8</x:v>
      </x:c>
      <x:c r="F338" s="27" t="str">
        <x:v>8</x:v>
      </x:c>
      <x:c r="G338" s="27" t="str">
        <x:v>Linear systems and integrated scientific explanation</x:v>
      </x:c>
      <x:c r="H338" s="27" t="str">
        <x:v>Reading</x:v>
      </x:c>
      <x:c r="I338" s="27" t="str">
        <x:v>Argument and sources</x:v>
      </x:c>
      <x:c r="J338" s="27" t="str">
        <x:v>Validity, sufficiency, relevance, and disagreement</x:v>
      </x:c>
      <x:c r="K338" s="27" t="str">
        <x:v>Evaluating argument logic and evidence quality, recognizing irrelevant/insufficient support, and identifying where reliable sources agree, disagree, or answer different questions.</x:v>
      </x:c>
      <x:c r="L338" s="27" t="str">
        <x:v>Grade 7 conflicting-source evaluation, probability, and synthesis.</x:v>
      </x:c>
      <x:c r="M338" s="27" t="str">
        <x:v>S20-READ-01</x:v>
      </x:c>
      <x:c r="N338" s="27" t="str">
        <x:v>G5/G6 — Coordinated representations within an evidence-based formal system</x:v>
      </x:c>
      <x:c r="O338" s="27" t="str">
        <x:v>Oral language and writing; evidence in science/social studies; mathematical and technical problem interpretation; media verification.</x:v>
      </x:c>
      <x:c r="P338" s="27" t="str">
        <x:v>Structured disagreement analysis prepares research and civic/scientific judgment.</x:v>
      </x:c>
      <x:c r="Q338" s="27" t="str">
        <x:v>S21-READ-01</x:v>
      </x:c>
      <x:c r="R338" s="27" t="str">
        <x:v>Writes a qualified conclusion reflecting evidence strength, source agreement, and unresolved uncertainty.</x:v>
      </x:c>
      <x:c r="S338" s="27" t="str">
        <x:v>SRC10; SRC20</x:v>
      </x:c>
      <x:c r="T338" s="27" t="str">
        <x:v>Development varies; use observed performance and appropriate supports rather than age alone.</x:v>
      </x:c>
      <x:c r="U338" s="27" t="str"/>
      <x:c r="V338" s="27" t="str"/>
      <x:c r="W338" s="39" t="str"/>
      <x:c r="X338" s="39" t="str"/>
    </x:row>
    <x:row r="339">
      <x:c r="A339" s="27" t="str">
        <x:v>S20-WRITE-01</x:v>
      </x:c>
      <x:c r="B339" s="37" t="n">
        <x:v>335</x:v>
      </x:c>
      <x:c r="C339" s="27" t="str">
        <x:v>S20</x:v>
      </x:c>
      <x:c r="D339" s="37" t="n">
        <x:v>20</x:v>
      </x:c>
      <x:c r="E339" s="27" t="str">
        <x:v>Grade 8</x:v>
      </x:c>
      <x:c r="F339" s="27" t="str">
        <x:v>8</x:v>
      </x:c>
      <x:c r="G339" s="27" t="str">
        <x:v>Linear systems and integrated scientific explanation</x:v>
      </x:c>
      <x:c r="H339" s="27" t="str">
        <x:v>Writing &amp; Language</x:v>
      </x:c>
      <x:c r="I339" s="27" t="str">
        <x:v>Analytical writing</x:v>
      </x:c>
      <x:c r="J339" s="27" t="str">
        <x:v>Thesis, line of reasoning, evidence, commentary</x:v>
      </x:c>
      <x:c r="K339" s="27" t="str">
        <x:v>Developing a defensible thesis and sequencing paragraphs so each advances a logical line through cited evidence and explanatory commentary.</x:v>
      </x:c>
      <x:c r="L339" s="27" t="str">
        <x:v>Grade 7 counterclaim/synthesis and literary/argument analysis.</x:v>
      </x:c>
      <x:c r="M339" s="27" t="str">
        <x:v>S19-WRITE-03</x:v>
      </x:c>
      <x:c r="N339" s="27" t="str">
        <x:v>G5/G6 — Coordinated representations within an evidence-based formal system</x:v>
      </x:c>
      <x:c r="O339" s="27" t="str">
        <x:v>Reading models; evidence from science/social studies; mathematical explanation; research, media, and presentation.</x:v>
      </x:c>
      <x:c r="P339" s="27" t="str">
        <x:v>A line of reasoning is the organizing spine of high-school composition.</x:v>
      </x:c>
      <x:c r="Q339" s="27" t="str">
        <x:v>S20-WRITE-02</x:v>
      </x:c>
      <x:c r="R339" s="27" t="str">
        <x:v>Outlines and writes an analysis where each paragraph has a distinct inferential job.</x:v>
      </x:c>
      <x:c r="S339" s="27" t="str">
        <x:v>SRC10; SRC22</x:v>
      </x:c>
      <x:c r="T339" s="27" t="str">
        <x:v>Development varies; use observed performance and appropriate supports rather than age alone.</x:v>
      </x:c>
      <x:c r="U339" s="27" t="str"/>
      <x:c r="V339" s="27" t="str"/>
      <x:c r="W339" s="39" t="str"/>
      <x:c r="X339" s="39" t="str"/>
    </x:row>
    <x:row r="340">
      <x:c r="A340" s="27" t="str">
        <x:v>S20-WRITE-02</x:v>
      </x:c>
      <x:c r="B340" s="37" t="n">
        <x:v>336</x:v>
      </x:c>
      <x:c r="C340" s="27" t="str">
        <x:v>S20</x:v>
      </x:c>
      <x:c r="D340" s="37" t="n">
        <x:v>20</x:v>
      </x:c>
      <x:c r="E340" s="27" t="str">
        <x:v>Grade 8</x:v>
      </x:c>
      <x:c r="F340" s="27" t="str">
        <x:v>8</x:v>
      </x:c>
      <x:c r="G340" s="27" t="str">
        <x:v>Linear systems and integrated scientific explanation</x:v>
      </x:c>
      <x:c r="H340" s="27" t="str">
        <x:v>Writing &amp; Language</x:v>
      </x:c>
      <x:c r="I340" s="27" t="str">
        <x:v>Research</x:v>
      </x:c>
      <x:c r="J340" s="27" t="str">
        <x:v>Inquiry design and evidence matrix</x:v>
      </x:c>
      <x:c r="K340" s="27" t="str">
        <x:v>Refining a research question, designing subquestions/searches, logging source claims/evidence/limitations, and synthesizing with consistent citation.</x:v>
      </x:c>
      <x:c r="L340" s="27" t="str">
        <x:v>Grade 7 source synthesis, Grade 6 citation, and project planning.</x:v>
      </x:c>
      <x:c r="M340" s="27" t="str">
        <x:v>S20-WRITE-01</x:v>
      </x:c>
      <x:c r="N340" s="27" t="str">
        <x:v>G5/G6 — Coordinated representations within an evidence-based formal system</x:v>
      </x:c>
      <x:c r="O340" s="27" t="str">
        <x:v>Reading models; evidence from science/social studies; mathematical explanation; research, media, and presentation.</x:v>
      </x:c>
      <x:c r="P340" s="27" t="str">
        <x:v>An evidence matrix exposes agreements, gaps, and relationships before drafting.</x:v>
      </x:c>
      <x:c r="Q340" s="27" t="str">
        <x:v>S20-WRITE-03</x:v>
      </x:c>
      <x:c r="R340" s="27" t="str">
        <x:v>Submits a reproducible search log, evidence matrix, and synthesis tied to the research question.</x:v>
      </x:c>
      <x:c r="S340" s="27" t="str">
        <x:v>SRC10; SRC22</x:v>
      </x:c>
      <x:c r="T340" s="27" t="str">
        <x:v>Development varies; use observed performance and appropriate supports rather than age alone.</x:v>
      </x:c>
      <x:c r="U340" s="27" t="str"/>
      <x:c r="V340" s="27" t="str"/>
      <x:c r="W340" s="39" t="str"/>
      <x:c r="X340" s="39" t="str"/>
    </x:row>
    <x:row r="341">
      <x:c r="A341" s="27" t="str">
        <x:v>S20-WRITE-03</x:v>
      </x:c>
      <x:c r="B341" s="37" t="n">
        <x:v>337</x:v>
      </x:c>
      <x:c r="C341" s="27" t="str">
        <x:v>S20</x:v>
      </x:c>
      <x:c r="D341" s="37" t="n">
        <x:v>20</x:v>
      </x:c>
      <x:c r="E341" s="27" t="str">
        <x:v>Grade 8</x:v>
      </x:c>
      <x:c r="F341" s="27" t="str">
        <x:v>8</x:v>
      </x:c>
      <x:c r="G341" s="27" t="str">
        <x:v>Linear systems and integrated scientific explanation</x:v>
      </x:c>
      <x:c r="H341" s="27" t="str">
        <x:v>Writing &amp; Language</x:v>
      </x:c>
      <x:c r="I341" s="27" t="str">
        <x:v>Presentation</x:v>
      </x:c>
      <x:c r="J341" s="27" t="str">
        <x:v>Multimedia explanation and oral defense</x:v>
      </x:c>
      <x:c r="K341" s="27" t="str">
        <x:v>Designing an oral/multimedia presentation whose visuals, data, spoken explanation, and citations are congruent and responding to questions with evidence.</x:v>
      </x:c>
      <x:c r="L341" s="27" t="str">
        <x:v>Representation mapping, media analysis, and analytical writing.</x:v>
      </x:c>
      <x:c r="M341" s="27" t="str">
        <x:v>S20-WRITE-02</x:v>
      </x:c>
      <x:c r="N341" s="27" t="str">
        <x:v>G5/G6 — Coordinated representations within an evidence-based formal system</x:v>
      </x:c>
      <x:c r="O341" s="27" t="str">
        <x:v>Reading models; evidence from science/social studies; mathematical explanation; research, media, and presentation.</x:v>
      </x:c>
      <x:c r="P341" s="27" t="str">
        <x:v>Cross-modal alignment and defense demonstrate integrated, audience-aware understanding.</x:v>
      </x:c>
      <x:c r="Q341" s="27" t="str">
        <x:v>S21-WRITE-01</x:v>
      </x:c>
      <x:c r="R341" s="27" t="str">
        <x:v>Delivers a coherent presentation and answers an unanticipated question using evidence.</x:v>
      </x:c>
      <x:c r="S341" s="27" t="str">
        <x:v>SRC10; SRC20; SRC32</x:v>
      </x:c>
      <x:c r="T341" s="27" t="str">
        <x:v>Development varies; use observed performance and appropriate supports rather than age alone.</x:v>
      </x:c>
      <x:c r="U341" s="27" t="str"/>
      <x:c r="V341" s="27" t="str"/>
      <x:c r="W341" s="39" t="str"/>
      <x:c r="X341" s="39" t="str"/>
    </x:row>
    <x:row r="342">
      <x:c r="A342" s="27" t="str">
        <x:v>S20-MATH-01</x:v>
      </x:c>
      <x:c r="B342" s="37" t="n">
        <x:v>338</x:v>
      </x:c>
      <x:c r="C342" s="27" t="str">
        <x:v>S20</x:v>
      </x:c>
      <x:c r="D342" s="37" t="n">
        <x:v>20</x:v>
      </x:c>
      <x:c r="E342" s="27" t="str">
        <x:v>Grade 8</x:v>
      </x:c>
      <x:c r="F342" s="27" t="str">
        <x:v>8</x:v>
      </x:c>
      <x:c r="G342" s="27" t="str">
        <x:v>Linear systems and integrated scientific explanation</x:v>
      </x:c>
      <x:c r="H342" s="27" t="str">
        <x:v>Mathematics</x:v>
      </x:c>
      <x:c r="I342" s="27" t="str">
        <x:v>Number system</x:v>
      </x:c>
      <x:c r="J342" s="27" t="str">
        <x:v>Irrational numbers and approximations</x:v>
      </x:c>
      <x:c r="K342" s="27" t="str">
        <x:v>Understanding that some numbers have nonterminating, nonrepeating decimal expansions, comparing/approximating square roots and other irrationals, and locating them on the number line.</x:v>
      </x:c>
      <x:c r="L342" s="27" t="str">
        <x:v>Grade 7 rational numbers, roots as inverse powers, and magnitude estimation.</x:v>
      </x:c>
      <x:c r="M342" s="27" t="str">
        <x:v>S19-MATH-06</x:v>
      </x:c>
      <x:c r="N342" s="27" t="str">
        <x:v>G5/G6 — Coordinated representations within an evidence-based formal system</x:v>
      </x:c>
      <x:c r="O342" s="27" t="str">
        <x:v>Physical quantity and spatial action; science measurement/models; computing/algorithms; finance; music rhythm/pattern; geographic data.</x:v>
      </x:c>
      <x:c r="P342" s="27" t="str">
        <x:v>Irrational numbers complete the real-number system used in geometry and algebra.</x:v>
      </x:c>
      <x:c r="Q342" s="27" t="str">
        <x:v>S20-MATH-02</x:v>
      </x:c>
      <x:c r="R342" s="27" t="str">
        <x:v>Bounds an irrational value between rationals and explains the approximation.</x:v>
      </x:c>
      <x:c r="S342" s="27" t="str">
        <x:v>SRC09</x:v>
      </x:c>
      <x:c r="T342" s="27" t="str">
        <x:v>Development varies; use observed performance and appropriate supports rather than age alone.</x:v>
      </x:c>
      <x:c r="U342" s="27" t="str"/>
      <x:c r="V342" s="27" t="str"/>
      <x:c r="W342" s="39" t="str"/>
      <x:c r="X342" s="39" t="str"/>
    </x:row>
    <x:row r="343">
      <x:c r="A343" s="27" t="str">
        <x:v>S20-MATH-02</x:v>
      </x:c>
      <x:c r="B343" s="37" t="n">
        <x:v>339</x:v>
      </x:c>
      <x:c r="C343" s="27" t="str">
        <x:v>S20</x:v>
      </x:c>
      <x:c r="D343" s="37" t="n">
        <x:v>20</x:v>
      </x:c>
      <x:c r="E343" s="27" t="str">
        <x:v>Grade 8</x:v>
      </x:c>
      <x:c r="F343" s="27" t="str">
        <x:v>8</x:v>
      </x:c>
      <x:c r="G343" s="27" t="str">
        <x:v>Linear systems and integrated scientific explanation</x:v>
      </x:c>
      <x:c r="H343" s="27" t="str">
        <x:v>Mathematics</x:v>
      </x:c>
      <x:c r="I343" s="27" t="str">
        <x:v>Exponents</x:v>
      </x:c>
      <x:c r="J343" s="27" t="str">
        <x:v>Integer exponents and scientific notation</x:v>
      </x:c>
      <x:c r="K343" s="27" t="str">
        <x:v>Applying exponent properties to numerical expressions and using scientific notation to compare and compute with very large/small quantities.</x:v>
      </x:c>
      <x:c r="L343" s="27" t="str">
        <x:v>Grade 6 whole-number exponents and Grade 7 rational operations.</x:v>
      </x:c>
      <x:c r="M343" s="27" t="str">
        <x:v>S20-MATH-01</x:v>
      </x:c>
      <x:c r="N343" s="27" t="str">
        <x:v>G5/G6 — Coordinated representations within an evidence-based formal system</x:v>
      </x:c>
      <x:c r="O343" s="27" t="str">
        <x:v>Physical quantity and spatial action; science measurement/models; computing/algorithms; finance; music rhythm/pattern; geographic data.</x:v>
      </x:c>
      <x:c r="P343" s="27" t="str">
        <x:v>Exponent laws prepare exponential functions, polynomials, physics, and scale.</x:v>
      </x:c>
      <x:c r="Q343" s="27" t="str">
        <x:v>S20-MATH-03</x:v>
      </x:c>
      <x:c r="R343" s="27" t="str">
        <x:v>Simplifies an expression and interprets a scientific-notation result with units/magnitude.</x:v>
      </x:c>
      <x:c r="S343" s="27" t="str">
        <x:v>SRC09</x:v>
      </x:c>
      <x:c r="T343" s="27" t="str">
        <x:v>Development varies; use observed performance and appropriate supports rather than age alone.</x:v>
      </x:c>
      <x:c r="U343" s="27" t="str"/>
      <x:c r="V343" s="27" t="str"/>
      <x:c r="W343" s="39" t="str"/>
      <x:c r="X343" s="39" t="str"/>
    </x:row>
    <x:row r="344">
      <x:c r="A344" s="27" t="str">
        <x:v>S20-MATH-03</x:v>
      </x:c>
      <x:c r="B344" s="37" t="n">
        <x:v>340</x:v>
      </x:c>
      <x:c r="C344" s="27" t="str">
        <x:v>S20</x:v>
      </x:c>
      <x:c r="D344" s="37" t="n">
        <x:v>20</x:v>
      </x:c>
      <x:c r="E344" s="27" t="str">
        <x:v>Grade 8</x:v>
      </x:c>
      <x:c r="F344" s="27" t="str">
        <x:v>8</x:v>
      </x:c>
      <x:c r="G344" s="27" t="str">
        <x:v>Linear systems and integrated scientific explanation</x:v>
      </x:c>
      <x:c r="H344" s="27" t="str">
        <x:v>Mathematics</x:v>
      </x:c>
      <x:c r="I344" s="27" t="str">
        <x:v>Linear equations</x:v>
      </x:c>
      <x:c r="J344" s="27" t="str">
        <x:v>Multi-step equations and systems</x:v>
      </x:c>
      <x:c r="K344" s="27" t="str">
        <x:v>Solving linear equations with rational coefficients, analyzing number of solutions, and solving/graphing systems of two linear equations.</x:v>
      </x:c>
      <x:c r="L344" s="27" t="str">
        <x:v>Grade 7 equivalence-preserving equations and proportional lines.</x:v>
      </x:c>
      <x:c r="M344" s="27" t="str">
        <x:v>S20-MATH-02</x:v>
      </x:c>
      <x:c r="N344" s="27" t="str">
        <x:v>G5/G6 — Coordinated representations within an evidence-based formal system</x:v>
      </x:c>
      <x:c r="O344" s="27" t="str">
        <x:v>Physical quantity and spatial action; science measurement/models; computing/algorithms; finance; music rhythm/pattern; geographic data.</x:v>
      </x:c>
      <x:c r="P344" s="27" t="str">
        <x:v>Systems model simultaneous constraints and prepare algebraic modeling.</x:v>
      </x:c>
      <x:c r="Q344" s="27" t="str">
        <x:v>S20-MATH-04</x:v>
      </x:c>
      <x:c r="R344" s="27" t="str">
        <x:v>Solves a system in multiple ways and interprets intersection or lack of solution.</x:v>
      </x:c>
      <x:c r="S344" s="27" t="str">
        <x:v>SRC09</x:v>
      </x:c>
      <x:c r="T344" s="27" t="str">
        <x:v>Development varies; use observed performance and appropriate supports rather than age alone.</x:v>
      </x:c>
      <x:c r="U344" s="27" t="str"/>
      <x:c r="V344" s="27" t="str"/>
      <x:c r="W344" s="39" t="str"/>
      <x:c r="X344" s="39" t="str"/>
    </x:row>
    <x:row r="345">
      <x:c r="A345" s="27" t="str">
        <x:v>S20-MATH-04</x:v>
      </x:c>
      <x:c r="B345" s="37" t="n">
        <x:v>341</x:v>
      </x:c>
      <x:c r="C345" s="27" t="str">
        <x:v>S20</x:v>
      </x:c>
      <x:c r="D345" s="37" t="n">
        <x:v>20</x:v>
      </x:c>
      <x:c r="E345" s="27" t="str">
        <x:v>Grade 8</x:v>
      </x:c>
      <x:c r="F345" s="27" t="str">
        <x:v>8</x:v>
      </x:c>
      <x:c r="G345" s="27" t="str">
        <x:v>Linear systems and integrated scientific explanation</x:v>
      </x:c>
      <x:c r="H345" s="27" t="str">
        <x:v>Mathematics</x:v>
      </x:c>
      <x:c r="I345" s="27" t="str">
        <x:v>Functions</x:v>
      </x:c>
      <x:c r="J345" s="27" t="str">
        <x:v>Function concept and linear models</x:v>
      </x:c>
      <x:c r="K345" s="27" t="str">
        <x:v>Defining functions, comparing tables/graphs/equations/descriptions, interpreting rate and initial value, and modeling approximately linear relationships.</x:v>
      </x:c>
      <x:c r="L345" s="27" t="str">
        <x:v>Grade 7 y=kx, coordinate patterns, and equations.</x:v>
      </x:c>
      <x:c r="M345" s="27" t="str">
        <x:v>S20-MATH-03</x:v>
      </x:c>
      <x:c r="N345" s="27" t="str">
        <x:v>G5/G6 — Coordinated representations within an evidence-based formal system</x:v>
      </x:c>
      <x:c r="O345" s="27" t="str">
        <x:v>Physical quantity and spatial action; science measurement/models; computing/algorithms; finance; music rhythm/pattern; geographic data.</x:v>
      </x:c>
      <x:c r="P345" s="27" t="str">
        <x:v>Functions organize covariation and become the central language of high-school mathematics.</x:v>
      </x:c>
      <x:c r="Q345" s="27" t="str">
        <x:v>S20-MATH-05</x:v>
      </x:c>
      <x:c r="R345" s="27" t="str">
        <x:v>Identifies input/output rule, rate, intercept, domain context, and model fit.</x:v>
      </x:c>
      <x:c r="S345" s="27" t="str">
        <x:v>SRC09</x:v>
      </x:c>
      <x:c r="T345" s="27" t="str">
        <x:v>Development varies; use observed performance and appropriate supports rather than age alone.</x:v>
      </x:c>
      <x:c r="U345" s="27" t="str"/>
      <x:c r="V345" s="27" t="str"/>
      <x:c r="W345" s="39" t="str"/>
      <x:c r="X345" s="39" t="str"/>
    </x:row>
    <x:row r="346">
      <x:c r="A346" s="27" t="str">
        <x:v>S20-MATH-05</x:v>
      </x:c>
      <x:c r="B346" s="37" t="n">
        <x:v>342</x:v>
      </x:c>
      <x:c r="C346" s="27" t="str">
        <x:v>S20</x:v>
      </x:c>
      <x:c r="D346" s="37" t="n">
        <x:v>20</x:v>
      </x:c>
      <x:c r="E346" s="27" t="str">
        <x:v>Grade 8</x:v>
      </x:c>
      <x:c r="F346" s="27" t="str">
        <x:v>8</x:v>
      </x:c>
      <x:c r="G346" s="27" t="str">
        <x:v>Linear systems and integrated scientific explanation</x:v>
      </x:c>
      <x:c r="H346" s="27" t="str">
        <x:v>Mathematics</x:v>
      </x:c>
      <x:c r="I346" s="27" t="str">
        <x:v>Geometry</x:v>
      </x:c>
      <x:c r="J346" s="27" t="str">
        <x:v>Transformations, congruence, similarity, and Pythagorean theorem</x:v>
      </x:c>
      <x:c r="K346" s="27" t="str">
        <x:v>Using translations/rotations/reflections/dilations to reason about congruence/similarity and applying/proving the Pythagorean relationship informally to distance and solids.</x:v>
      </x:c>
      <x:c r="L346" s="27" t="str">
        <x:v>Grade 7 angles/scale/circles, proportional reasoning, and square roots.</x:v>
      </x:c>
      <x:c r="M346" s="27" t="str">
        <x:v>S20-MATH-04</x:v>
      </x:c>
      <x:c r="N346" s="27" t="str">
        <x:v>G5/G6 — Coordinated representations within an evidence-based formal system</x:v>
      </x:c>
      <x:c r="O346" s="27" t="str">
        <x:v>Physical quantity and spatial action; science measurement/models; computing/algorithms; finance; music rhythm/pattern; geographic data.</x:v>
      </x:c>
      <x:c r="P346" s="27" t="str">
        <x:v>Transformation definitions and Pythagorean distance lead directly to formal geometry/trigonometry.</x:v>
      </x:c>
      <x:c r="Q346" s="27" t="str">
        <x:v>S20-MATH-06</x:v>
      </x:c>
      <x:c r="R346" s="27" t="str">
        <x:v>Constructs a transformation argument and solves a distance problem with exact/approximate values.</x:v>
      </x:c>
      <x:c r="S346" s="27" t="str">
        <x:v>SRC09</x:v>
      </x:c>
      <x:c r="T346" s="27" t="str">
        <x:v>Development varies; use observed performance and appropriate supports rather than age alone.</x:v>
      </x:c>
      <x:c r="U346" s="27" t="str"/>
      <x:c r="V346" s="27" t="str"/>
      <x:c r="W346" s="39" t="str"/>
      <x:c r="X346" s="39" t="str"/>
    </x:row>
    <x:row r="347">
      <x:c r="A347" s="27" t="str">
        <x:v>S20-MATH-06</x:v>
      </x:c>
      <x:c r="B347" s="37" t="n">
        <x:v>343</x:v>
      </x:c>
      <x:c r="C347" s="27" t="str">
        <x:v>S20</x:v>
      </x:c>
      <x:c r="D347" s="37" t="n">
        <x:v>20</x:v>
      </x:c>
      <x:c r="E347" s="27" t="str">
        <x:v>Grade 8</x:v>
      </x:c>
      <x:c r="F347" s="27" t="str">
        <x:v>8</x:v>
      </x:c>
      <x:c r="G347" s="27" t="str">
        <x:v>Linear systems and integrated scientific explanation</x:v>
      </x:c>
      <x:c r="H347" s="27" t="str">
        <x:v>Mathematics</x:v>
      </x:c>
      <x:c r="I347" s="27" t="str">
        <x:v>Statistics</x:v>
      </x:c>
      <x:c r="J347" s="27" t="str">
        <x:v>Bivariate data and association</x:v>
      </x:c>
      <x:c r="K347" s="27" t="str">
        <x:v>Using scatter plots, fitted lines, two-way tables, and relative frequencies to describe association while distinguishing association from a demonstrated causal mechanism.</x:v>
      </x:c>
      <x:c r="L347" s="27" t="str">
        <x:v>Grade 7 sampling/distributions, proportional relationships, and linear models.</x:v>
      </x:c>
      <x:c r="M347" s="27" t="str">
        <x:v>S20-MATH-05</x:v>
      </x:c>
      <x:c r="N347" s="27" t="str">
        <x:v>G5/G6 — Coordinated representations within an evidence-based formal system</x:v>
      </x:c>
      <x:c r="O347" s="27" t="str">
        <x:v>Physical quantity and spatial action; science measurement/models; computing/algorithms; finance; music rhythm/pattern; geographic data.</x:v>
      </x:c>
      <x:c r="P347" s="27" t="str">
        <x:v>Bivariate reasoning prepares regression, experimental design, and evidence evaluation.</x:v>
      </x:c>
      <x:c r="Q347" s="27" t="str">
        <x:v>S21-MATH-01</x:v>
      </x:c>
      <x:c r="R347" s="27" t="str">
        <x:v>Describes association, uses a model for prediction, and states an appropriate causal limitation.</x:v>
      </x:c>
      <x:c r="S347" s="27" t="str">
        <x:v>SRC09</x:v>
      </x:c>
      <x:c r="T347" s="27" t="str">
        <x:v>Development varies; use observed performance and appropriate supports rather than age alone.</x:v>
      </x:c>
      <x:c r="U347" s="27" t="str"/>
      <x:c r="V347" s="27" t="str"/>
      <x:c r="W347" s="39" t="str"/>
      <x:c r="X347" s="39" t="str"/>
    </x:row>
    <x:row r="348">
      <x:c r="A348" s="27" t="str">
        <x:v>S20-SCI-01</x:v>
      </x:c>
      <x:c r="B348" s="37" t="n">
        <x:v>344</x:v>
      </x:c>
      <x:c r="C348" s="27" t="str">
        <x:v>S20</x:v>
      </x:c>
      <x:c r="D348" s="37" t="n">
        <x:v>20</x:v>
      </x:c>
      <x:c r="E348" s="27" t="str">
        <x:v>Grade 8</x:v>
      </x:c>
      <x:c r="F348" s="27" t="str">
        <x:v>8</x:v>
      </x:c>
      <x:c r="G348" s="27" t="str">
        <x:v>Linear systems and integrated scientific explanation</x:v>
      </x:c>
      <x:c r="H348" s="27" t="str">
        <x:v>Science &amp; Engineering</x:v>
      </x:c>
      <x:c r="I348" s="27" t="str">
        <x:v>Physical science</x:v>
      </x:c>
      <x:c r="J348" s="27" t="str">
        <x:v>Forces, energy, and waves</x:v>
      </x:c>
      <x:c r="K348" s="27" t="str">
        <x:v>Using mathematical/model relationships for motion, Newtonian forces, gravitational/electric/magnetic interactions, kinetic/potential energy, and wave transmission/reflection/absorption.</x:v>
      </x:c>
      <x:c r="L348" s="27" t="str">
        <x:v>Grade 7 systems/conservation, Grade 8 linear/proportional math, and Grade 6 particle/energy models.</x:v>
      </x:c>
      <x:c r="M348" s="27" t="str">
        <x:v>S19-SCI-03</x:v>
      </x:c>
      <x:c r="N348" s="27" t="str">
        <x:v>G5/G6 — Coordinated representations within an evidence-based formal system</x:v>
      </x:c>
      <x:c r="O348" s="27" t="str">
        <x:v>Sensory observation and action; mathematics/data; reading/writing evidence; computing/models; health and environmental/civic decisions.</x:v>
      </x:c>
      <x:c r="P348" s="27" t="str">
        <x:v>Quantitative system models prepare high-school physics.</x:v>
      </x:c>
      <x:c r="Q348" s="27" t="str">
        <x:v>S20-SCI-02</x:v>
      </x:c>
      <x:c r="R348" s="27" t="str">
        <x:v>Uses equations/graphs/models and evidence to explain or predict a physical interaction.</x:v>
      </x:c>
      <x:c r="S348" s="27" t="str">
        <x:v>SRC11</x:v>
      </x:c>
      <x:c r="T348" s="27" t="str">
        <x:v>Development varies; use observed performance and appropriate supports rather than age alone.</x:v>
      </x:c>
      <x:c r="U348" s="27" t="str"/>
      <x:c r="V348" s="27" t="str"/>
      <x:c r="W348" s="39" t="str"/>
      <x:c r="X348" s="39" t="str"/>
    </x:row>
    <x:row r="349">
      <x:c r="A349" s="27" t="str">
        <x:v>S20-SCI-02</x:v>
      </x:c>
      <x:c r="B349" s="37" t="n">
        <x:v>345</x:v>
      </x:c>
      <x:c r="C349" s="27" t="str">
        <x:v>S20</x:v>
      </x:c>
      <x:c r="D349" s="37" t="n">
        <x:v>20</x:v>
      </x:c>
      <x:c r="E349" s="27" t="str">
        <x:v>Grade 8</x:v>
      </x:c>
      <x:c r="F349" s="27" t="str">
        <x:v>8</x:v>
      </x:c>
      <x:c r="G349" s="27" t="str">
        <x:v>Linear systems and integrated scientific explanation</x:v>
      </x:c>
      <x:c r="H349" s="27" t="str">
        <x:v>Science &amp; Engineering</x:v>
      </x:c>
      <x:c r="I349" s="27" t="str">
        <x:v>Life science</x:v>
      </x:c>
      <x:c r="J349" s="27" t="str">
        <x:v>Natural selection and adaptation</x:v>
      </x:c>
      <x:c r="K349" s="27" t="str">
        <x:v>Using fossil, anatomical, embryological, genetic, and population evidence to explain common ancestry, variation, selection, and adaptation over generations.</x:v>
      </x:c>
      <x:c r="L349" s="27" t="str">
        <x:v>Grade 7 heredity/variation and ecosystem dynamics.</x:v>
      </x:c>
      <x:c r="M349" s="27" t="str">
        <x:v>S20-SCI-01</x:v>
      </x:c>
      <x:c r="N349" s="27" t="str">
        <x:v>G5/G6 — Coordinated representations within an evidence-based formal system</x:v>
      </x:c>
      <x:c r="O349" s="27" t="str">
        <x:v>Sensory observation and action; mathematics/data; reading/writing evidence; computing/models; health and environmental/civic decisions.</x:v>
      </x:c>
      <x:c r="P349" s="27" t="str">
        <x:v>Population-level change integrates inheritance, environment, probability, and deep time.</x:v>
      </x:c>
      <x:c r="Q349" s="27" t="str">
        <x:v>S20-SCI-03</x:v>
      </x:c>
      <x:c r="R349" s="27" t="str">
        <x:v>Constructs a claim-evidence-reasoning explanation that distinguishes individual development from population change.</x:v>
      </x:c>
      <x:c r="S349" s="27" t="str">
        <x:v>SRC11</x:v>
      </x:c>
      <x:c r="T349" s="27" t="str">
        <x:v>Development varies; use observed performance and appropriate supports rather than age alone.</x:v>
      </x:c>
      <x:c r="U349" s="27" t="str"/>
      <x:c r="V349" s="27" t="str"/>
      <x:c r="W349" s="39" t="str"/>
      <x:c r="X349" s="39" t="str"/>
    </x:row>
    <x:row r="350">
      <x:c r="A350" s="27" t="str">
        <x:v>S20-SCI-03</x:v>
      </x:c>
      <x:c r="B350" s="37" t="n">
        <x:v>346</x:v>
      </x:c>
      <x:c r="C350" s="27" t="str">
        <x:v>S20</x:v>
      </x:c>
      <x:c r="D350" s="37" t="n">
        <x:v>20</x:v>
      </x:c>
      <x:c r="E350" s="27" t="str">
        <x:v>Grade 8</x:v>
      </x:c>
      <x:c r="F350" s="27" t="str">
        <x:v>8</x:v>
      </x:c>
      <x:c r="G350" s="27" t="str">
        <x:v>Linear systems and integrated scientific explanation</x:v>
      </x:c>
      <x:c r="H350" s="27" t="str">
        <x:v>Science &amp; Engineering</x:v>
      </x:c>
      <x:c r="I350" s="27" t="str">
        <x:v>Earth/space and sustainability</x:v>
      </x:c>
      <x:c r="J350" s="27" t="str">
        <x:v>Solar system, Earth history, climate, and solutions</x:v>
      </x:c>
      <x:c r="K350" s="27" t="str">
        <x:v>Modeling gravity/orbits, geologic time, climate systems, resource/hazard impacts, and evaluating designs/policies for human sustainability.</x:v>
      </x:c>
      <x:c r="L350" s="27" t="str">
        <x:v>Grade 7 Earth/space systems, functions, statistics, and decision models.</x:v>
      </x:c>
      <x:c r="M350" s="27" t="str">
        <x:v>S20-SCI-02</x:v>
      </x:c>
      <x:c r="N350" s="27" t="str">
        <x:v>G5/G6 — Coordinated representations within an evidence-based formal system</x:v>
      </x:c>
      <x:c r="O350" s="27" t="str">
        <x:v>Sensory observation and action; mathematics/data; reading/writing evidence; computing/models; health and environmental/civic decisions.</x:v>
      </x:c>
      <x:c r="P350" s="27" t="str">
        <x:v>Large-scale coupled systems demand model comparison, uncertainty, and tradeoff reasoning.</x:v>
      </x:c>
      <x:c r="Q350" s="27" t="str">
        <x:v>S21-SCI-01</x:v>
      </x:c>
      <x:c r="R350" s="27" t="str">
        <x:v>Evaluates a solution using system evidence, criteria, constraints, and unintended effects.</x:v>
      </x:c>
      <x:c r="S350" s="27" t="str">
        <x:v>SRC11</x:v>
      </x:c>
      <x:c r="T350" s="27" t="str">
        <x:v>Development varies; use observed performance and appropriate supports rather than age alone.</x:v>
      </x:c>
      <x:c r="U350" s="27" t="str"/>
      <x:c r="V350" s="27" t="str"/>
      <x:c r="W350" s="39" t="str"/>
      <x:c r="X350" s="39" t="str"/>
    </x:row>
    <x:row r="351">
      <x:c r="A351" s="27" t="str">
        <x:v>S20-SST-01</x:v>
      </x:c>
      <x:c r="B351" s="37" t="n">
        <x:v>347</x:v>
      </x:c>
      <x:c r="C351" s="27" t="str">
        <x:v>S20</x:v>
      </x:c>
      <x:c r="D351" s="37" t="n">
        <x:v>20</x:v>
      </x:c>
      <x:c r="E351" s="27" t="str">
        <x:v>Grade 8</x:v>
      </x:c>
      <x:c r="F351" s="27" t="str">
        <x:v>8</x:v>
      </x:c>
      <x:c r="G351" s="27" t="str">
        <x:v>Linear systems and integrated scientific explanation</x:v>
      </x:c>
      <x:c r="H351" s="27" t="str">
        <x:v>Social Studies</x:v>
      </x:c>
      <x:c r="I351" s="27" t="str">
        <x:v>History</x:v>
      </x:c>
      <x:c r="J351" s="27" t="str">
        <x:v>Revolutions, industrialization, imperialism, and global change</x:v>
      </x:c>
      <x:c r="K351" s="27" t="str">
        <x:v>Analyzing political/economic revolutions, industrial systems, enslavement/abolition, colonization/imperialism, migration, resistance, and global interdependence through contested sources.</x:v>
      </x:c>
      <x:c r="L351" s="27" t="str">
        <x:v>Grade 7 global networks/rights, causal networks, and source disagreement.</x:v>
      </x:c>
      <x:c r="M351" s="27" t="str">
        <x:v>S19-SST-02</x:v>
      </x:c>
      <x:c r="N351" s="27" t="str">
        <x:v>G5/G6 — Coordinated representations within an evidence-based formal system</x:v>
      </x:c>
      <x:c r="O351" s="27" t="str">
        <x:v>Language/literacy and source evidence; maps/data/economics; ethics/SEL; media literacy; arts/culture; civic action.</x:v>
      </x:c>
      <x:c r="P351" s="27" t="str">
        <x:v>Multiple interacting causes and unequal outcomes prepare modern history and civic analysis.</x:v>
      </x:c>
      <x:c r="Q351" s="27" t="str">
        <x:v>S20-SST-02</x:v>
      </x:c>
      <x:c r="R351" s="27" t="str">
        <x:v>Develops a multi-causal claim with evidence from affected groups and institutions.</x:v>
      </x:c>
      <x:c r="S351" s="27" t="str">
        <x:v>SRC12; SRC24</x:v>
      </x:c>
      <x:c r="T351" s="27" t="str">
        <x:v>Development varies; use observed performance and appropriate supports rather than age alone.</x:v>
      </x:c>
      <x:c r="U351" s="27" t="str"/>
      <x:c r="V351" s="27" t="str"/>
      <x:c r="W351" s="39" t="str"/>
      <x:c r="X351" s="39" t="str"/>
    </x:row>
    <x:row r="352">
      <x:c r="A352" s="27" t="str">
        <x:v>S20-SST-02</x:v>
      </x:c>
      <x:c r="B352" s="37" t="n">
        <x:v>348</x:v>
      </x:c>
      <x:c r="C352" s="27" t="str">
        <x:v>S20</x:v>
      </x:c>
      <x:c r="D352" s="37" t="n">
        <x:v>20</x:v>
      </x:c>
      <x:c r="E352" s="27" t="str">
        <x:v>Grade 8</x:v>
      </x:c>
      <x:c r="F352" s="27" t="str">
        <x:v>8</x:v>
      </x:c>
      <x:c r="G352" s="27" t="str">
        <x:v>Linear systems and integrated scientific explanation</x:v>
      </x:c>
      <x:c r="H352" s="27" t="str">
        <x:v>Social Studies</x:v>
      </x:c>
      <x:c r="I352" s="27" t="str">
        <x:v>Civics</x:v>
      </x:c>
      <x:c r="J352" s="27" t="str">
        <x:v>Constitutional principles and civic participation</x:v>
      </x:c>
      <x:c r="K352" s="27" t="str">
        <x:v>Analyzing rule of law, separation of powers, federalism, rights, courts, elections, public policy, media, and forms of civic participation.</x:v>
      </x:c>
      <x:c r="L352" s="27" t="str">
        <x:v>Grade 7 rights/law/collective action, argument validity, and source evaluation.</x:v>
      </x:c>
      <x:c r="M352" s="27" t="str">
        <x:v>S20-SST-01</x:v>
      </x:c>
      <x:c r="N352" s="27" t="str">
        <x:v>G5/G6 — Coordinated representations within an evidence-based formal system</x:v>
      </x:c>
      <x:c r="O352" s="27" t="str">
        <x:v>Language/literacy and source evidence; maps/data/economics; ethics/SEL; media literacy; arts/culture; civic action.</x:v>
      </x:c>
      <x:c r="P352" s="27" t="str">
        <x:v>Institutional mechanisms connect constitutional ideas to public outcomes and action.</x:v>
      </x:c>
      <x:c r="Q352" s="27" t="str">
        <x:v>S21-SST-01</x:v>
      </x:c>
      <x:c r="R352" s="27" t="str">
        <x:v>Uses constitutional/institutional evidence to evaluate a public issue and proposed action.</x:v>
      </x:c>
      <x:c r="S352" s="27" t="str">
        <x:v>SRC12; SRC24</x:v>
      </x:c>
      <x:c r="T352" s="27" t="str">
        <x:v>Development varies; use observed performance and appropriate supports rather than age alone.</x:v>
      </x:c>
      <x:c r="U352" s="27" t="str"/>
      <x:c r="V352" s="27" t="str"/>
      <x:c r="W352" s="39" t="str"/>
      <x:c r="X352" s="39" t="str"/>
    </x:row>
    <x:row r="353">
      <x:c r="A353" s="27" t="str">
        <x:v>S20-ARTS-01</x:v>
      </x:c>
      <x:c r="B353" s="37" t="n">
        <x:v>349</x:v>
      </x:c>
      <x:c r="C353" s="27" t="str">
        <x:v>S20</x:v>
      </x:c>
      <x:c r="D353" s="37" t="n">
        <x:v>20</x:v>
      </x:c>
      <x:c r="E353" s="27" t="str">
        <x:v>Grade 8</x:v>
      </x:c>
      <x:c r="F353" s="27" t="str">
        <x:v>8</x:v>
      </x:c>
      <x:c r="G353" s="27" t="str">
        <x:v>Linear systems and integrated scientific explanation</x:v>
      </x:c>
      <x:c r="H353" s="27" t="str">
        <x:v>Music &amp; Arts</x:v>
      </x:c>
      <x:c r="I353" s="27" t="str">
        <x:v>Music</x:v>
      </x:c>
      <x:c r="J353" s="27" t="str">
        <x:v>Advanced middle-school performance/composition pathway</x:v>
      </x:c>
      <x:c r="K353" s="27" t="str">
        <x:v>Applying notation, technique, rehearsal methods, expressive interpretation, analysis, improvisation/composition, technology, and cultural context at an ensemble or creator-appropriate level.</x:v>
      </x:c>
      <x:c r="L353" s="27" t="str">
        <x:v>Grade 7 harmony/improvisation/analysis and independent project habits.</x:v>
      </x:c>
      <x:c r="M353" s="27" t="str">
        <x:v>S19-ARTS-01</x:v>
      </x:c>
      <x:c r="N353" s="27" t="str">
        <x:v>G5/G6 — Coordinated representations within an evidence-based formal system</x:v>
      </x:c>
      <x:c r="O353" s="27" t="str">
        <x:v>Sensory discrimination; motor timing; language/prosody; mathematics/pattern; history/culture; emotion, design, and technology.</x:v>
      </x:c>
      <x:c r="P353" s="27" t="str">
        <x:v>Integrated musicianship supports high-school specialization in ensemble, theory, composition, or technology.</x:v>
      </x:c>
      <x:c r="Q353" s="27" t="str">
        <x:v>S21-ARTS-01</x:v>
      </x:c>
      <x:c r="R353" s="27" t="str">
        <x:v>Presents a polished work plus process evidence and a standards-based self-assessment.</x:v>
      </x:c>
      <x:c r="S353" s="27" t="str">
        <x:v>SRC13</x:v>
      </x:c>
      <x:c r="T353" s="27" t="str">
        <x:v>Development varies; use observed performance and appropriate supports rather than age alone.</x:v>
      </x:c>
      <x:c r="U353" s="27" t="str"/>
      <x:c r="V353" s="27" t="str"/>
      <x:c r="W353" s="39" t="str"/>
      <x:c r="X353" s="39" t="str"/>
    </x:row>
    <x:row r="354">
      <x:c r="A354" s="27" t="str">
        <x:v>S20-HLTH-01</x:v>
      </x:c>
      <x:c r="B354" s="37" t="n">
        <x:v>350</x:v>
      </x:c>
      <x:c r="C354" s="27" t="str">
        <x:v>S20</x:v>
      </x:c>
      <x:c r="D354" s="37" t="n">
        <x:v>20</x:v>
      </x:c>
      <x:c r="E354" s="27" t="str">
        <x:v>Grade 8</x:v>
      </x:c>
      <x:c r="F354" s="27" t="str">
        <x:v>8</x:v>
      </x:c>
      <x:c r="G354" s="27" t="str">
        <x:v>Linear systems and integrated scientific explanation</x:v>
      </x:c>
      <x:c r="H354" s="27" t="str">
        <x:v>Physical &amp; Health</x:v>
      </x:c>
      <x:c r="I354" s="27" t="str">
        <x:v>Independent wellness</x:v>
      </x:c>
      <x:c r="J354" s="27" t="str">
        <x:v>Training principles and health action plan</x:v>
      </x:c>
      <x:c r="K354" s="27" t="str">
        <x:v>Applying frequency/intensity/time/type, progression/recovery, nutrition/sleep/stress knowledge, communication, and reliable resources to an individualized inclusive plan.</x:v>
      </x:c>
      <x:c r="L354" s="27" t="str">
        <x:v>Grade 7 health goals, statistics, and decision record.</x:v>
      </x:c>
      <x:c r="M354" s="27" t="str">
        <x:v>S19-HLTH-01</x:v>
      </x:c>
      <x:c r="N354" s="27" t="str">
        <x:v>G5/G6 — Coordinated representations within an evidence-based formal system</x:v>
      </x:c>
      <x:c r="O354" s="27" t="str">
        <x:v>Motor/sensory development; life science; measurement/data; SEL/self-management; communication, safety, and decision-making.</x:v>
      </x:c>
      <x:c r="P354" s="27" t="str">
        <x:v>Training and health literacy become self-managed systems rather than isolated activities.</x:v>
      </x:c>
      <x:c r="Q354" s="27" t="str">
        <x:v>S21-HLTH-01</x:v>
      </x:c>
      <x:c r="R354" s="27" t="str">
        <x:v>Implements, monitors, and safely revises a plan using performance and well-being evidence.</x:v>
      </x:c>
      <x:c r="S354" s="27" t="str">
        <x:v>SRC14; SRC15</x:v>
      </x:c>
      <x:c r="T354" s="27" t="str">
        <x:v>Development varies; use observed performance and appropriate supports rather than age alone.</x:v>
      </x:c>
      <x:c r="U354" s="27" t="str"/>
      <x:c r="V354" s="27" t="str"/>
      <x:c r="W354" s="39" t="str"/>
      <x:c r="X354" s="39" t="str"/>
    </x:row>
    <x:row r="355">
      <x:c r="A355" s="27" t="str">
        <x:v>S20-COMP-01</x:v>
      </x:c>
      <x:c r="B355" s="37" t="n">
        <x:v>351</x:v>
      </x:c>
      <x:c r="C355" s="27" t="str">
        <x:v>S20</x:v>
      </x:c>
      <x:c r="D355" s="37" t="n">
        <x:v>20</x:v>
      </x:c>
      <x:c r="E355" s="27" t="str">
        <x:v>Grade 8</x:v>
      </x:c>
      <x:c r="F355" s="27" t="str">
        <x:v>8</x:v>
      </x:c>
      <x:c r="G355" s="27" t="str">
        <x:v>Linear systems and integrated scientific explanation</x:v>
      </x:c>
      <x:c r="H355" s="27" t="str">
        <x:v>Computing &amp; Media</x:v>
      </x:c>
      <x:c r="I355" s="27" t="str">
        <x:v>Computer science</x:v>
      </x:c>
      <x:c r="J355" s="27" t="str">
        <x:v>Algorithm complexity, data structures, and collaborative development</x:v>
      </x:c>
      <x:c r="K355" s="27" t="str">
        <x:v>Comparing algorithm resource use qualitatively, selecting data structures, using versioned collaborative design/testing, and documenting program behavior.</x:v>
      </x:c>
      <x:c r="L355" s="27" t="str">
        <x:v>Grade 7 collections/functions/testing and linear/exponential reasoning.</x:v>
      </x:c>
      <x:c r="M355" s="27" t="str">
        <x:v>S19-COMP-02</x:v>
      </x:c>
      <x:c r="N355" s="27" t="str">
        <x:v>G5/G6 — Coordinated representations within an evidence-based formal system</x:v>
      </x:c>
      <x:c r="O355" s="27" t="str">
        <x:v>Mathematics/logic/data; language and media evidence; science/engineering models; art/design; civics, privacy, finance, and ethics.</x:v>
      </x:c>
      <x:c r="P355" s="27" t="str">
        <x:v>Tradeoffs, abstraction, testing, and collaboration prepare formal high-school CS.</x:v>
      </x:c>
      <x:c r="Q355" s="27" t="str">
        <x:v>S20-COMP-02</x:v>
      </x:c>
      <x:c r="R355" s="27" t="str">
        <x:v>Delivers a tested program with design rationale, version history, and known limitations.</x:v>
      </x:c>
      <x:c r="S355" s="27" t="str">
        <x:v>SRC16</x:v>
      </x:c>
      <x:c r="T355" s="27" t="str">
        <x:v>Development varies; use observed performance and appropriate supports rather than age alone.</x:v>
      </x:c>
      <x:c r="U355" s="27" t="str"/>
      <x:c r="V355" s="27" t="str"/>
      <x:c r="W355" s="39" t="str"/>
      <x:c r="X355" s="39" t="str"/>
    </x:row>
    <x:row r="356">
      <x:c r="A356" s="27" t="str">
        <x:v>S20-COMP-02</x:v>
      </x:c>
      <x:c r="B356" s="37" t="n">
        <x:v>352</x:v>
      </x:c>
      <x:c r="C356" s="27" t="str">
        <x:v>S20</x:v>
      </x:c>
      <x:c r="D356" s="37" t="n">
        <x:v>20</x:v>
      </x:c>
      <x:c r="E356" s="27" t="str">
        <x:v>Grade 8</x:v>
      </x:c>
      <x:c r="F356" s="27" t="str">
        <x:v>8</x:v>
      </x:c>
      <x:c r="G356" s="27" t="str">
        <x:v>Linear systems and integrated scientific explanation</x:v>
      </x:c>
      <x:c r="H356" s="27" t="str">
        <x:v>Computing &amp; Media</x:v>
      </x:c>
      <x:c r="I356" s="27" t="str">
        <x:v>Digital/media literacy</x:v>
      </x:c>
      <x:c r="J356" s="27" t="str">
        <x:v>Verification, algorithms, privacy, and civic information</x:v>
      </x:c>
      <x:c r="K356" s="27" t="str">
        <x:v>Using lateral verification, reverse/context checks where appropriate, evidence tracing, and awareness of platform algorithms/data practices to evaluate and share information responsibly.</x:v>
      </x:c>
      <x:c r="L356" s="27" t="str">
        <x:v>Grade 7 AI/media systems, source disagreement, and cybersecurity.</x:v>
      </x:c>
      <x:c r="M356" s="27" t="str">
        <x:v>S20-COMP-01</x:v>
      </x:c>
      <x:c r="N356" s="27" t="str">
        <x:v>G5/G6 — Coordinated representations within an evidence-based formal system</x:v>
      </x:c>
      <x:c r="O356" s="27" t="str">
        <x:v>Mathematics/logic/data; language and media evidence; science/engineering models; art/design; civics, privacy, finance, and ethics.</x:v>
      </x:c>
      <x:c r="P356" s="27" t="str">
        <x:v>Verification plus system awareness supports informed participation in networked public life.</x:v>
      </x:c>
      <x:c r="Q356" s="27" t="str">
        <x:v>S21-COMP-01</x:v>
      </x:c>
      <x:c r="R356" s="27" t="str">
        <x:v>Produces a verification trail and a reasoned share/do-not-share decision with privacy/impact analysis.</x:v>
      </x:c>
      <x:c r="S356" s="27" t="str">
        <x:v>SRC16; SRC20</x:v>
      </x:c>
      <x:c r="T356" s="27" t="str">
        <x:v>Development varies; use observed performance and appropriate supports rather than age alone.</x:v>
      </x:c>
      <x:c r="U356" s="27" t="str"/>
      <x:c r="V356" s="27" t="str"/>
      <x:c r="W356" s="39" t="str"/>
      <x:c r="X356" s="39" t="str"/>
    </x:row>
    <x:row r="357">
      <x:c r="A357" s="27" t="str">
        <x:v>S20-WLANG-01</x:v>
      </x:c>
      <x:c r="B357" s="37" t="n">
        <x:v>353</x:v>
      </x:c>
      <x:c r="C357" s="27" t="str">
        <x:v>S20</x:v>
      </x:c>
      <x:c r="D357" s="37" t="n">
        <x:v>20</x:v>
      </x:c>
      <x:c r="E357" s="27" t="str">
        <x:v>Grade 8</x:v>
      </x:c>
      <x:c r="F357" s="27" t="str">
        <x:v>8</x:v>
      </x:c>
      <x:c r="G357" s="27" t="str">
        <x:v>Linear systems and integrated scientific explanation</x:v>
      </x:c>
      <x:c r="H357" s="27" t="str">
        <x:v>World Languages</x:v>
      </x:c>
      <x:c r="I357" s="27" t="str">
        <x:v>Proficiency</x:v>
      </x:c>
      <x:c r="J357" s="27" t="str">
        <x:v>Intermediate-mid narration and interaction</x:v>
      </x:c>
      <x:c r="K357" s="27" t="str">
        <x:v>Sustaining familiar conversations, asking/answering connected questions, narrating in major time frames at an emerging level, interpreting authentic sources, and presenting connected discourse.</x:v>
      </x:c>
      <x:c r="L357" s="27" t="str">
        <x:v>Grade 7 intermediate-low communication and narrative/analytical structures.</x:v>
      </x:c>
      <x:c r="M357" s="27" t="str">
        <x:v>S19-WLANG-01</x:v>
      </x:c>
      <x:c r="N357" s="27" t="str">
        <x:v>G5/G6 — Coordinated representations within an evidence-based formal system</x:v>
      </x:c>
      <x:c r="O357" s="27" t="str">
        <x:v>Oral language, reading, and writing; memory/retrieval; social interaction; history/geography/arts; intercultural perspective.</x:v>
      </x:c>
      <x:c r="P357" s="27" t="str">
        <x:v>Time-frame control and connected discourse prepare advanced proficiency growth.</x:v>
      </x:c>
      <x:c r="Q357" s="27" t="str">
        <x:v>S21-WLANG-01</x:v>
      </x:c>
      <x:c r="R357" s="27" t="str">
        <x:v>Handles an unrehearsed familiar situation and narrates a coherent event sequence.</x:v>
      </x:c>
      <x:c r="S357" s="27" t="str">
        <x:v>SRC17</x:v>
      </x:c>
      <x:c r="T357" s="27" t="str">
        <x:v>Place by demonstrated proficiency and cumulative exposure.</x:v>
      </x:c>
      <x:c r="U357" s="27" t="str"/>
      <x:c r="V357" s="27" t="str"/>
      <x:c r="W357" s="39" t="str"/>
      <x:c r="X357" s="39" t="str"/>
    </x:row>
    <x:row r="358">
      <x:c r="A358" s="27" t="str">
        <x:v>S20-LIFE-01</x:v>
      </x:c>
      <x:c r="B358" s="37" t="n">
        <x:v>354</x:v>
      </x:c>
      <x:c r="C358" s="27" t="str">
        <x:v>S20</x:v>
      </x:c>
      <x:c r="D358" s="37" t="n">
        <x:v>20</x:v>
      </x:c>
      <x:c r="E358" s="27" t="str">
        <x:v>Grade 8</x:v>
      </x:c>
      <x:c r="F358" s="27" t="str">
        <x:v>8</x:v>
      </x:c>
      <x:c r="G358" s="27" t="str">
        <x:v>Linear systems and integrated scientific explanation</x:v>
      </x:c>
      <x:c r="H358" s="27" t="str">
        <x:v>Life, Finance &amp; Career</x:v>
      </x:c>
      <x:c r="I358" s="27" t="str">
        <x:v>College/career and finance</x:v>
      </x:c>
      <x:c r="J358" s="27" t="str">
        <x:v>Pathways, employability, banking, and fraud prevention</x:v>
      </x:c>
      <x:c r="K358" s="27" t="str">
        <x:v>Exploring pathways and transferable skills, preparing a basic résumé/portfolio, managing an account/reconciliation, and evaluating fraud, privacy, credit, and consumer risks.</x:v>
      </x:c>
      <x:c r="L358" s="27" t="str">
        <x:v>Grade 7 credit decisions, digital verification, and project evidence.</x:v>
      </x:c>
      <x:c r="M358" s="27" t="str">
        <x:v>S19-LIFE-01</x:v>
      </x:c>
      <x:c r="N358" s="27" t="str">
        <x:v>G5/G6 — Coordinated representations within an evidence-based formal system</x:v>
      </x:c>
      <x:c r="O358" s="27" t="str">
        <x:v>Mathematics/percent/growth; economics/civics; reading contracts/sources; computing/privacy; SEL, planning, and risk decisions.</x:v>
      </x:c>
      <x:c r="P358" s="27" t="str">
        <x:v>Integrated career and account skills prepare high-school planning and adult financial systems.</x:v>
      </x:c>
      <x:c r="Q358" s="27" t="str">
        <x:v>S21-LIFE-01</x:v>
      </x:c>
      <x:c r="R358" s="27" t="str">
        <x:v>Produces a pathway plan/portfolio item and correctly resolves an account or fraud scenario.</x:v>
      </x:c>
      <x:c r="S358" s="27" t="str">
        <x:v>SRC19</x:v>
      </x:c>
      <x:c r="T358" s="27" t="str">
        <x:v>Development varies; use observed performance and appropriate supports rather than age alone.</x:v>
      </x:c>
      <x:c r="U358" s="27" t="str"/>
      <x:c r="V358" s="27" t="str"/>
      <x:c r="W358" s="39" t="str"/>
      <x:c r="X358" s="39" t="str"/>
    </x:row>
    <x:row r="359">
      <x:c r="A359" s="27" t="str">
        <x:v>S21-LEARN-01</x:v>
      </x:c>
      <x:c r="B359" s="37" t="n">
        <x:v>355</x:v>
      </x:c>
      <x:c r="C359" s="27" t="str">
        <x:v>S21</x:v>
      </x:c>
      <x:c r="D359" s="37" t="n">
        <x:v>21</x:v>
      </x:c>
      <x:c r="E359" s="27" t="str">
        <x:v>Grade 9</x:v>
      </x:c>
      <x:c r="F359" s="27" t="str">
        <x:v>9</x:v>
      </x:c>
      <x:c r="G359" s="27" t="str">
        <x:v>Algebra I, biology, and analytical composition</x:v>
      </x:c>
      <x:c r="H359" s="27" t="str">
        <x:v>Learning Foundations</x:v>
      </x:c>
      <x:c r="I359" s="27" t="str">
        <x:v>Mastery progression</x:v>
      </x:c>
      <x:c r="J359" s="27" t="str">
        <x:v>Exposure–recognition–recall–explanation–transfer</x:v>
      </x:c>
      <x:c r="K359" s="27" t="str">
        <x:v>Distinguishing five learning states and designing evidence for the next state instead of treating familiarity as mastery.</x:v>
      </x:c>
      <x:c r="L359" s="27" t="str">
        <x:v>Grade 8 transfer testing, retrieval cycles, and metacognitive judgment.</x:v>
      </x:c>
      <x:c r="M359" s="27" t="str">
        <x:v>S20-LEARN-01</x:v>
      </x:c>
      <x:c r="N359" s="27" t="str">
        <x:v>G6/G7 — Evidence-based formal system demonstrated through authentic transfer</x:v>
      </x:c>
      <x:c r="O359" s="27" t="str">
        <x:v>All domains: attention, memory, strategy choice, monitoring, retrieval, and transfer.</x:v>
      </x:c>
      <x:c r="P359" s="27" t="str">
        <x:v>The progression aligns study technique with the actual performance goal.</x:v>
      </x:c>
      <x:c r="Q359" s="27" t="str">
        <x:v>S22-LEARN-01</x:v>
      </x:c>
      <x:c r="R359" s="27" t="str">
        <x:v>Classifies current performance, selects the next practice type, and demonstrates improvement after delay.</x:v>
      </x:c>
      <x:c r="S359" s="27" t="str">
        <x:v>SRC23; SRC29; SRC30; SRC34</x:v>
      </x:c>
      <x:c r="T359" s="27" t="str">
        <x:v>Development varies; use observed performance and appropriate supports rather than age alone.</x:v>
      </x:c>
      <x:c r="U359" s="27" t="str"/>
      <x:c r="V359" s="27" t="str"/>
      <x:c r="W359" s="39" t="str"/>
      <x:c r="X359" s="39" t="str"/>
    </x:row>
    <x:row r="360">
      <x:c r="A360" s="27" t="str">
        <x:v>S21-SEL-01</x:v>
      </x:c>
      <x:c r="B360" s="37" t="n">
        <x:v>356</x:v>
      </x:c>
      <x:c r="C360" s="27" t="str">
        <x:v>S21</x:v>
      </x:c>
      <x:c r="D360" s="37" t="n">
        <x:v>21</x:v>
      </x:c>
      <x:c r="E360" s="27" t="str">
        <x:v>Grade 9</x:v>
      </x:c>
      <x:c r="F360" s="27" t="str">
        <x:v>9</x:v>
      </x:c>
      <x:c r="G360" s="27" t="str">
        <x:v>Algebra I, biology, and analytical composition</x:v>
      </x:c>
      <x:c r="H360" s="27" t="str">
        <x:v>Social-Emotional</x:v>
      </x:c>
      <x:c r="I360" s="27" t="str">
        <x:v>Independence</x:v>
      </x:c>
      <x:c r="J360" s="27" t="str">
        <x:v>Values-based goals and workload systems</x:v>
      </x:c>
      <x:c r="K360" s="27" t="str">
        <x:v>Connecting goals to values, estimating time/resources, prioritizing commitments, monitoring stress and progress, and renegotiating plans early.</x:v>
      </x:c>
      <x:c r="L360" s="27" t="str">
        <x:v>Grade 8 decision record and long-term project planning.</x:v>
      </x:c>
      <x:c r="M360" s="27" t="str">
        <x:v>S20-SEL-01</x:v>
      </x:c>
      <x:c r="N360" s="27" t="str">
        <x:v>G6/G7 — Evidence-based formal system demonstrated through authentic transfer</x:v>
      </x:c>
      <x:c r="O360" s="27" t="str">
        <x:v>Language and communication; health; collaboration in science, arts, civics, and projects; responsible digital/financial decisions.</x:v>
      </x:c>
      <x:c r="P360" s="27" t="str">
        <x:v>Workload systems support high-school independence and protect sustained motivation/well-being.</x:v>
      </x:c>
      <x:c r="Q360" s="27" t="str">
        <x:v>S22-SEL-01</x:v>
      </x:c>
      <x:c r="R360" s="27" t="str">
        <x:v>Maintains a realistic schedule and documents a justified priority or support adjustment.</x:v>
      </x:c>
      <x:c r="S360" s="27" t="str">
        <x:v>SRC05; SRC18</x:v>
      </x:c>
      <x:c r="T360" s="27" t="str">
        <x:v>Development varies; use observed performance and appropriate supports rather than age alone.</x:v>
      </x:c>
      <x:c r="U360" s="27" t="str"/>
      <x:c r="V360" s="27" t="str"/>
      <x:c r="W360" s="39" t="str"/>
      <x:c r="X360" s="39" t="str"/>
    </x:row>
    <x:row r="361">
      <x:c r="A361" s="27" t="str">
        <x:v>S21-READ-01</x:v>
      </x:c>
      <x:c r="B361" s="37" t="n">
        <x:v>357</x:v>
      </x:c>
      <x:c r="C361" s="27" t="str">
        <x:v>S21</x:v>
      </x:c>
      <x:c r="D361" s="37" t="n">
        <x:v>21</x:v>
      </x:c>
      <x:c r="E361" s="27" t="str">
        <x:v>Grade 9</x:v>
      </x:c>
      <x:c r="F361" s="27" t="str">
        <x:v>9</x:v>
      </x:c>
      <x:c r="G361" s="27" t="str">
        <x:v>Algebra I, biology, and analytical composition</x:v>
      </x:c>
      <x:c r="H361" s="27" t="str">
        <x:v>Reading</x:v>
      </x:c>
      <x:c r="I361" s="27" t="str">
        <x:v>Literature</x:v>
      </x:c>
      <x:c r="J361" s="27" t="str">
        <x:v>Complex character, theme, and structure</x:v>
      </x:c>
      <x:c r="K361" s="27" t="str">
        <x:v>Analyzing how complex characters, conflicting motivations, chronology, pacing, and structural choices develop themes and meaning.</x:v>
      </x:c>
      <x:c r="L361" s="27" t="str">
        <x:v>Grade 8 literary analysis and contextual knowledge.</x:v>
      </x:c>
      <x:c r="M361" s="27" t="str">
        <x:v>S20-READ-02</x:v>
      </x:c>
      <x:c r="N361" s="27" t="str">
        <x:v>G6/G7 — Evidence-based formal system demonstrated through authentic transfer</x:v>
      </x:c>
      <x:c r="O361" s="27" t="str">
        <x:v>Oral language and writing; evidence in science/social studies; mathematical and technical problem interpretation; media verification.</x:v>
      </x:c>
      <x:c r="P361" s="27" t="str">
        <x:v>Complex interaction analysis prepares genre, archetype, and literary-criticism lenses.</x:v>
      </x:c>
      <x:c r="Q361" s="27" t="str">
        <x:v>S21-READ-02</x:v>
      </x:c>
      <x:c r="R361" s="27" t="str">
        <x:v>Builds a thesis supported by a pattern of character/structure evidence.</x:v>
      </x:c>
      <x:c r="S361" s="27" t="str">
        <x:v>SRC10</x:v>
      </x:c>
      <x:c r="T361" s="27" t="str">
        <x:v>Development varies; use observed performance and appropriate supports rather than age alone.</x:v>
      </x:c>
      <x:c r="U361" s="27" t="str"/>
      <x:c r="V361" s="27" t="str"/>
      <x:c r="W361" s="39" t="str"/>
      <x:c r="X361" s="39" t="str"/>
    </x:row>
    <x:row r="362">
      <x:c r="A362" s="27" t="str">
        <x:v>S21-READ-02</x:v>
      </x:c>
      <x:c r="B362" s="37" t="n">
        <x:v>358</x:v>
      </x:c>
      <x:c r="C362" s="27" t="str">
        <x:v>S21</x:v>
      </x:c>
      <x:c r="D362" s="37" t="n">
        <x:v>21</x:v>
      </x:c>
      <x:c r="E362" s="27" t="str">
        <x:v>Grade 9</x:v>
      </x:c>
      <x:c r="F362" s="27" t="str">
        <x:v>9</x:v>
      </x:c>
      <x:c r="G362" s="27" t="str">
        <x:v>Algebra I, biology, and analytical composition</x:v>
      </x:c>
      <x:c r="H362" s="27" t="str">
        <x:v>Reading</x:v>
      </x:c>
      <x:c r="I362" s="27" t="str">
        <x:v>Informational/rhetorical analysis</x:v>
      </x:c>
      <x:c r="J362" s="27" t="str">
        <x:v>Central claim, rhetoric, and evidence</x:v>
      </x:c>
      <x:c r="K362" s="27" t="str">
        <x:v>Analyzing how an author develops a claim through evidence, reasoning, word choice, structure, appeals, and treatment of counterevidence.</x:v>
      </x:c>
      <x:c r="L362" s="27" t="str">
        <x:v>Grade 8 argument validity, source disagreement, and media analysis.</x:v>
      </x:c>
      <x:c r="M362" s="27" t="str">
        <x:v>S21-READ-01</x:v>
      </x:c>
      <x:c r="N362" s="27" t="str">
        <x:v>G6/G7 — Evidence-based formal system demonstrated through authentic transfer</x:v>
      </x:c>
      <x:c r="O362" s="27" t="str">
        <x:v>Oral language and writing; evidence in science/social studies; mathematical and technical problem interpretation; media verification.</x:v>
      </x:c>
      <x:c r="P362" s="27" t="str">
        <x:v>Rhetorical analysis connects message design to credibility and audience effect.</x:v>
      </x:c>
      <x:c r="Q362" s="27" t="str">
        <x:v>S22-READ-01</x:v>
      </x:c>
      <x:c r="R362" s="27" t="str">
        <x:v>Evaluates an argument’s reasoning and at least two rhetorical choices using cited evidence.</x:v>
      </x:c>
      <x:c r="S362" s="27" t="str">
        <x:v>SRC10; SRC20</x:v>
      </x:c>
      <x:c r="T362" s="27" t="str">
        <x:v>Development varies; use observed performance and appropriate supports rather than age alone.</x:v>
      </x:c>
      <x:c r="U362" s="27" t="str"/>
      <x:c r="V362" s="27" t="str"/>
      <x:c r="W362" s="39" t="str"/>
      <x:c r="X362" s="39" t="str"/>
    </x:row>
    <x:row r="363">
      <x:c r="A363" s="27" t="str">
        <x:v>S21-WRITE-01</x:v>
      </x:c>
      <x:c r="B363" s="37" t="n">
        <x:v>359</x:v>
      </x:c>
      <x:c r="C363" s="27" t="str">
        <x:v>S21</x:v>
      </x:c>
      <x:c r="D363" s="37" t="n">
        <x:v>21</x:v>
      </x:c>
      <x:c r="E363" s="27" t="str">
        <x:v>Grade 9</x:v>
      </x:c>
      <x:c r="F363" s="27" t="str">
        <x:v>9</x:v>
      </x:c>
      <x:c r="G363" s="27" t="str">
        <x:v>Algebra I, biology, and analytical composition</x:v>
      </x:c>
      <x:c r="H363" s="27" t="str">
        <x:v>Writing &amp; Language</x:v>
      </x:c>
      <x:c r="I363" s="27" t="str">
        <x:v>Composition</x:v>
      </x:c>
      <x:c r="J363" s="27" t="str">
        <x:v>Thesis-driven analytical essay</x:v>
      </x:c>
      <x:c r="K363" s="27" t="str">
        <x:v>Formulating a defensible thesis, organizing a line of reasoning, integrating evidence smoothly, explaining significance, and revising for coherence/style.</x:v>
      </x:c>
      <x:c r="L363" s="27" t="str">
        <x:v>Grade 8 analytical writing and evidence matrix.</x:v>
      </x:c>
      <x:c r="M363" s="27" t="str">
        <x:v>S20-WRITE-03</x:v>
      </x:c>
      <x:c r="N363" s="27" t="str">
        <x:v>G6/G7 — Evidence-based formal system demonstrated through authentic transfer</x:v>
      </x:c>
      <x:c r="O363" s="27" t="str">
        <x:v>Reading models; evidence from science/social studies; mathematical explanation; research, media, and presentation.</x:v>
      </x:c>
      <x:c r="P363" s="27" t="str">
        <x:v>Sustained analysis is the common writing architecture across high-school disciplines.</x:v>
      </x:c>
      <x:c r="Q363" s="27" t="str">
        <x:v>S21-WRITE-02</x:v>
      </x:c>
      <x:c r="R363" s="27" t="str">
        <x:v>Produces a polished essay with traceable evidence, explicit reasoning, and purposeful organization.</x:v>
      </x:c>
      <x:c r="S363" s="27" t="str">
        <x:v>SRC10; SRC22</x:v>
      </x:c>
      <x:c r="T363" s="27" t="str">
        <x:v>Development varies; use observed performance and appropriate supports rather than age alone.</x:v>
      </x:c>
      <x:c r="U363" s="27" t="str"/>
      <x:c r="V363" s="27" t="str"/>
      <x:c r="W363" s="39" t="str"/>
      <x:c r="X363" s="39" t="str"/>
    </x:row>
    <x:row r="364">
      <x:c r="A364" s="27" t="str">
        <x:v>S21-WRITE-02</x:v>
      </x:c>
      <x:c r="B364" s="37" t="n">
        <x:v>360</x:v>
      </x:c>
      <x:c r="C364" s="27" t="str">
        <x:v>S21</x:v>
      </x:c>
      <x:c r="D364" s="37" t="n">
        <x:v>21</x:v>
      </x:c>
      <x:c r="E364" s="27" t="str">
        <x:v>Grade 9</x:v>
      </x:c>
      <x:c r="F364" s="27" t="str">
        <x:v>9</x:v>
      </x:c>
      <x:c r="G364" s="27" t="str">
        <x:v>Algebra I, biology, and analytical composition</x:v>
      </x:c>
      <x:c r="H364" s="27" t="str">
        <x:v>Writing &amp; Language</x:v>
      </x:c>
      <x:c r="I364" s="27" t="str">
        <x:v>Research</x:v>
      </x:c>
      <x:c r="J364" s="27" t="str">
        <x:v>Focused inquiry and source conversation</x:v>
      </x:c>
      <x:c r="K364" s="27" t="str">
        <x:v>Developing a researchable question, locating varied credible sources, tracking how sources agree/disagree/build, and synthesizing with consistent citation.</x:v>
      </x:c>
      <x:c r="L364" s="27" t="str">
        <x:v>Grade 8 inquiry design, source evaluation, and analytical composition.</x:v>
      </x:c>
      <x:c r="M364" s="27" t="str">
        <x:v>S21-WRITE-01</x:v>
      </x:c>
      <x:c r="N364" s="27" t="str">
        <x:v>G6/G7 — Evidence-based formal system demonstrated through authentic transfer</x:v>
      </x:c>
      <x:c r="O364" s="27" t="str">
        <x:v>Reading models; evidence from science/social studies; mathematical explanation; research, media, and presentation.</x:v>
      </x:c>
      <x:c r="P364" s="27" t="str">
        <x:v>Treating sources as a conversation supports original synthesis rather than report-by-source writing.</x:v>
      </x:c>
      <x:c r="Q364" s="27" t="str">
        <x:v>S22-WRITE-01</x:v>
      </x:c>
      <x:c r="R364" s="27" t="str">
        <x:v>Creates a synthesis matrix and a paper whose claims reflect relationships among sources.</x:v>
      </x:c>
      <x:c r="S364" s="27" t="str">
        <x:v>SRC10; SRC22</x:v>
      </x:c>
      <x:c r="T364" s="27" t="str">
        <x:v>Development varies; use observed performance and appropriate supports rather than age alone.</x:v>
      </x:c>
      <x:c r="U364" s="27" t="str"/>
      <x:c r="V364" s="27" t="str"/>
      <x:c r="W364" s="39" t="str"/>
      <x:c r="X364" s="39" t="str"/>
    </x:row>
    <x:row r="365">
      <x:c r="A365" s="27" t="str">
        <x:v>S21-MATH-01</x:v>
      </x:c>
      <x:c r="B365" s="37" t="n">
        <x:v>361</x:v>
      </x:c>
      <x:c r="C365" s="27" t="str">
        <x:v>S21</x:v>
      </x:c>
      <x:c r="D365" s="37" t="n">
        <x:v>21</x:v>
      </x:c>
      <x:c r="E365" s="27" t="str">
        <x:v>Grade 9</x:v>
      </x:c>
      <x:c r="F365" s="27" t="str">
        <x:v>9</x:v>
      </x:c>
      <x:c r="G365" s="27" t="str">
        <x:v>Algebra I, biology, and analytical composition</x:v>
      </x:c>
      <x:c r="H365" s="27" t="str">
        <x:v>Mathematics</x:v>
      </x:c>
      <x:c r="I365" s="27" t="str">
        <x:v>Algebra I — foundations</x:v>
      </x:c>
      <x:c r="J365" s="27" t="str">
        <x:v>Real numbers, units, and algebraic structure</x:v>
      </x:c>
      <x:c r="K365" s="27" t="str">
        <x:v>Using real-number properties, units, quantities, and equivalent expressions to interpret and transform formulas and contextual relationships.</x:v>
      </x:c>
      <x:c r="L365" s="27" t="str">
        <x:v>Grade 8 real numbers/exponents, rational operations, and expression equivalence.</x:v>
      </x:c>
      <x:c r="M365" s="27" t="str">
        <x:v>S20-MATH-06</x:v>
      </x:c>
      <x:c r="N365" s="27" t="str">
        <x:v>G6/G7 — Evidence-based formal system demonstrated through authentic transfer</x:v>
      </x:c>
      <x:c r="O365" s="27" t="str">
        <x:v>Physical quantity and spatial action; science measurement/models; computing/algorithms; finance; music rhythm/pattern; geographic data.</x:v>
      </x:c>
      <x:c r="P365" s="27" t="str">
        <x:v>Structure-aware manipulation underlies every Algebra I function and equation.</x:v>
      </x:c>
      <x:c r="Q365" s="27" t="str">
        <x:v>S21-MATH-02</x:v>
      </x:c>
      <x:c r="R365" s="27" t="str">
        <x:v>Rewrites an expression/formula and explains why equivalence and units are preserved.</x:v>
      </x:c>
      <x:c r="S365" s="27" t="str">
        <x:v>SRC09</x:v>
      </x:c>
      <x:c r="T365" s="27" t="str">
        <x:v>Development varies; use observed performance and appropriate supports rather than age alone.</x:v>
      </x:c>
      <x:c r="U365" s="27" t="str"/>
      <x:c r="V365" s="27" t="str"/>
      <x:c r="W365" s="39" t="str"/>
      <x:c r="X365" s="39" t="str"/>
    </x:row>
    <x:row r="366">
      <x:c r="A366" s="27" t="str">
        <x:v>S21-MATH-02</x:v>
      </x:c>
      <x:c r="B366" s="37" t="n">
        <x:v>362</x:v>
      </x:c>
      <x:c r="C366" s="27" t="str">
        <x:v>S21</x:v>
      </x:c>
      <x:c r="D366" s="37" t="n">
        <x:v>21</x:v>
      </x:c>
      <x:c r="E366" s="27" t="str">
        <x:v>Grade 9</x:v>
      </x:c>
      <x:c r="F366" s="27" t="str">
        <x:v>9</x:v>
      </x:c>
      <x:c r="G366" s="27" t="str">
        <x:v>Algebra I, biology, and analytical composition</x:v>
      </x:c>
      <x:c r="H366" s="27" t="str">
        <x:v>Mathematics</x:v>
      </x:c>
      <x:c r="I366" s="27" t="str">
        <x:v>Algebra I — equations</x:v>
      </x:c>
      <x:c r="J366" s="27" t="str">
        <x:v>Linear equations and inequalities</x:v>
      </x:c>
      <x:c r="K366" s="27" t="str">
        <x:v>Solving, graphing, and interpreting one-variable equations/inequalities, literal equations, and absolute-value cases at an appropriate level.</x:v>
      </x:c>
      <x:c r="L366" s="27" t="str">
        <x:v>Grade 8 multi-step equations, rational arithmetic, and absolute value.</x:v>
      </x:c>
      <x:c r="M366" s="27" t="str">
        <x:v>S21-MATH-01</x:v>
      </x:c>
      <x:c r="N366" s="27" t="str">
        <x:v>G6/G7 — Evidence-based formal system demonstrated through authentic transfer</x:v>
      </x:c>
      <x:c r="O366" s="27" t="str">
        <x:v>Physical quantity and spatial action; science measurement/models; computing/algorithms; finance; music rhythm/pattern; geographic data.</x:v>
      </x:c>
      <x:c r="P366" s="27" t="str">
        <x:v>These tools isolate unknowns and represent constraints in all later mathematics/science.</x:v>
      </x:c>
      <x:c r="Q366" s="27" t="str">
        <x:v>S21-MATH-03</x:v>
      </x:c>
      <x:c r="R366" s="27" t="str">
        <x:v>Solves, verifies, and interprets a solution or solution set in context.</x:v>
      </x:c>
      <x:c r="S366" s="27" t="str">
        <x:v>SRC09</x:v>
      </x:c>
      <x:c r="T366" s="27" t="str">
        <x:v>Development varies; use observed performance and appropriate supports rather than age alone.</x:v>
      </x:c>
      <x:c r="U366" s="27" t="str"/>
      <x:c r="V366" s="27" t="str"/>
      <x:c r="W366" s="39" t="str"/>
      <x:c r="X366" s="39" t="str"/>
    </x:row>
    <x:row r="367">
      <x:c r="A367" s="27" t="str">
        <x:v>S21-MATH-03</x:v>
      </x:c>
      <x:c r="B367" s="37" t="n">
        <x:v>363</x:v>
      </x:c>
      <x:c r="C367" s="27" t="str">
        <x:v>S21</x:v>
      </x:c>
      <x:c r="D367" s="37" t="n">
        <x:v>21</x:v>
      </x:c>
      <x:c r="E367" s="27" t="str">
        <x:v>Grade 9</x:v>
      </x:c>
      <x:c r="F367" s="27" t="str">
        <x:v>9</x:v>
      </x:c>
      <x:c r="G367" s="27" t="str">
        <x:v>Algebra I, biology, and analytical composition</x:v>
      </x:c>
      <x:c r="H367" s="27" t="str">
        <x:v>Mathematics</x:v>
      </x:c>
      <x:c r="I367" s="27" t="str">
        <x:v>Algebra I — functions</x:v>
      </x:c>
      <x:c r="J367" s="27" t="str">
        <x:v>Function notation, domain, range, and representations</x:v>
      </x:c>
      <x:c r="K367" s="27" t="str">
        <x:v>Interpreting functions as input-output relationships and translating among symbolic, graphical, tabular, and verbal representations.</x:v>
      </x:c>
      <x:c r="L367" s="27" t="str">
        <x:v>Grade 8 function concept and representation mapping.</x:v>
      </x:c>
      <x:c r="M367" s="27" t="str">
        <x:v>S21-MATH-02</x:v>
      </x:c>
      <x:c r="N367" s="27" t="str">
        <x:v>G6/G7 — Evidence-based formal system demonstrated through authentic transfer</x:v>
      </x:c>
      <x:c r="O367" s="27" t="str">
        <x:v>Physical quantity and spatial action; science measurement/models; computing/algorithms; finance; music rhythm/pattern; geographic data.</x:v>
      </x:c>
      <x:c r="P367" s="27" t="str">
        <x:v>Function notation provides the shared language for modeling families of change.</x:v>
      </x:c>
      <x:c r="Q367" s="27" t="str">
        <x:v>S21-MATH-04</x:v>
      </x:c>
      <x:c r="R367" s="27" t="str">
        <x:v>Determines domain/range, evaluates a function, and translates the same relationship across representations.</x:v>
      </x:c>
      <x:c r="S367" s="27" t="str">
        <x:v>SRC09</x:v>
      </x:c>
      <x:c r="T367" s="27" t="str">
        <x:v>Development varies; use observed performance and appropriate supports rather than age alone.</x:v>
      </x:c>
      <x:c r="U367" s="27" t="str"/>
      <x:c r="V367" s="27" t="str"/>
      <x:c r="W367" s="39" t="str"/>
      <x:c r="X367" s="39" t="str"/>
    </x:row>
    <x:row r="368">
      <x:c r="A368" s="27" t="str">
        <x:v>S21-MATH-04</x:v>
      </x:c>
      <x:c r="B368" s="37" t="n">
        <x:v>364</x:v>
      </x:c>
      <x:c r="C368" s="27" t="str">
        <x:v>S21</x:v>
      </x:c>
      <x:c r="D368" s="37" t="n">
        <x:v>21</x:v>
      </x:c>
      <x:c r="E368" s="27" t="str">
        <x:v>Grade 9</x:v>
      </x:c>
      <x:c r="F368" s="27" t="str">
        <x:v>9</x:v>
      </x:c>
      <x:c r="G368" s="27" t="str">
        <x:v>Algebra I, biology, and analytical composition</x:v>
      </x:c>
      <x:c r="H368" s="27" t="str">
        <x:v>Mathematics</x:v>
      </x:c>
      <x:c r="I368" s="27" t="str">
        <x:v>Algebra I — linear models</x:v>
      </x:c>
      <x:c r="J368" s="27" t="str">
        <x:v>Slope, intercept, parallel/perpendicular, and regression</x:v>
      </x:c>
      <x:c r="K368" s="27" t="str">
        <x:v>Interpreting rate/intercept, writing/graphing linear models, comparing lines, and using residual/fit ideas for approximately linear data.</x:v>
      </x:c>
      <x:c r="L368" s="27" t="str">
        <x:v>Grade 8 linear functions/systems/bivariate data.</x:v>
      </x:c>
      <x:c r="M368" s="27" t="str">
        <x:v>S21-MATH-03</x:v>
      </x:c>
      <x:c r="N368" s="27" t="str">
        <x:v>G6/G7 — Evidence-based formal system demonstrated through authentic transfer</x:v>
      </x:c>
      <x:c r="O368" s="27" t="str">
        <x:v>Physical quantity and spatial action; science measurement/models; computing/algorithms; finance; music rhythm/pattern; geographic data.</x:v>
      </x:c>
      <x:c r="P368" s="27" t="str">
        <x:v>Linear models connect algebra, geometry, statistics, and constant-rate phenomena.</x:v>
      </x:c>
      <x:c r="Q368" s="27" t="str">
        <x:v>S21-MATH-05</x:v>
      </x:c>
      <x:c r="R368" s="27" t="str">
        <x:v>Builds and evaluates a linear model and interprets parameters and prediction limits.</x:v>
      </x:c>
      <x:c r="S368" s="27" t="str">
        <x:v>SRC09</x:v>
      </x:c>
      <x:c r="T368" s="27" t="str">
        <x:v>Development varies; use observed performance and appropriate supports rather than age alone.</x:v>
      </x:c>
      <x:c r="U368" s="27" t="str"/>
      <x:c r="V368" s="27" t="str"/>
      <x:c r="W368" s="39" t="str"/>
      <x:c r="X368" s="39" t="str"/>
    </x:row>
    <x:row r="369">
      <x:c r="A369" s="27" t="str">
        <x:v>S21-MATH-05</x:v>
      </x:c>
      <x:c r="B369" s="37" t="n">
        <x:v>365</x:v>
      </x:c>
      <x:c r="C369" s="27" t="str">
        <x:v>S21</x:v>
      </x:c>
      <x:c r="D369" s="37" t="n">
        <x:v>21</x:v>
      </x:c>
      <x:c r="E369" s="27" t="str">
        <x:v>Grade 9</x:v>
      </x:c>
      <x:c r="F369" s="27" t="str">
        <x:v>9</x:v>
      </x:c>
      <x:c r="G369" s="27" t="str">
        <x:v>Algebra I, biology, and analytical composition</x:v>
      </x:c>
      <x:c r="H369" s="27" t="str">
        <x:v>Mathematics</x:v>
      </x:c>
      <x:c r="I369" s="27" t="str">
        <x:v>Algebra I — systems</x:v>
      </x:c>
      <x:c r="J369" s="27" t="str">
        <x:v>Systems of equations and inequalities</x:v>
      </x:c>
      <x:c r="K369" s="27" t="str">
        <x:v>Solving systems graphically and algebraically and modeling regions/solutions under simultaneous constraints.</x:v>
      </x:c>
      <x:c r="L369" s="27" t="str">
        <x:v>Grade 8 systems and Algebra I linear equations/functions.</x:v>
      </x:c>
      <x:c r="M369" s="27" t="str">
        <x:v>S21-MATH-04</x:v>
      </x:c>
      <x:c r="N369" s="27" t="str">
        <x:v>G6/G7 — Evidence-based formal system demonstrated through authentic transfer</x:v>
      </x:c>
      <x:c r="O369" s="27" t="str">
        <x:v>Physical quantity and spatial action; science measurement/models; computing/algorithms; finance; music rhythm/pattern; geographic data.</x:v>
      </x:c>
      <x:c r="P369" s="27" t="str">
        <x:v>Systems formalize intersection, optimization constraints, and multi-variable models.</x:v>
      </x:c>
      <x:c r="Q369" s="27" t="str">
        <x:v>S21-MATH-06</x:v>
      </x:c>
      <x:c r="R369" s="27" t="str">
        <x:v>Selects a solution method, verifies the result, and interprets intersection/feasible region.</x:v>
      </x:c>
      <x:c r="S369" s="27" t="str">
        <x:v>SRC09</x:v>
      </x:c>
      <x:c r="T369" s="27" t="str">
        <x:v>Development varies; use observed performance and appropriate supports rather than age alone.</x:v>
      </x:c>
      <x:c r="U369" s="27" t="str"/>
      <x:c r="V369" s="27" t="str"/>
      <x:c r="W369" s="39" t="str"/>
      <x:c r="X369" s="39" t="str"/>
    </x:row>
    <x:row r="370">
      <x:c r="A370" s="27" t="str">
        <x:v>S21-MATH-06</x:v>
      </x:c>
      <x:c r="B370" s="37" t="n">
        <x:v>366</x:v>
      </x:c>
      <x:c r="C370" s="27" t="str">
        <x:v>S21</x:v>
      </x:c>
      <x:c r="D370" s="37" t="n">
        <x:v>21</x:v>
      </x:c>
      <x:c r="E370" s="27" t="str">
        <x:v>Grade 9</x:v>
      </x:c>
      <x:c r="F370" s="27" t="str">
        <x:v>9</x:v>
      </x:c>
      <x:c r="G370" s="27" t="str">
        <x:v>Algebra I, biology, and analytical composition</x:v>
      </x:c>
      <x:c r="H370" s="27" t="str">
        <x:v>Mathematics</x:v>
      </x:c>
      <x:c r="I370" s="27" t="str">
        <x:v>Algebra I — exponential models</x:v>
      </x:c>
      <x:c r="J370" s="27" t="str">
        <x:v>Exponential growth and decay</x:v>
      </x:c>
      <x:c r="K370" s="27" t="str">
        <x:v>Recognizing constant multiplicative change, writing/evaluating exponential functions, comparing them with linear change, and interpreting initial value and growth factor.</x:v>
      </x:c>
      <x:c r="L370" s="27" t="str">
        <x:v>Grade 7 compound growth, Grade 8 exponents/functions, and ratios.</x:v>
      </x:c>
      <x:c r="M370" s="27" t="str">
        <x:v>S21-MATH-05</x:v>
      </x:c>
      <x:c r="N370" s="27" t="str">
        <x:v>G6/G7 — Evidence-based formal system demonstrated through authentic transfer</x:v>
      </x:c>
      <x:c r="O370" s="27" t="str">
        <x:v>Physical quantity and spatial action; science measurement/models; computing/algorithms; finance; music rhythm/pattern; geographic data.</x:v>
      </x:c>
      <x:c r="P370" s="27" t="str">
        <x:v>Exponential models describe interest, population, decay, and repeated scaling.</x:v>
      </x:c>
      <x:c r="Q370" s="27" t="str">
        <x:v>S21-MATH-07</x:v>
      </x:c>
      <x:c r="R370" s="27" t="str">
        <x:v>Identifies linear versus exponential structure and explains parameters in context.</x:v>
      </x:c>
      <x:c r="S370" s="27" t="str">
        <x:v>SRC09</x:v>
      </x:c>
      <x:c r="T370" s="27" t="str">
        <x:v>Development varies; use observed performance and appropriate supports rather than age alone.</x:v>
      </x:c>
      <x:c r="U370" s="27" t="str"/>
      <x:c r="V370" s="27" t="str"/>
      <x:c r="W370" s="39" t="str"/>
      <x:c r="X370" s="39" t="str"/>
    </x:row>
    <x:row r="371">
      <x:c r="A371" s="27" t="str">
        <x:v>S21-MATH-07</x:v>
      </x:c>
      <x:c r="B371" s="37" t="n">
        <x:v>367</x:v>
      </x:c>
      <x:c r="C371" s="27" t="str">
        <x:v>S21</x:v>
      </x:c>
      <x:c r="D371" s="37" t="n">
        <x:v>21</x:v>
      </x:c>
      <x:c r="E371" s="27" t="str">
        <x:v>Grade 9</x:v>
      </x:c>
      <x:c r="F371" s="27" t="str">
        <x:v>9</x:v>
      </x:c>
      <x:c r="G371" s="27" t="str">
        <x:v>Algebra I, biology, and analytical composition</x:v>
      </x:c>
      <x:c r="H371" s="27" t="str">
        <x:v>Mathematics</x:v>
      </x:c>
      <x:c r="I371" s="27" t="str">
        <x:v>Algebra I — polynomials</x:v>
      </x:c>
      <x:c r="J371" s="27" t="str">
        <x:v>Polynomial operations and factoring foundations</x:v>
      </x:c>
      <x:c r="K371" s="27" t="str">
        <x:v>Adding, subtracting, and multiplying polynomials and factoring common factors/simple quadratics where included by pathway.</x:v>
      </x:c>
      <x:c r="L371" s="27" t="str">
        <x:v>Exponent properties, distributive property, area models, and equivalent expressions.</x:v>
      </x:c>
      <x:c r="M371" s="27" t="str">
        <x:v>S21-MATH-06</x:v>
      </x:c>
      <x:c r="N371" s="27" t="str">
        <x:v>G6/G7 — Evidence-based formal system demonstrated through authentic transfer</x:v>
      </x:c>
      <x:c r="O371" s="27" t="str">
        <x:v>Physical quantity and spatial action; science measurement/models; computing/algorithms; finance; music rhythm/pattern; geographic data.</x:v>
      </x:c>
      <x:c r="P371" s="27" t="str">
        <x:v>Polynomial structure prepares quadratic equations and Algebra II.</x:v>
      </x:c>
      <x:c r="Q371" s="27" t="str">
        <x:v>S21-MATH-08</x:v>
      </x:c>
      <x:c r="R371" s="27" t="str">
        <x:v>Connects an expanded expression to a factored/area form and verifies equivalence.</x:v>
      </x:c>
      <x:c r="S371" s="27" t="str">
        <x:v>SRC09</x:v>
      </x:c>
      <x:c r="T371" s="27" t="str">
        <x:v>Development varies; use observed performance and appropriate supports rather than age alone.</x:v>
      </x:c>
      <x:c r="U371" s="27" t="str"/>
      <x:c r="V371" s="27" t="str"/>
      <x:c r="W371" s="39" t="str"/>
      <x:c r="X371" s="39" t="str"/>
    </x:row>
    <x:row r="372">
      <x:c r="A372" s="27" t="str">
        <x:v>S21-MATH-08</x:v>
      </x:c>
      <x:c r="B372" s="37" t="n">
        <x:v>368</x:v>
      </x:c>
      <x:c r="C372" s="27" t="str">
        <x:v>S21</x:v>
      </x:c>
      <x:c r="D372" s="37" t="n">
        <x:v>21</x:v>
      </x:c>
      <x:c r="E372" s="27" t="str">
        <x:v>Grade 9</x:v>
      </x:c>
      <x:c r="F372" s="27" t="str">
        <x:v>9</x:v>
      </x:c>
      <x:c r="G372" s="27" t="str">
        <x:v>Algebra I, biology, and analytical composition</x:v>
      </x:c>
      <x:c r="H372" s="27" t="str">
        <x:v>Mathematics</x:v>
      </x:c>
      <x:c r="I372" s="27" t="str">
        <x:v>Algebra I — quadratics</x:v>
      </x:c>
      <x:c r="J372" s="27" t="str">
        <x:v>Quadratic functions and equations introduction</x:v>
      </x:c>
      <x:c r="K372" s="27" t="str">
        <x:v>Graphing/interpreting parabolas, factoring or using square-root/completing-square methods as appropriate, and relating zeros, vertex, and context.</x:v>
      </x:c>
      <x:c r="L372" s="27" t="str">
        <x:v>Polynomial operations, functions, exponents/roots, and equations.</x:v>
      </x:c>
      <x:c r="M372" s="27" t="str">
        <x:v>S21-MATH-07</x:v>
      </x:c>
      <x:c r="N372" s="27" t="str">
        <x:v>G6/G7 — Evidence-based formal system demonstrated through authentic transfer</x:v>
      </x:c>
      <x:c r="O372" s="27" t="str">
        <x:v>Physical quantity and spatial action; science measurement/models; computing/algorithms; finance; music rhythm/pattern; geographic data.</x:v>
      </x:c>
      <x:c r="P372" s="27" t="str">
        <x:v>Quadratics introduce nonlinear rate change and multiple solution methods.</x:v>
      </x:c>
      <x:c r="Q372" s="27" t="str">
        <x:v>S22-MATH-01</x:v>
      </x:c>
      <x:c r="R372" s="27" t="str">
        <x:v>Solves/models a quadratic situation and connects symbolic features to the graph.</x:v>
      </x:c>
      <x:c r="S372" s="27" t="str">
        <x:v>SRC09</x:v>
      </x:c>
      <x:c r="T372" s="27" t="str">
        <x:v>Development varies; use observed performance and appropriate supports rather than age alone.</x:v>
      </x:c>
      <x:c r="U372" s="27" t="str"/>
      <x:c r="V372" s="27" t="str"/>
      <x:c r="W372" s="39" t="str"/>
      <x:c r="X372" s="39" t="str"/>
    </x:row>
    <x:row r="373">
      <x:c r="A373" s="27" t="str">
        <x:v>S21-SCI-01</x:v>
      </x:c>
      <x:c r="B373" s="37" t="n">
        <x:v>369</x:v>
      </x:c>
      <x:c r="C373" s="27" t="str">
        <x:v>S21</x:v>
      </x:c>
      <x:c r="D373" s="37" t="n">
        <x:v>21</x:v>
      </x:c>
      <x:c r="E373" s="27" t="str">
        <x:v>Grade 9</x:v>
      </x:c>
      <x:c r="F373" s="27" t="str">
        <x:v>9</x:v>
      </x:c>
      <x:c r="G373" s="27" t="str">
        <x:v>Algebra I, biology, and analytical composition</x:v>
      </x:c>
      <x:c r="H373" s="27" t="str">
        <x:v>Science &amp; Engineering</x:v>
      </x:c>
      <x:c r="I373" s="27" t="str">
        <x:v>Biology — cells</x:v>
      </x:c>
      <x:c r="J373" s="27" t="str">
        <x:v>Cell structure, membranes, and homeostasis</x:v>
      </x:c>
      <x:c r="K373" s="27" t="str">
        <x:v>Explaining how cell structures, membrane transport, and feedback processes maintain conditions for life.</x:v>
      </x:c>
      <x:c r="L373" s="27" t="str">
        <x:v>Middle-school cells/systems, chemistry particles, and model reasoning.</x:v>
      </x:c>
      <x:c r="M373" s="27" t="str">
        <x:v>S20-SCI-03</x:v>
      </x:c>
      <x:c r="N373" s="27" t="str">
        <x:v>G6/G7 — Evidence-based formal system demonstrated through authentic transfer</x:v>
      </x:c>
      <x:c r="O373" s="27" t="str">
        <x:v>Sensory observation and action; mathematics/data; reading/writing evidence; computing/models; health and environmental/civic decisions.</x:v>
      </x:c>
      <x:c r="P373" s="27" t="str">
        <x:v>Cell mechanisms ground organism physiology, genetics, and disease/health reasoning.</x:v>
      </x:c>
      <x:c r="Q373" s="27" t="str">
        <x:v>S21-SCI-02</x:v>
      </x:c>
      <x:c r="R373" s="27" t="str">
        <x:v>Uses a model and evidence to trace a substance or regulation process through a cell.</x:v>
      </x:c>
      <x:c r="S373" s="27" t="str">
        <x:v>SRC11</x:v>
      </x:c>
      <x:c r="T373" s="27" t="str">
        <x:v>Development varies; use observed performance and appropriate supports rather than age alone.</x:v>
      </x:c>
      <x:c r="U373" s="27" t="str"/>
      <x:c r="V373" s="27" t="str"/>
      <x:c r="W373" s="39" t="str"/>
      <x:c r="X373" s="39" t="str"/>
    </x:row>
    <x:row r="374">
      <x:c r="A374" s="27" t="str">
        <x:v>S21-SCI-02</x:v>
      </x:c>
      <x:c r="B374" s="37" t="n">
        <x:v>370</x:v>
      </x:c>
      <x:c r="C374" s="27" t="str">
        <x:v>S21</x:v>
      </x:c>
      <x:c r="D374" s="37" t="n">
        <x:v>21</x:v>
      </x:c>
      <x:c r="E374" s="27" t="str">
        <x:v>Grade 9</x:v>
      </x:c>
      <x:c r="F374" s="27" t="str">
        <x:v>9</x:v>
      </x:c>
      <x:c r="G374" s="27" t="str">
        <x:v>Algebra I, biology, and analytical composition</x:v>
      </x:c>
      <x:c r="H374" s="27" t="str">
        <x:v>Science &amp; Engineering</x:v>
      </x:c>
      <x:c r="I374" s="27" t="str">
        <x:v>Biology — energy and matter</x:v>
      </x:c>
      <x:c r="J374" s="27" t="str">
        <x:v>Photosynthesis, respiration, and biomolecules</x:v>
      </x:c>
      <x:c r="K374" s="27" t="str">
        <x:v>Modeling how matter is rearranged and energy transformed through photosynthesis, cellular respiration, and organism metabolism.</x:v>
      </x:c>
      <x:c r="L374" s="27" t="str">
        <x:v>Grade 5 ecosystems, middle-school chemistry/energy, and proportional equations.</x:v>
      </x:c>
      <x:c r="M374" s="27" t="str">
        <x:v>S21-SCI-01</x:v>
      </x:c>
      <x:c r="N374" s="27" t="str">
        <x:v>G6/G7 — Evidence-based formal system demonstrated through authentic transfer</x:v>
      </x:c>
      <x:c r="O374" s="27" t="str">
        <x:v>Sensory observation and action; mathematics/data; reading/writing evidence; computing/models; health and environmental/civic decisions.</x:v>
      </x:c>
      <x:c r="P374" s="27" t="str">
        <x:v>Chemical matter/energy pathways connect cells to ecosystems.</x:v>
      </x:c>
      <x:c r="Q374" s="27" t="str">
        <x:v>S21-SCI-03</x:v>
      </x:c>
      <x:c r="R374" s="27" t="str">
        <x:v>Balances a conceptual matter/energy account and explains where atoms and usable energy move.</x:v>
      </x:c>
      <x:c r="S374" s="27" t="str">
        <x:v>SRC11</x:v>
      </x:c>
      <x:c r="T374" s="27" t="str">
        <x:v>Development varies; use observed performance and appropriate supports rather than age alone.</x:v>
      </x:c>
      <x:c r="U374" s="27" t="str"/>
      <x:c r="V374" s="27" t="str"/>
      <x:c r="W374" s="39" t="str"/>
      <x:c r="X374" s="39" t="str"/>
    </x:row>
    <x:row r="375">
      <x:c r="A375" s="27" t="str">
        <x:v>S21-SCI-03</x:v>
      </x:c>
      <x:c r="B375" s="37" t="n">
        <x:v>371</x:v>
      </x:c>
      <x:c r="C375" s="27" t="str">
        <x:v>S21</x:v>
      </x:c>
      <x:c r="D375" s="37" t="n">
        <x:v>21</x:v>
      </x:c>
      <x:c r="E375" s="27" t="str">
        <x:v>Grade 9</x:v>
      </x:c>
      <x:c r="F375" s="27" t="str">
        <x:v>9</x:v>
      </x:c>
      <x:c r="G375" s="27" t="str">
        <x:v>Algebra I, biology, and analytical composition</x:v>
      </x:c>
      <x:c r="H375" s="27" t="str">
        <x:v>Science &amp; Engineering</x:v>
      </x:c>
      <x:c r="I375" s="27" t="str">
        <x:v>Biology — genetics</x:v>
      </x:c>
      <x:c r="J375" s="27" t="str">
        <x:v>DNA, gene expression, inheritance, and variation</x:v>
      </x:c>
      <x:c r="K375" s="27" t="str">
        <x:v>Explaining how DNA stores information, genes influence traits through expression, and meiosis/reproduction generate inherited variation.</x:v>
      </x:c>
      <x:c r="L375" s="27" t="str">
        <x:v>Middle-school heredity, cells, probability, and molecular models.</x:v>
      </x:c>
      <x:c r="M375" s="27" t="str">
        <x:v>S21-SCI-02</x:v>
      </x:c>
      <x:c r="N375" s="27" t="str">
        <x:v>G6/G7 — Evidence-based formal system demonstrated through authentic transfer</x:v>
      </x:c>
      <x:c r="O375" s="27" t="str">
        <x:v>Sensory observation and action; mathematics/data; reading/writing evidence; computing/models; health and environmental/civic decisions.</x:v>
      </x:c>
      <x:c r="P375" s="27" t="str">
        <x:v>Molecular and probabilistic mechanisms ground heredity and evolution.</x:v>
      </x:c>
      <x:c r="Q375" s="27" t="str">
        <x:v>S21-SCI-04</x:v>
      </x:c>
      <x:c r="R375" s="27" t="str">
        <x:v>Uses models/data to predict an inheritance pattern and distinguish genotype, expression, and environment.</x:v>
      </x:c>
      <x:c r="S375" s="27" t="str">
        <x:v>SRC11</x:v>
      </x:c>
      <x:c r="T375" s="27" t="str">
        <x:v>Development varies; use observed performance and appropriate supports rather than age alone.</x:v>
      </x:c>
      <x:c r="U375" s="27" t="str"/>
      <x:c r="V375" s="27" t="str"/>
      <x:c r="W375" s="39" t="str"/>
      <x:c r="X375" s="39" t="str"/>
    </x:row>
    <x:row r="376">
      <x:c r="A376" s="27" t="str">
        <x:v>S21-SCI-04</x:v>
      </x:c>
      <x:c r="B376" s="37" t="n">
        <x:v>372</x:v>
      </x:c>
      <x:c r="C376" s="27" t="str">
        <x:v>S21</x:v>
      </x:c>
      <x:c r="D376" s="37" t="n">
        <x:v>21</x:v>
      </x:c>
      <x:c r="E376" s="27" t="str">
        <x:v>Grade 9</x:v>
      </x:c>
      <x:c r="F376" s="27" t="str">
        <x:v>9</x:v>
      </x:c>
      <x:c r="G376" s="27" t="str">
        <x:v>Algebra I, biology, and analytical composition</x:v>
      </x:c>
      <x:c r="H376" s="27" t="str">
        <x:v>Science &amp; Engineering</x:v>
      </x:c>
      <x:c r="I376" s="27" t="str">
        <x:v>Biology — evolution</x:v>
      </x:c>
      <x:c r="J376" s="27" t="str">
        <x:v>Evidence, selection, speciation, and common ancestry</x:v>
      </x:c>
      <x:c r="K376" s="27" t="str">
        <x:v>Analyzing genetic/fossil/anatomical evidence, natural selection, population change, adaptation, and speciation.</x:v>
      </x:c>
      <x:c r="L376" s="27" t="str">
        <x:v>Grade 8 natural selection and high-school genetics.</x:v>
      </x:c>
      <x:c r="M376" s="27" t="str">
        <x:v>S21-SCI-03</x:v>
      </x:c>
      <x:c r="N376" s="27" t="str">
        <x:v>G6/G7 — Evidence-based formal system demonstrated through authentic transfer</x:v>
      </x:c>
      <x:c r="O376" s="27" t="str">
        <x:v>Sensory observation and action; mathematics/data; reading/writing evidence; computing/models; health and environmental/civic decisions.</x:v>
      </x:c>
      <x:c r="P376" s="27" t="str">
        <x:v>Genetics supplies the variation/inheritance mechanism for evolutionary explanation.</x:v>
      </x:c>
      <x:c r="Q376" s="27" t="str">
        <x:v>S21-SCI-05</x:v>
      </x:c>
      <x:c r="R376" s="27" t="str">
        <x:v>Constructs a population-level evolutionary explanation using mechanism and multiple evidence types.</x:v>
      </x:c>
      <x:c r="S376" s="27" t="str">
        <x:v>SRC11</x:v>
      </x:c>
      <x:c r="T376" s="27" t="str">
        <x:v>Development varies; use observed performance and appropriate supports rather than age alone.</x:v>
      </x:c>
      <x:c r="U376" s="27" t="str"/>
      <x:c r="V376" s="27" t="str"/>
      <x:c r="W376" s="39" t="str"/>
      <x:c r="X376" s="39" t="str"/>
    </x:row>
    <x:row r="377">
      <x:c r="A377" s="27" t="str">
        <x:v>S21-SCI-05</x:v>
      </x:c>
      <x:c r="B377" s="37" t="n">
        <x:v>373</x:v>
      </x:c>
      <x:c r="C377" s="27" t="str">
        <x:v>S21</x:v>
      </x:c>
      <x:c r="D377" s="37" t="n">
        <x:v>21</x:v>
      </x:c>
      <x:c r="E377" s="27" t="str">
        <x:v>Grade 9</x:v>
      </x:c>
      <x:c r="F377" s="27" t="str">
        <x:v>9</x:v>
      </x:c>
      <x:c r="G377" s="27" t="str">
        <x:v>Algebra I, biology, and analytical composition</x:v>
      </x:c>
      <x:c r="H377" s="27" t="str">
        <x:v>Science &amp; Engineering</x:v>
      </x:c>
      <x:c r="I377" s="27" t="str">
        <x:v>Biology — ecology</x:v>
      </x:c>
      <x:c r="J377" s="27" t="str">
        <x:v>Populations, ecosystems, cycles, and stability</x:v>
      </x:c>
      <x:c r="K377" s="27" t="str">
        <x:v>Modeling population limits, species interactions, biodiversity, matter cycles, energy flow, disturbance, succession, and human impacts.</x:v>
      </x:c>
      <x:c r="L377" s="27" t="str">
        <x:v>Middle-school ecosystems, statistics, and systems feedback.</x:v>
      </x:c>
      <x:c r="M377" s="27" t="str">
        <x:v>S21-SCI-04</x:v>
      </x:c>
      <x:c r="N377" s="27" t="str">
        <x:v>G6/G7 — Evidence-based formal system demonstrated through authentic transfer</x:v>
      </x:c>
      <x:c r="O377" s="27" t="str">
        <x:v>Sensory observation and action; mathematics/data; reading/writing evidence; computing/models; health and environmental/civic decisions.</x:v>
      </x:c>
      <x:c r="P377" s="27" t="str">
        <x:v>Ecology integrates biological organization with quantitative systems and policy choices.</x:v>
      </x:c>
      <x:c r="Q377" s="27" t="str">
        <x:v>S22-SCI-01</x:v>
      </x:c>
      <x:c r="R377" s="27" t="str">
        <x:v>Analyzes a dataset/model to predict and explain an ecosystem response and uncertainty.</x:v>
      </x:c>
      <x:c r="S377" s="27" t="str">
        <x:v>SRC11</x:v>
      </x:c>
      <x:c r="T377" s="27" t="str">
        <x:v>Development varies; use observed performance and appropriate supports rather than age alone.</x:v>
      </x:c>
      <x:c r="U377" s="27" t="str"/>
      <x:c r="V377" s="27" t="str"/>
      <x:c r="W377" s="39" t="str"/>
      <x:c r="X377" s="39" t="str"/>
    </x:row>
    <x:row r="378">
      <x:c r="A378" s="27" t="str">
        <x:v>S21-SST-01</x:v>
      </x:c>
      <x:c r="B378" s="37" t="n">
        <x:v>374</x:v>
      </x:c>
      <x:c r="C378" s="27" t="str">
        <x:v>S21</x:v>
      </x:c>
      <x:c r="D378" s="37" t="n">
        <x:v>21</x:v>
      </x:c>
      <x:c r="E378" s="27" t="str">
        <x:v>Grade 9</x:v>
      </x:c>
      <x:c r="F378" s="27" t="str">
        <x:v>9</x:v>
      </x:c>
      <x:c r="G378" s="27" t="str">
        <x:v>Algebra I, biology, and analytical composition</x:v>
      </x:c>
      <x:c r="H378" s="27" t="str">
        <x:v>Social Studies</x:v>
      </x:c>
      <x:c r="I378" s="27" t="str">
        <x:v>World geography/history</x:v>
      </x:c>
      <x:c r="J378" s="27" t="str">
        <x:v>Spatial systems, culture, states, and globalization</x:v>
      </x:c>
      <x:c r="K378" s="27" t="str">
        <x:v>Using geospatial tools and historical sources to analyze physical/human geography, population, culture, political/economic systems, development, conflict, and global interdependence.</x:v>
      </x:c>
      <x:c r="L378" s="27" t="str">
        <x:v>Grade 8 global change, source analysis, statistics, and maps.</x:v>
      </x:c>
      <x:c r="M378" s="27" t="str">
        <x:v>S20-SST-02</x:v>
      </x:c>
      <x:c r="N378" s="27" t="str">
        <x:v>G6/G7 — Evidence-based formal system demonstrated through authentic transfer</x:v>
      </x:c>
      <x:c r="O378" s="27" t="str">
        <x:v>Language/literacy and source evidence; maps/data/economics; ethics/SEL; media literacy; arts/culture; civic action.</x:v>
      </x:c>
      <x:c r="P378" s="27" t="str">
        <x:v>Spatial and historical systems explain why global patterns differ across place and time.</x:v>
      </x:c>
      <x:c r="Q378" s="27" t="str">
        <x:v>S21-SST-02</x:v>
      </x:c>
      <x:c r="R378" s="27" t="str">
        <x:v>Builds a place-based explanation using mapped data, historical context, and multiple perspectives.</x:v>
      </x:c>
      <x:c r="S378" s="27" t="str">
        <x:v>SRC12; SRC24</x:v>
      </x:c>
      <x:c r="T378" s="27" t="str">
        <x:v>Development varies; use observed performance and appropriate supports rather than age alone.</x:v>
      </x:c>
      <x:c r="U378" s="27" t="str"/>
      <x:c r="V378" s="27" t="str"/>
      <x:c r="W378" s="39" t="str"/>
      <x:c r="X378" s="39" t="str"/>
    </x:row>
    <x:row r="379">
      <x:c r="A379" s="27" t="str">
        <x:v>S21-SST-02</x:v>
      </x:c>
      <x:c r="B379" s="37" t="n">
        <x:v>375</x:v>
      </x:c>
      <x:c r="C379" s="27" t="str">
        <x:v>S21</x:v>
      </x:c>
      <x:c r="D379" s="37" t="n">
        <x:v>21</x:v>
      </x:c>
      <x:c r="E379" s="27" t="str">
        <x:v>Grade 9</x:v>
      </x:c>
      <x:c r="F379" s="27" t="str">
        <x:v>9</x:v>
      </x:c>
      <x:c r="G379" s="27" t="str">
        <x:v>Algebra I, biology, and analytical composition</x:v>
      </x:c>
      <x:c r="H379" s="27" t="str">
        <x:v>Social Studies</x:v>
      </x:c>
      <x:c r="I379" s="27" t="str">
        <x:v>Inquiry</x:v>
      </x:c>
      <x:c r="J379" s="27" t="str">
        <x:v>Causation, comparison, and historical context</x:v>
      </x:c>
      <x:c r="K379" s="27" t="str">
        <x:v>Distinguishing immediate/underlying causes, necessary/contributing factors, continuity/change, and context while avoiding present-centered assumptions.</x:v>
      </x:c>
      <x:c r="L379" s="27" t="str">
        <x:v>Grade 8 multi-causal claims and source disagreement.</x:v>
      </x:c>
      <x:c r="M379" s="27" t="str">
        <x:v>S21-SST-01</x:v>
      </x:c>
      <x:c r="N379" s="27" t="str">
        <x:v>G6/G7 — Evidence-based formal system demonstrated through authentic transfer</x:v>
      </x:c>
      <x:c r="O379" s="27" t="str">
        <x:v>Language/literacy and source evidence; maps/data/economics; ethics/SEL; media literacy; arts/culture; civic action.</x:v>
      </x:c>
      <x:c r="P379" s="27" t="str">
        <x:v>Explicit causal/context tools improve historical explanations and policy analogies.</x:v>
      </x:c>
      <x:c r="Q379" s="27" t="str">
        <x:v>S22-SST-01</x:v>
      </x:c>
      <x:c r="R379" s="27" t="str">
        <x:v>Writes a qualified causal argument with chronology, context, and corroborated evidence.</x:v>
      </x:c>
      <x:c r="S379" s="27" t="str">
        <x:v>SRC12</x:v>
      </x:c>
      <x:c r="T379" s="27" t="str">
        <x:v>Development varies; use observed performance and appropriate supports rather than age alone.</x:v>
      </x:c>
      <x:c r="U379" s="27" t="str"/>
      <x:c r="V379" s="27" t="str"/>
      <x:c r="W379" s="39" t="str"/>
      <x:c r="X379" s="39" t="str"/>
    </x:row>
    <x:row r="380">
      <x:c r="A380" s="27" t="str">
        <x:v>S21-ARTS-01</x:v>
      </x:c>
      <x:c r="B380" s="37" t="n">
        <x:v>376</x:v>
      </x:c>
      <x:c r="C380" s="27" t="str">
        <x:v>S21</x:v>
      </x:c>
      <x:c r="D380" s="37" t="n">
        <x:v>21</x:v>
      </x:c>
      <x:c r="E380" s="27" t="str">
        <x:v>Grade 9</x:v>
      </x:c>
      <x:c r="F380" s="27" t="str">
        <x:v>9</x:v>
      </x:c>
      <x:c r="G380" s="27" t="str">
        <x:v>Algebra I, biology, and analytical composition</x:v>
      </x:c>
      <x:c r="H380" s="27" t="str">
        <x:v>Music &amp; Arts</x:v>
      </x:c>
      <x:c r="I380" s="27" t="str">
        <x:v>High-school arts</x:v>
      </x:c>
      <x:c r="J380" s="27" t="str">
        <x:v>Proficient creating/performance/responding/connecting</x:v>
      </x:c>
      <x:c r="K380" s="27" t="str">
        <x:v>Developing a sustained arts pathway through technique, original work, rehearsal/refinement, analysis, presentation, portfolio/process documentation, and cultural/contextual connection.</x:v>
      </x:c>
      <x:c r="L380" s="27" t="str">
        <x:v>Grade 8 integrated musicianship/arts processes and independent project systems.</x:v>
      </x:c>
      <x:c r="M380" s="27" t="str">
        <x:v>S20-ARTS-01</x:v>
      </x:c>
      <x:c r="N380" s="27" t="str">
        <x:v>G6/G7 — Evidence-based formal system demonstrated through authentic transfer</x:v>
      </x:c>
      <x:c r="O380" s="27" t="str">
        <x:v>Sensory discrimination; motor timing; language/prosody; mathematics/pattern; history/culture; emotion, design, and technology.</x:v>
      </x:c>
      <x:c r="P380" s="27" t="str">
        <x:v>A sustained portfolio demonstrates artistic growth, intention, technique, and reflective transfer.</x:v>
      </x:c>
      <x:c r="Q380" s="27" t="str">
        <x:v>S22-ARTS-01</x:v>
      </x:c>
      <x:c r="R380" s="27" t="str">
        <x:v>Presents a polished work/portfolio entry with process evidence and criteria-based reflection.</x:v>
      </x:c>
      <x:c r="S380" s="27" t="str">
        <x:v>SRC13</x:v>
      </x:c>
      <x:c r="T380" s="27" t="str">
        <x:v>Development varies; use observed performance and appropriate supports rather than age alone.</x:v>
      </x:c>
      <x:c r="U380" s="27" t="str"/>
      <x:c r="V380" s="27" t="str"/>
      <x:c r="W380" s="39" t="str"/>
      <x:c r="X380" s="39" t="str"/>
    </x:row>
    <x:row r="381">
      <x:c r="A381" s="27" t="str">
        <x:v>S21-HLTH-01</x:v>
      </x:c>
      <x:c r="B381" s="37" t="n">
        <x:v>377</x:v>
      </x:c>
      <x:c r="C381" s="27" t="str">
        <x:v>S21</x:v>
      </x:c>
      <x:c r="D381" s="37" t="n">
        <x:v>21</x:v>
      </x:c>
      <x:c r="E381" s="27" t="str">
        <x:v>Grade 9</x:v>
      </x:c>
      <x:c r="F381" s="27" t="str">
        <x:v>9</x:v>
      </x:c>
      <x:c r="G381" s="27" t="str">
        <x:v>Algebra I, biology, and analytical composition</x:v>
      </x:c>
      <x:c r="H381" s="27" t="str">
        <x:v>Physical &amp; Health</x:v>
      </x:c>
      <x:c r="I381" s="27" t="str">
        <x:v>Wellness</x:v>
      </x:c>
      <x:c r="J381" s="27" t="str">
        <x:v>Personal fitness, mental health, relationships, and health systems</x:v>
      </x:c>
      <x:c r="K381" s="27" t="str">
        <x:v>Designing safe activity/fitness routines; applying stress/sleep/nutrition knowledge; practicing consent, communication, and conflict skills; and locating reliable health services.</x:v>
      </x:c>
      <x:c r="L381" s="27" t="str">
        <x:v>Grade 8 independent wellness, source evaluation, and self-advocacy.</x:v>
      </x:c>
      <x:c r="M381" s="27" t="str">
        <x:v>S20-HLTH-01</x:v>
      </x:c>
      <x:c r="N381" s="27" t="str">
        <x:v>G6/G7 — Evidence-based formal system demonstrated through authentic transfer</x:v>
      </x:c>
      <x:c r="O381" s="27" t="str">
        <x:v>Motor/sensory development; life science; measurement/data; SEL/self-management; communication, safety, and decision-making.</x:v>
      </x:c>
      <x:c r="P381" s="27" t="str">
        <x:v>Integrated health competence supports independent high-school and adult decisions.</x:v>
      </x:c>
      <x:c r="Q381" s="27" t="str">
        <x:v>S22-HLTH-01</x:v>
      </x:c>
      <x:c r="R381" s="27" t="str">
        <x:v>Implements a plan and correctly navigates a realistic health-information/service scenario.</x:v>
      </x:c>
      <x:c r="S381" s="27" t="str">
        <x:v>SRC14; SRC15</x:v>
      </x:c>
      <x:c r="T381" s="27" t="str">
        <x:v>Development varies; use observed performance and appropriate supports rather than age alone.</x:v>
      </x:c>
      <x:c r="U381" s="27" t="str"/>
      <x:c r="V381" s="27" t="str"/>
      <x:c r="W381" s="39" t="str"/>
      <x:c r="X381" s="39" t="str"/>
    </x:row>
    <x:row r="382">
      <x:c r="A382" s="27" t="str">
        <x:v>S21-COMP-01</x:v>
      </x:c>
      <x:c r="B382" s="37" t="n">
        <x:v>378</x:v>
      </x:c>
      <x:c r="C382" s="27" t="str">
        <x:v>S21</x:v>
      </x:c>
      <x:c r="D382" s="37" t="n">
        <x:v>21</x:v>
      </x:c>
      <x:c r="E382" s="27" t="str">
        <x:v>Grade 9</x:v>
      </x:c>
      <x:c r="F382" s="27" t="str">
        <x:v>9</x:v>
      </x:c>
      <x:c r="G382" s="27" t="str">
        <x:v>Algebra I, biology, and analytical composition</x:v>
      </x:c>
      <x:c r="H382" s="27" t="str">
        <x:v>Computing &amp; Media</x:v>
      </x:c>
      <x:c r="I382" s="27" t="str">
        <x:v>Computer science foundations</x:v>
      </x:c>
      <x:c r="J382" s="27" t="str">
        <x:v>Programming design, data, networks, and impacts</x:v>
      </x:c>
      <x:c r="K382" s="27" t="str">
        <x:v>Using a text or advanced block language to design algorithms/functions/data structures, test/debug programs, explain network/cybersecurity concepts, and analyze computing impacts.</x:v>
      </x:c>
      <x:c r="L382" s="27" t="str">
        <x:v>Grade 8 collaborative programming, algorithm tradeoffs, and digital verification.</x:v>
      </x:c>
      <x:c r="M382" s="27" t="str">
        <x:v>S20-COMP-02</x:v>
      </x:c>
      <x:c r="N382" s="27" t="str">
        <x:v>G6/G7 — Evidence-based formal system demonstrated through authentic transfer</x:v>
      </x:c>
      <x:c r="O382" s="27" t="str">
        <x:v>Mathematics/logic/data; language and media evidence; science/engineering models; art/design; civics, privacy, finance, and ethics.</x:v>
      </x:c>
      <x:c r="P382" s="27" t="str">
        <x:v>A complete design-test-impact cycle prepares specialty CS pathways.</x:v>
      </x:c>
      <x:c r="Q382" s="27" t="str">
        <x:v>S22-COMP-01</x:v>
      </x:c>
      <x:c r="R382" s="27" t="str">
        <x:v>Delivers documented software plus tests, data/system explanation, and impact analysis.</x:v>
      </x:c>
      <x:c r="S382" s="27" t="str">
        <x:v>SRC16</x:v>
      </x:c>
      <x:c r="T382" s="27" t="str">
        <x:v>Development varies; use observed performance and appropriate supports rather than age alone.</x:v>
      </x:c>
      <x:c r="U382" s="27" t="str"/>
      <x:c r="V382" s="27" t="str"/>
      <x:c r="W382" s="39" t="str"/>
      <x:c r="X382" s="39" t="str"/>
    </x:row>
    <x:row r="383">
      <x:c r="A383" s="27" t="str">
        <x:v>S21-WLANG-01</x:v>
      </x:c>
      <x:c r="B383" s="37" t="n">
        <x:v>379</x:v>
      </x:c>
      <x:c r="C383" s="27" t="str">
        <x:v>S21</x:v>
      </x:c>
      <x:c r="D383" s="37" t="n">
        <x:v>21</x:v>
      </x:c>
      <x:c r="E383" s="27" t="str">
        <x:v>Grade 9</x:v>
      </x:c>
      <x:c r="F383" s="27" t="str">
        <x:v>9</x:v>
      </x:c>
      <x:c r="G383" s="27" t="str">
        <x:v>Algebra I, biology, and analytical composition</x:v>
      </x:c>
      <x:c r="H383" s="27" t="str">
        <x:v>World Languages</x:v>
      </x:c>
      <x:c r="I383" s="27" t="str">
        <x:v>Proficiency</x:v>
      </x:c>
      <x:c r="J383" s="27" t="str">
        <x:v>Intermediate communication and cultural inquiry</x:v>
      </x:c>
      <x:c r="K383" s="27" t="str">
        <x:v>Sustaining connected communication across familiar situations, interpreting authentic texts/media, presenting organized narratives/explanations, and investigating cultural perspectives with evidence.</x:v>
      </x:c>
      <x:c r="L383" s="27" t="str">
        <x:v>Grade 8 intermediate-mid use and high-school research methods.</x:v>
      </x:c>
      <x:c r="M383" s="27" t="str">
        <x:v>S20-WLANG-01</x:v>
      </x:c>
      <x:c r="N383" s="27" t="str">
        <x:v>G6/G7 — Evidence-based formal system demonstrated through authentic transfer</x:v>
      </x:c>
      <x:c r="O383" s="27" t="str">
        <x:v>Oral language, reading, and writing; memory/retrieval; social interaction; history/geography/arts; intercultural perspective.</x:v>
      </x:c>
      <x:c r="P383" s="27" t="str">
        <x:v>Authentic inquiry links language proficiency with disciplinary and intercultural knowledge.</x:v>
      </x:c>
      <x:c r="Q383" s="27" t="str">
        <x:v>S22-WLANG-01</x:v>
      </x:c>
      <x:c r="R383" s="27" t="str">
        <x:v>Completes an extended interaction/presentation and supports a cultural interpretation from sources.</x:v>
      </x:c>
      <x:c r="S383" s="27" t="str">
        <x:v>SRC17</x:v>
      </x:c>
      <x:c r="T383" s="27" t="str">
        <x:v>Place by proficiency and cumulative exposure rather than course title alone.</x:v>
      </x:c>
      <x:c r="U383" s="27" t="str"/>
      <x:c r="V383" s="27" t="str"/>
      <x:c r="W383" s="39" t="str"/>
      <x:c r="X383" s="39" t="str"/>
    </x:row>
    <x:row r="384">
      <x:c r="A384" s="27" t="str">
        <x:v>S21-LIFE-01</x:v>
      </x:c>
      <x:c r="B384" s="37" t="n">
        <x:v>380</x:v>
      </x:c>
      <x:c r="C384" s="27" t="str">
        <x:v>S21</x:v>
      </x:c>
      <x:c r="D384" s="37" t="n">
        <x:v>21</x:v>
      </x:c>
      <x:c r="E384" s="27" t="str">
        <x:v>Grade 9</x:v>
      </x:c>
      <x:c r="F384" s="27" t="str">
        <x:v>9</x:v>
      </x:c>
      <x:c r="G384" s="27" t="str">
        <x:v>Algebra I, biology, and analytical composition</x:v>
      </x:c>
      <x:c r="H384" s="27" t="str">
        <x:v>Life, Finance &amp; Career</x:v>
      </x:c>
      <x:c r="I384" s="27" t="str">
        <x:v>Planning</x:v>
      </x:c>
      <x:c r="J384" s="27" t="str">
        <x:v>Four-year pathway, employability, income, and budget</x:v>
      </x:c>
      <x:c r="K384" s="27" t="str">
        <x:v>Mapping graduation/postsecondary/work pathways, developing portfolio/résumé evidence, interpreting gross/net income, and building a realistic monthly budget with goals/emergency savings.</x:v>
      </x:c>
      <x:c r="L384" s="27" t="str">
        <x:v>Grade 8 pathway/banking, Algebra I functions, and workload systems.</x:v>
      </x:c>
      <x:c r="M384" s="27" t="str">
        <x:v>S20-LIFE-01</x:v>
      </x:c>
      <x:c r="N384" s="27" t="str">
        <x:v>G6/G7 — Evidence-based formal system demonstrated through authentic transfer</x:v>
      </x:c>
      <x:c r="O384" s="27" t="str">
        <x:v>Mathematics/percent/growth; economics/civics; reading contracts/sources; computing/privacy; SEL, planning, and risk decisions.</x:v>
      </x:c>
      <x:c r="P384" s="27" t="str">
        <x:v>A quantified pathway links education, work, time, and financial choices.</x:v>
      </x:c>
      <x:c r="Q384" s="27" t="str">
        <x:v>S22-LIFE-01</x:v>
      </x:c>
      <x:c r="R384" s="27" t="str">
        <x:v>Produces a four-year plan and balanced budget using documented assumptions and revision triggers.</x:v>
      </x:c>
      <x:c r="S384" s="27" t="str">
        <x:v>SRC19</x:v>
      </x:c>
      <x:c r="T384" s="27" t="str">
        <x:v>Development varies; use observed performance and appropriate supports rather than age alone.</x:v>
      </x:c>
      <x:c r="U384" s="27" t="str"/>
      <x:c r="V384" s="27" t="str"/>
      <x:c r="W384" s="39" t="str"/>
      <x:c r="X384" s="39" t="str"/>
    </x:row>
    <x:row r="385">
      <x:c r="A385" s="27" t="str">
        <x:v>S22-LEARN-01</x:v>
      </x:c>
      <x:c r="B385" s="37" t="n">
        <x:v>381</x:v>
      </x:c>
      <x:c r="C385" s="27" t="str">
        <x:v>S22</x:v>
      </x:c>
      <x:c r="D385" s="37" t="n">
        <x:v>22</x:v>
      </x:c>
      <x:c r="E385" s="27" t="str">
        <x:v>Grade 10</x:v>
      </x:c>
      <x:c r="F385" s="27" t="str">
        <x:v>10</x:v>
      </x:c>
      <x:c r="G385" s="27" t="str">
        <x:v>Geometry, chemistry, world history, and rhetoric</x:v>
      </x:c>
      <x:c r="H385" s="27" t="str">
        <x:v>Learning Foundations</x:v>
      </x:c>
      <x:c r="I385" s="27" t="str">
        <x:v>Memory architecture</x:v>
      </x:c>
      <x:c r="J385" s="27" t="str">
        <x:v>Schema building and compression</x:v>
      </x:c>
      <x:c r="K385" s="27" t="str">
        <x:v>Organizing many examples into a small set of principles, conditions, exceptions, and relationships that can reconstruct details when needed.</x:v>
      </x:c>
      <x:c r="L385" s="27" t="str">
        <x:v>Mastery progression, retrieval, interleaving, and transfer.</x:v>
      </x:c>
      <x:c r="M385" s="27" t="str">
        <x:v>S21-LEARN-01</x:v>
      </x:c>
      <x:c r="N385" s="27" t="str">
        <x:v>G6/G7 — Evidence-based formal system demonstrated through authentic transfer</x:v>
      </x:c>
      <x:c r="O385" s="27" t="str">
        <x:v>All domains: attention, memory, strategy choice, monitoring, retrieval, and transfer.</x:v>
      </x:c>
      <x:c r="P385" s="27" t="str">
        <x:v>Schema compression increases usable capacity while preserving grounded reconstruction paths.</x:v>
      </x:c>
      <x:c r="Q385" s="27" t="str">
        <x:v>S23-LEARN-01</x:v>
      </x:c>
      <x:c r="R385" s="27" t="str">
        <x:v>Builds a concept map/model from memory and uses it to solve a new case and explain an exception.</x:v>
      </x:c>
      <x:c r="S385" s="27" t="str">
        <x:v>SRC23; SRC29; SRC30</x:v>
      </x:c>
      <x:c r="T385" s="27" t="str">
        <x:v>Development varies; use observed performance and appropriate supports rather than age alone.</x:v>
      </x:c>
      <x:c r="U385" s="27" t="str"/>
      <x:c r="V385" s="27" t="str"/>
      <x:c r="W385" s="39" t="str"/>
      <x:c r="X385" s="39" t="str"/>
    </x:row>
    <x:row r="386">
      <x:c r="A386" s="27" t="str">
        <x:v>S22-SEL-01</x:v>
      </x:c>
      <x:c r="B386" s="37" t="n">
        <x:v>382</x:v>
      </x:c>
      <x:c r="C386" s="27" t="str">
        <x:v>S22</x:v>
      </x:c>
      <x:c r="D386" s="37" t="n">
        <x:v>22</x:v>
      </x:c>
      <x:c r="E386" s="27" t="str">
        <x:v>Grade 10</x:v>
      </x:c>
      <x:c r="F386" s="27" t="str">
        <x:v>10</x:v>
      </x:c>
      <x:c r="G386" s="27" t="str">
        <x:v>Geometry, chemistry, world history, and rhetoric</x:v>
      </x:c>
      <x:c r="H386" s="27" t="str">
        <x:v>Social-Emotional</x:v>
      </x:c>
      <x:c r="I386" s="27" t="str">
        <x:v>Ethical reasoning</x:v>
      </x:c>
      <x:c r="J386" s="27" t="str">
        <x:v>Stakeholders, duties, consequences, and fairness</x:v>
      </x:c>
      <x:c r="K386" s="27" t="str">
        <x:v>Analyzing an ethical problem through affected parties, rights/duties, likely outcomes, fairness, care, evidence, and uncertainty.</x:v>
      </x:c>
      <x:c r="L386" s="27" t="str">
        <x:v>Grade 9 values goals, perspective, and argument analysis.</x:v>
      </x:c>
      <x:c r="M386" s="27" t="str">
        <x:v>S21-SEL-01</x:v>
      </x:c>
      <x:c r="N386" s="27" t="str">
        <x:v>G6/G7 — Evidence-based formal system demonstrated through authentic transfer</x:v>
      </x:c>
      <x:c r="O386" s="27" t="str">
        <x:v>Language and communication; health; collaboration in science, arts, civics, and projects; responsible digital/financial decisions.</x:v>
      </x:c>
      <x:c r="P386" s="27" t="str">
        <x:v>A multi-lens ethical framework supports science, technology, civics, relationships, and career decisions.</x:v>
      </x:c>
      <x:c r="Q386" s="27" t="str">
        <x:v>S23-SEL-01</x:v>
      </x:c>
      <x:c r="R386" s="27" t="str">
        <x:v>Compares options under several ethical lenses and defends a qualified decision.</x:v>
      </x:c>
      <x:c r="S386" s="27" t="str">
        <x:v>SRC18</x:v>
      </x:c>
      <x:c r="T386" s="27" t="str">
        <x:v>Development varies; use observed performance and appropriate supports rather than age alone.</x:v>
      </x:c>
      <x:c r="U386" s="27" t="str"/>
      <x:c r="V386" s="27" t="str"/>
      <x:c r="W386" s="39" t="str"/>
      <x:c r="X386" s="39" t="str"/>
    </x:row>
    <x:row r="387">
      <x:c r="A387" s="27" t="str">
        <x:v>S22-READ-01</x:v>
      </x:c>
      <x:c r="B387" s="37" t="n">
        <x:v>383</x:v>
      </x:c>
      <x:c r="C387" s="27" t="str">
        <x:v>S22</x:v>
      </x:c>
      <x:c r="D387" s="37" t="n">
        <x:v>22</x:v>
      </x:c>
      <x:c r="E387" s="27" t="str">
        <x:v>Grade 10</x:v>
      </x:c>
      <x:c r="F387" s="27" t="str">
        <x:v>10</x:v>
      </x:c>
      <x:c r="G387" s="27" t="str">
        <x:v>Geometry, chemistry, world history, and rhetoric</x:v>
      </x:c>
      <x:c r="H387" s="27" t="str">
        <x:v>Reading</x:v>
      </x:c>
      <x:c r="I387" s="27" t="str">
        <x:v>Literature</x:v>
      </x:c>
      <x:c r="J387" s="27" t="str">
        <x:v>Genre, archetype, context, and transformation</x:v>
      </x:c>
      <x:c r="K387" s="27" t="str">
        <x:v>Analyzing how genre conventions, archetypal patterns, cultural/historical context, source material, and adaptation shape meaning.</x:v>
      </x:c>
      <x:c r="L387" s="27" t="str">
        <x:v>Grade 9 complex theme/structure and world-history context.</x:v>
      </x:c>
      <x:c r="M387" s="27" t="str">
        <x:v>S21-READ-02</x:v>
      </x:c>
      <x:c r="N387" s="27" t="str">
        <x:v>G6/G7 — Evidence-based formal system demonstrated through authentic transfer</x:v>
      </x:c>
      <x:c r="O387" s="27" t="str">
        <x:v>Oral language and writing; evidence in science/social studies; mathematical and technical problem interpretation; media verification.</x:v>
      </x:c>
      <x:c r="P387" s="27" t="str">
        <x:v>Genre/context analysis connects individual texts into literary and cultural systems.</x:v>
      </x:c>
      <x:c r="Q387" s="27" t="str">
        <x:v>S22-READ-02</x:v>
      </x:c>
      <x:c r="R387" s="27" t="str">
        <x:v>Compares two works/adaptations and explains a meaningful contextual or formal transformation.</x:v>
      </x:c>
      <x:c r="S387" s="27" t="str">
        <x:v>SRC10</x:v>
      </x:c>
      <x:c r="T387" s="27" t="str">
        <x:v>Development varies; use observed performance and appropriate supports rather than age alone.</x:v>
      </x:c>
      <x:c r="U387" s="27" t="str"/>
      <x:c r="V387" s="27" t="str"/>
      <x:c r="W387" s="39" t="str"/>
      <x:c r="X387" s="39" t="str"/>
    </x:row>
    <x:row r="388">
      <x:c r="A388" s="27" t="str">
        <x:v>S22-READ-02</x:v>
      </x:c>
      <x:c r="B388" s="37" t="n">
        <x:v>384</x:v>
      </x:c>
      <x:c r="C388" s="27" t="str">
        <x:v>S22</x:v>
      </x:c>
      <x:c r="D388" s="37" t="n">
        <x:v>22</x:v>
      </x:c>
      <x:c r="E388" s="27" t="str">
        <x:v>Grade 10</x:v>
      </x:c>
      <x:c r="F388" s="27" t="str">
        <x:v>10</x:v>
      </x:c>
      <x:c r="G388" s="27" t="str">
        <x:v>Geometry, chemistry, world history, and rhetoric</x:v>
      </x:c>
      <x:c r="H388" s="27" t="str">
        <x:v>Reading</x:v>
      </x:c>
      <x:c r="I388" s="27" t="str">
        <x:v>Rhetoric</x:v>
      </x:c>
      <x:c r="J388" s="27" t="str">
        <x:v>Purpose, audience, appeals, style, and logical fallacies</x:v>
      </x:c>
      <x:c r="K388" s="27" t="str">
        <x:v>Evaluating how arguments use evidence, assumptions, ethos/pathos/logos, syntax/diction, framing, and valid or flawed reasoning for particular audiences.</x:v>
      </x:c>
      <x:c r="L388" s="27" t="str">
        <x:v>Grade 9 rhetorical analysis and Algebra/logic reasoning.</x:v>
      </x:c>
      <x:c r="M388" s="27" t="str">
        <x:v>S22-READ-01</x:v>
      </x:c>
      <x:c r="N388" s="27" t="str">
        <x:v>G6/G7 — Evidence-based formal system demonstrated through authentic transfer</x:v>
      </x:c>
      <x:c r="O388" s="27" t="str">
        <x:v>Oral language and writing; evidence in science/social studies; mathematical and technical problem interpretation; media verification.</x:v>
      </x:c>
      <x:c r="P388" s="27" t="str">
        <x:v>Detailed rhetoric analysis prepares public communication and advanced composition.</x:v>
      </x:c>
      <x:c r="Q388" s="27" t="str">
        <x:v>S23-READ-01</x:v>
      </x:c>
      <x:c r="R388" s="27" t="str">
        <x:v>Annotates an argument’s reasoning and rhetoric and evaluates overall persuasiveness/credibility.</x:v>
      </x:c>
      <x:c r="S388" s="27" t="str">
        <x:v>SRC10; SRC20</x:v>
      </x:c>
      <x:c r="T388" s="27" t="str">
        <x:v>Development varies; use observed performance and appropriate supports rather than age alone.</x:v>
      </x:c>
      <x:c r="U388" s="27" t="str"/>
      <x:c r="V388" s="27" t="str"/>
      <x:c r="W388" s="39" t="str"/>
      <x:c r="X388" s="39" t="str"/>
    </x:row>
    <x:row r="389">
      <x:c r="A389" s="27" t="str">
        <x:v>S22-WRITE-01</x:v>
      </x:c>
      <x:c r="B389" s="37" t="n">
        <x:v>385</x:v>
      </x:c>
      <x:c r="C389" s="27" t="str">
        <x:v>S22</x:v>
      </x:c>
      <x:c r="D389" s="37" t="n">
        <x:v>22</x:v>
      </x:c>
      <x:c r="E389" s="27" t="str">
        <x:v>Grade 10</x:v>
      </x:c>
      <x:c r="F389" s="27" t="str">
        <x:v>10</x:v>
      </x:c>
      <x:c r="G389" s="27" t="str">
        <x:v>Geometry, chemistry, world history, and rhetoric</x:v>
      </x:c>
      <x:c r="H389" s="27" t="str">
        <x:v>Writing &amp; Language</x:v>
      </x:c>
      <x:c r="I389" s="27" t="str">
        <x:v>Rhetorical composition</x:v>
      </x:c>
      <x:c r="J389" s="27" t="str">
        <x:v>Purposeful argument for a defined audience</x:v>
      </x:c>
      <x:c r="K389" s="27" t="str">
        <x:v>Adapting claim, organization, evidence, concessions, tone, style, and medium to a specific audience and situation.</x:v>
      </x:c>
      <x:c r="L389" s="27" t="str">
        <x:v>Grade 9 thesis essay, rhetoric, and ethical reasoning.</x:v>
      </x:c>
      <x:c r="M389" s="27" t="str">
        <x:v>S21-WRITE-02</x:v>
      </x:c>
      <x:c r="N389" s="27" t="str">
        <x:v>G6/G7 — Evidence-based formal system demonstrated through authentic transfer</x:v>
      </x:c>
      <x:c r="O389" s="27" t="str">
        <x:v>Reading models; evidence from science/social studies; mathematical explanation; research, media, and presentation.</x:v>
      </x:c>
      <x:c r="P389" s="27" t="str">
        <x:v>Rhetorical control turns general academic writing into effective situated communication.</x:v>
      </x:c>
      <x:c r="Q389" s="27" t="str">
        <x:v>S22-WRITE-02</x:v>
      </x:c>
      <x:c r="R389" s="27" t="str">
        <x:v>Produces and explains an argument whose choices are visibly aligned to audience/purpose.</x:v>
      </x:c>
      <x:c r="S389" s="27" t="str">
        <x:v>SRC10; SRC22</x:v>
      </x:c>
      <x:c r="T389" s="27" t="str">
        <x:v>Development varies; use observed performance and appropriate supports rather than age alone.</x:v>
      </x:c>
      <x:c r="U389" s="27" t="str"/>
      <x:c r="V389" s="27" t="str"/>
      <x:c r="W389" s="39" t="str"/>
      <x:c r="X389" s="39" t="str"/>
    </x:row>
    <x:row r="390">
      <x:c r="A390" s="27" t="str">
        <x:v>S22-WRITE-02</x:v>
      </x:c>
      <x:c r="B390" s="37" t="n">
        <x:v>386</x:v>
      </x:c>
      <x:c r="C390" s="27" t="str">
        <x:v>S22</x:v>
      </x:c>
      <x:c r="D390" s="37" t="n">
        <x:v>22</x:v>
      </x:c>
      <x:c r="E390" s="27" t="str">
        <x:v>Grade 10</x:v>
      </x:c>
      <x:c r="F390" s="27" t="str">
        <x:v>10</x:v>
      </x:c>
      <x:c r="G390" s="27" t="str">
        <x:v>Geometry, chemistry, world history, and rhetoric</x:v>
      </x:c>
      <x:c r="H390" s="27" t="str">
        <x:v>Writing &amp; Language</x:v>
      </x:c>
      <x:c r="I390" s="27" t="str">
        <x:v>Research</x:v>
      </x:c>
      <x:c r="J390" s="27" t="str">
        <x:v>Method, reliability, limitations, and synthesis</x:v>
      </x:c>
      <x:c r="K390" s="27" t="str">
        <x:v>Selecting a suitable qualitative/quantitative/source-based method, documenting procedures, assessing source/data reliability, reporting limitations, and synthesizing defensibly.</x:v>
      </x:c>
      <x:c r="L390" s="27" t="str">
        <x:v>Grade 9 source conversation, statistics foundations, and scientific investigation.</x:v>
      </x:c>
      <x:c r="M390" s="27" t="str">
        <x:v>S22-WRITE-01</x:v>
      </x:c>
      <x:c r="N390" s="27" t="str">
        <x:v>G6/G7 — Evidence-based formal system demonstrated through authentic transfer</x:v>
      </x:c>
      <x:c r="O390" s="27" t="str">
        <x:v>Reading models; evidence from science/social studies; mathematical explanation; research, media, and presentation.</x:v>
      </x:c>
      <x:c r="P390" s="27" t="str">
        <x:v>Method transparency and limitations distinguish strong inquiry from unsupported certainty.</x:v>
      </x:c>
      <x:c r="Q390" s="27" t="str">
        <x:v>S23-WRITE-01</x:v>
      </x:c>
      <x:c r="R390" s="27" t="str">
        <x:v>Provides a reproducible method record and a conclusion calibrated to evidence limits.</x:v>
      </x:c>
      <x:c r="S390" s="27" t="str">
        <x:v>SRC10; SRC22</x:v>
      </x:c>
      <x:c r="T390" s="27" t="str">
        <x:v>Development varies; use observed performance and appropriate supports rather than age alone.</x:v>
      </x:c>
      <x:c r="U390" s="27" t="str"/>
      <x:c r="V390" s="27" t="str"/>
      <x:c r="W390" s="39" t="str"/>
      <x:c r="X390" s="39" t="str"/>
    </x:row>
    <x:row r="391">
      <x:c r="A391" s="27" t="str">
        <x:v>S22-MATH-01</x:v>
      </x:c>
      <x:c r="B391" s="37" t="n">
        <x:v>387</x:v>
      </x:c>
      <x:c r="C391" s="27" t="str">
        <x:v>S22</x:v>
      </x:c>
      <x:c r="D391" s="37" t="n">
        <x:v>22</x:v>
      </x:c>
      <x:c r="E391" s="27" t="str">
        <x:v>Grade 10</x:v>
      </x:c>
      <x:c r="F391" s="27" t="str">
        <x:v>10</x:v>
      </x:c>
      <x:c r="G391" s="27" t="str">
        <x:v>Geometry, chemistry, world history, and rhetoric</x:v>
      </x:c>
      <x:c r="H391" s="27" t="str">
        <x:v>Mathematics</x:v>
      </x:c>
      <x:c r="I391" s="27" t="str">
        <x:v>Geometry — foundations</x:v>
      </x:c>
      <x:c r="J391" s="27" t="str">
        <x:v>Definitions, axioms, theorems, and proof</x:v>
      </x:c>
      <x:c r="K391" s="27" t="str">
        <x:v>Using precise definitions and accepted assumptions to build deductive arguments with diagrams, transformations, algebra, and logical statements.</x:v>
      </x:c>
      <x:c r="L391" s="27" t="str">
        <x:v>Grade 8 transformations, Algebra I equations, and evidence-chain writing.</x:v>
      </x:c>
      <x:c r="M391" s="27" t="str">
        <x:v>S21-MATH-08</x:v>
      </x:c>
      <x:c r="N391" s="27" t="str">
        <x:v>G6/G7 — Evidence-based formal system demonstrated through authentic transfer</x:v>
      </x:c>
      <x:c r="O391" s="27" t="str">
        <x:v>Physical quantity and spatial action; science measurement/models; computing/algorithms; finance; music rhythm/pattern; geographic data.</x:v>
      </x:c>
      <x:c r="P391" s="27" t="str">
        <x:v>Proof establishes why a geometric claim follows and generalizes beyond measured examples.</x:v>
      </x:c>
      <x:c r="Q391" s="27" t="str">
        <x:v>S22-MATH-02</x:v>
      </x:c>
      <x:c r="R391" s="27" t="str">
        <x:v>Writes a valid proof whose reasons depend on definitions/theorems rather than appearance.</x:v>
      </x:c>
      <x:c r="S391" s="27" t="str">
        <x:v>SRC09</x:v>
      </x:c>
      <x:c r="T391" s="27" t="str">
        <x:v>Development varies; use observed performance and appropriate supports rather than age alone.</x:v>
      </x:c>
      <x:c r="U391" s="27" t="str"/>
      <x:c r="V391" s="27" t="str"/>
      <x:c r="W391" s="39" t="str"/>
      <x:c r="X391" s="39" t="str"/>
    </x:row>
    <x:row r="392">
      <x:c r="A392" s="27" t="str">
        <x:v>S22-MATH-02</x:v>
      </x:c>
      <x:c r="B392" s="37" t="n">
        <x:v>388</x:v>
      </x:c>
      <x:c r="C392" s="27" t="str">
        <x:v>S22</x:v>
      </x:c>
      <x:c r="D392" s="37" t="n">
        <x:v>22</x:v>
      </x:c>
      <x:c r="E392" s="27" t="str">
        <x:v>Grade 10</x:v>
      </x:c>
      <x:c r="F392" s="27" t="str">
        <x:v>10</x:v>
      </x:c>
      <x:c r="G392" s="27" t="str">
        <x:v>Geometry, chemistry, world history, and rhetoric</x:v>
      </x:c>
      <x:c r="H392" s="27" t="str">
        <x:v>Mathematics</x:v>
      </x:c>
      <x:c r="I392" s="27" t="str">
        <x:v>Geometry — transformations</x:v>
      </x:c>
      <x:c r="J392" s="27" t="str">
        <x:v>Congruence and rigid motions</x:v>
      </x:c>
      <x:c r="K392" s="27" t="str">
        <x:v>Defining translations, rotations, and reflections; using compositions of transformations; and proving congruence from rigid-motion criteria.</x:v>
      </x:c>
      <x:c r="L392" s="27" t="str">
        <x:v>Grade 8 transformation reasoning and coordinate functions.</x:v>
      </x:c>
      <x:c r="M392" s="27" t="str">
        <x:v>S22-MATH-01</x:v>
      </x:c>
      <x:c r="N392" s="27" t="str">
        <x:v>G6/G7 — Evidence-based formal system demonstrated through authentic transfer</x:v>
      </x:c>
      <x:c r="O392" s="27" t="str">
        <x:v>Physical quantity and spatial action; science measurement/models; computing/algorithms; finance; music rhythm/pattern; geographic data.</x:v>
      </x:c>
      <x:c r="P392" s="27" t="str">
        <x:v>Rigid-motion invariants ground congruence theorems.</x:v>
      </x:c>
      <x:c r="Q392" s="27" t="str">
        <x:v>S22-MATH-03</x:v>
      </x:c>
      <x:c r="R392" s="27" t="str">
        <x:v>Maps one figure to another and explains which distances/angles remain invariant.</x:v>
      </x:c>
      <x:c r="S392" s="27" t="str">
        <x:v>SRC09</x:v>
      </x:c>
      <x:c r="T392" s="27" t="str">
        <x:v>Development varies; use observed performance and appropriate supports rather than age alone.</x:v>
      </x:c>
      <x:c r="U392" s="27" t="str"/>
      <x:c r="V392" s="27" t="str"/>
      <x:c r="W392" s="39" t="str"/>
      <x:c r="X392" s="39" t="str"/>
    </x:row>
    <x:row r="393">
      <x:c r="A393" s="27" t="str">
        <x:v>S22-MATH-03</x:v>
      </x:c>
      <x:c r="B393" s="37" t="n">
        <x:v>389</x:v>
      </x:c>
      <x:c r="C393" s="27" t="str">
        <x:v>S22</x:v>
      </x:c>
      <x:c r="D393" s="37" t="n">
        <x:v>22</x:v>
      </x:c>
      <x:c r="E393" s="27" t="str">
        <x:v>Grade 10</x:v>
      </x:c>
      <x:c r="F393" s="27" t="str">
        <x:v>10</x:v>
      </x:c>
      <x:c r="G393" s="27" t="str">
        <x:v>Geometry, chemistry, world history, and rhetoric</x:v>
      </x:c>
      <x:c r="H393" s="27" t="str">
        <x:v>Mathematics</x:v>
      </x:c>
      <x:c r="I393" s="27" t="str">
        <x:v>Geometry — similarity</x:v>
      </x:c>
      <x:c r="J393" s="27" t="str">
        <x:v>Dilations, similarity, and proportional proof</x:v>
      </x:c>
      <x:c r="K393" s="27" t="str">
        <x:v>Using dilations and angle/side relationships to establish similarity and solve indirect measurement and scale problems.</x:v>
      </x:c>
      <x:c r="L393" s="27" t="str">
        <x:v>Grade 8 similarity, Grade 7 proportions, and proof foundations.</x:v>
      </x:c>
      <x:c r="M393" s="27" t="str">
        <x:v>S22-MATH-02</x:v>
      </x:c>
      <x:c r="N393" s="27" t="str">
        <x:v>G6/G7 — Evidence-based formal system demonstrated through authentic transfer</x:v>
      </x:c>
      <x:c r="O393" s="27" t="str">
        <x:v>Physical quantity and spatial action; science measurement/models; computing/algorithms; finance; music rhythm/pattern; geographic data.</x:v>
      </x:c>
      <x:c r="P393" s="27" t="str">
        <x:v>Similarity is the geometric source of trigonometric ratios and many scale models.</x:v>
      </x:c>
      <x:c r="Q393" s="27" t="str">
        <x:v>S22-MATH-04</x:v>
      </x:c>
      <x:c r="R393" s="27" t="str">
        <x:v>Proves similarity and uses the resulting proportion to solve/interpret a measurement.</x:v>
      </x:c>
      <x:c r="S393" s="27" t="str">
        <x:v>SRC09</x:v>
      </x:c>
      <x:c r="T393" s="27" t="str">
        <x:v>Development varies; use observed performance and appropriate supports rather than age alone.</x:v>
      </x:c>
      <x:c r="U393" s="27" t="str"/>
      <x:c r="V393" s="27" t="str"/>
      <x:c r="W393" s="39" t="str"/>
      <x:c r="X393" s="39" t="str"/>
    </x:row>
    <x:row r="394">
      <x:c r="A394" s="27" t="str">
        <x:v>S22-MATH-04</x:v>
      </x:c>
      <x:c r="B394" s="37" t="n">
        <x:v>390</x:v>
      </x:c>
      <x:c r="C394" s="27" t="str">
        <x:v>S22</x:v>
      </x:c>
      <x:c r="D394" s="37" t="n">
        <x:v>22</x:v>
      </x:c>
      <x:c r="E394" s="27" t="str">
        <x:v>Grade 10</x:v>
      </x:c>
      <x:c r="F394" s="27" t="str">
        <x:v>10</x:v>
      </x:c>
      <x:c r="G394" s="27" t="str">
        <x:v>Geometry, chemistry, world history, and rhetoric</x:v>
      </x:c>
      <x:c r="H394" s="27" t="str">
        <x:v>Mathematics</x:v>
      </x:c>
      <x:c r="I394" s="27" t="str">
        <x:v>Geometry — right triangles</x:v>
      </x:c>
      <x:c r="J394" s="27" t="str">
        <x:v>Pythagorean theorem and trigonometric ratios</x:v>
      </x:c>
      <x:c r="K394" s="27" t="str">
        <x:v>Using Pythagorean relationships and sine/cosine/tangent to solve right-triangle problems, including angles of elevation/depression.</x:v>
      </x:c>
      <x:c r="L394" s="27" t="str">
        <x:v>Grade 8 Pythagorean theorem, similarity, functions, and irrational numbers.</x:v>
      </x:c>
      <x:c r="M394" s="27" t="str">
        <x:v>S22-MATH-03</x:v>
      </x:c>
      <x:c r="N394" s="27" t="str">
        <x:v>G6/G7 — Evidence-based formal system demonstrated through authentic transfer</x:v>
      </x:c>
      <x:c r="O394" s="27" t="str">
        <x:v>Physical quantity and spatial action; science measurement/models; computing/algorithms; finance; music rhythm/pattern; geographic data.</x:v>
      </x:c>
      <x:c r="P394" s="27" t="str">
        <x:v>Trig ratios convert geometric similarity into functions of angle.</x:v>
      </x:c>
      <x:c r="Q394" s="27" t="str">
        <x:v>S22-MATH-05</x:v>
      </x:c>
      <x:c r="R394" s="27" t="str">
        <x:v>Selects a ratio/theorem, solves, and checks the result against the diagram and units.</x:v>
      </x:c>
      <x:c r="S394" s="27" t="str">
        <x:v>SRC09</x:v>
      </x:c>
      <x:c r="T394" s="27" t="str">
        <x:v>Development varies; use observed performance and appropriate supports rather than age alone.</x:v>
      </x:c>
      <x:c r="U394" s="27" t="str"/>
      <x:c r="V394" s="27" t="str"/>
      <x:c r="W394" s="39" t="str"/>
      <x:c r="X394" s="39" t="str"/>
    </x:row>
    <x:row r="395">
      <x:c r="A395" s="27" t="str">
        <x:v>S22-MATH-05</x:v>
      </x:c>
      <x:c r="B395" s="37" t="n">
        <x:v>391</x:v>
      </x:c>
      <x:c r="C395" s="27" t="str">
        <x:v>S22</x:v>
      </x:c>
      <x:c r="D395" s="37" t="n">
        <x:v>22</x:v>
      </x:c>
      <x:c r="E395" s="27" t="str">
        <x:v>Grade 10</x:v>
      </x:c>
      <x:c r="F395" s="27" t="str">
        <x:v>10</x:v>
      </x:c>
      <x:c r="G395" s="27" t="str">
        <x:v>Geometry, chemistry, world history, and rhetoric</x:v>
      </x:c>
      <x:c r="H395" s="27" t="str">
        <x:v>Mathematics</x:v>
      </x:c>
      <x:c r="I395" s="27" t="str">
        <x:v>Geometry — circles</x:v>
      </x:c>
      <x:c r="J395" s="27" t="str">
        <x:v>Circle theorems and equations</x:v>
      </x:c>
      <x:c r="K395" s="27" t="str">
        <x:v>Reasoning about arcs, chords, central/inscribed angles, tangents, and deriving/using the coordinate equation of a circle where included.</x:v>
      </x:c>
      <x:c r="L395" s="27" t="str">
        <x:v>Angle proof, similarity, coordinate algebra, and distance.</x:v>
      </x:c>
      <x:c r="M395" s="27" t="str">
        <x:v>S22-MATH-04</x:v>
      </x:c>
      <x:c r="N395" s="27" t="str">
        <x:v>G6/G7 — Evidence-based formal system demonstrated through authentic transfer</x:v>
      </x:c>
      <x:c r="O395" s="27" t="str">
        <x:v>Physical quantity and spatial action; science measurement/models; computing/algorithms; finance; music rhythm/pattern; geographic data.</x:v>
      </x:c>
      <x:c r="P395" s="27" t="str">
        <x:v>Circle relationships connect synthetic proof with analytic geometry.</x:v>
      </x:c>
      <x:c r="Q395" s="27" t="str">
        <x:v>S22-MATH-06</x:v>
      </x:c>
      <x:c r="R395" s="27" t="str">
        <x:v>Proves/uses a circle relationship and interprets equation center/radius.</x:v>
      </x:c>
      <x:c r="S395" s="27" t="str">
        <x:v>SRC09</x:v>
      </x:c>
      <x:c r="T395" s="27" t="str">
        <x:v>Development varies; use observed performance and appropriate supports rather than age alone.</x:v>
      </x:c>
      <x:c r="U395" s="27" t="str"/>
      <x:c r="V395" s="27" t="str"/>
      <x:c r="W395" s="39" t="str"/>
      <x:c r="X395" s="39" t="str"/>
    </x:row>
    <x:row r="396">
      <x:c r="A396" s="27" t="str">
        <x:v>S22-MATH-06</x:v>
      </x:c>
      <x:c r="B396" s="37" t="n">
        <x:v>392</x:v>
      </x:c>
      <x:c r="C396" s="27" t="str">
        <x:v>S22</x:v>
      </x:c>
      <x:c r="D396" s="37" t="n">
        <x:v>22</x:v>
      </x:c>
      <x:c r="E396" s="27" t="str">
        <x:v>Grade 10</x:v>
      </x:c>
      <x:c r="F396" s="27" t="str">
        <x:v>10</x:v>
      </x:c>
      <x:c r="G396" s="27" t="str">
        <x:v>Geometry, chemistry, world history, and rhetoric</x:v>
      </x:c>
      <x:c r="H396" s="27" t="str">
        <x:v>Mathematics</x:v>
      </x:c>
      <x:c r="I396" s="27" t="str">
        <x:v>Geometry — measurement</x:v>
      </x:c>
      <x:c r="J396" s="27" t="str">
        <x:v>Area, volume, density, and modeling</x:v>
      </x:c>
      <x:c r="K396" s="27" t="str">
        <x:v>Deriving/applying formulas, using Cavalieri-style reasoning where appropriate, solving composite solids, and modeling density/design constraints with units.</x:v>
      </x:c>
      <x:c r="L396" s="27" t="str">
        <x:v>Grade 7/8 area-volume, similarity, Algebra I formulas, and unit analysis.</x:v>
      </x:c>
      <x:c r="M396" s="27" t="str">
        <x:v>S22-MATH-05</x:v>
      </x:c>
      <x:c r="N396" s="27" t="str">
        <x:v>G6/G7 — Evidence-based formal system demonstrated through authentic transfer</x:v>
      </x:c>
      <x:c r="O396" s="27" t="str">
        <x:v>Physical quantity and spatial action; science measurement/models; computing/algorithms; finance; music rhythm/pattern; geographic data.</x:v>
      </x:c>
      <x:c r="P396" s="27" t="str">
        <x:v>Three-dimensional scaling and unit reasoning prepare science/engineering models.</x:v>
      </x:c>
      <x:c r="Q396" s="27" t="str">
        <x:v>S22-MATH-07</x:v>
      </x:c>
      <x:c r="R396" s="27" t="str">
        <x:v>Builds a geometric model, computes with correct unit powers, and evaluates assumptions/error.</x:v>
      </x:c>
      <x:c r="S396" s="27" t="str">
        <x:v>SRC09</x:v>
      </x:c>
      <x:c r="T396" s="27" t="str">
        <x:v>Development varies; use observed performance and appropriate supports rather than age alone.</x:v>
      </x:c>
      <x:c r="U396" s="27" t="str"/>
      <x:c r="V396" s="27" t="str"/>
      <x:c r="W396" s="39" t="str"/>
      <x:c r="X396" s="39" t="str"/>
    </x:row>
    <x:row r="397">
      <x:c r="A397" s="27" t="str">
        <x:v>S22-MATH-07</x:v>
      </x:c>
      <x:c r="B397" s="37" t="n">
        <x:v>393</x:v>
      </x:c>
      <x:c r="C397" s="27" t="str">
        <x:v>S22</x:v>
      </x:c>
      <x:c r="D397" s="37" t="n">
        <x:v>22</x:v>
      </x:c>
      <x:c r="E397" s="27" t="str">
        <x:v>Grade 10</x:v>
      </x:c>
      <x:c r="F397" s="27" t="str">
        <x:v>10</x:v>
      </x:c>
      <x:c r="G397" s="27" t="str">
        <x:v>Geometry, chemistry, world history, and rhetoric</x:v>
      </x:c>
      <x:c r="H397" s="27" t="str">
        <x:v>Mathematics</x:v>
      </x:c>
      <x:c r="I397" s="27" t="str">
        <x:v>Geometry — probability</x:v>
      </x:c>
      <x:c r="J397" s="27" t="str">
        <x:v>Set, conditional, and geometric probability</x:v>
      </x:c>
      <x:c r="K397" s="27" t="str">
        <x:v>Using unions/intersections/complements, two-way tables, conditional probability, independence, and area/length ratios for geometric probability.</x:v>
      </x:c>
      <x:c r="L397" s="27" t="str">
        <x:v>Grade 7 probability, Grade 8 two-way tables, ratios, and set classification.</x:v>
      </x:c>
      <x:c r="M397" s="27" t="str">
        <x:v>S22-MATH-06</x:v>
      </x:c>
      <x:c r="N397" s="27" t="str">
        <x:v>G6/G7 — Evidence-based formal system demonstrated through authentic transfer</x:v>
      </x:c>
      <x:c r="O397" s="27" t="str">
        <x:v>Physical quantity and spatial action; science measurement/models; computing/algorithms; finance; music rhythm/pattern; geographic data.</x:v>
      </x:c>
      <x:c r="P397" s="27" t="str">
        <x:v>Conditional probability formalizes how information changes likelihood.</x:v>
      </x:c>
      <x:c r="Q397" s="27" t="str">
        <x:v>S23-MATH-01</x:v>
      </x:c>
      <x:c r="R397" s="27" t="str">
        <x:v>Represents a probability situation in multiple forms and justifies independence/dependence.</x:v>
      </x:c>
      <x:c r="S397" s="27" t="str">
        <x:v>SRC09</x:v>
      </x:c>
      <x:c r="T397" s="27" t="str">
        <x:v>Development varies; use observed performance and appropriate supports rather than age alone.</x:v>
      </x:c>
      <x:c r="U397" s="27" t="str"/>
      <x:c r="V397" s="27" t="str"/>
      <x:c r="W397" s="39" t="str"/>
      <x:c r="X397" s="39" t="str"/>
    </x:row>
    <x:row r="398">
      <x:c r="A398" s="27" t="str">
        <x:v>S22-SCI-01</x:v>
      </x:c>
      <x:c r="B398" s="37" t="n">
        <x:v>394</x:v>
      </x:c>
      <x:c r="C398" s="27" t="str">
        <x:v>S22</x:v>
      </x:c>
      <x:c r="D398" s="37" t="n">
        <x:v>22</x:v>
      </x:c>
      <x:c r="E398" s="27" t="str">
        <x:v>Grade 10</x:v>
      </x:c>
      <x:c r="F398" s="27" t="str">
        <x:v>10</x:v>
      </x:c>
      <x:c r="G398" s="27" t="str">
        <x:v>Geometry, chemistry, world history, and rhetoric</x:v>
      </x:c>
      <x:c r="H398" s="27" t="str">
        <x:v>Science &amp; Engineering</x:v>
      </x:c>
      <x:c r="I398" s="27" t="str">
        <x:v>Chemistry — atomic structure</x:v>
      </x:c>
      <x:c r="J398" s="27" t="str">
        <x:v>Atoms, electrons, periodic patterns, and bonding</x:v>
      </x:c>
      <x:c r="K398" s="27" t="str">
        <x:v>Using atomic models and periodic trends to explain element properties and ionic/covalent/metallic bonding at course-appropriate depth.</x:v>
      </x:c>
      <x:c r="L398" s="27" t="str">
        <x:v>Middle-school particle models, Algebra I functions, and energy ideas.</x:v>
      </x:c>
      <x:c r="M398" s="27" t="str">
        <x:v>S21-SCI-05</x:v>
      </x:c>
      <x:c r="N398" s="27" t="str">
        <x:v>G6/G7 — Evidence-based formal system demonstrated through authentic transfer</x:v>
      </x:c>
      <x:c r="O398" s="27" t="str">
        <x:v>Sensory observation and action; mathematics/data; reading/writing evidence; computing/models; health and environmental/civic decisions.</x:v>
      </x:c>
      <x:c r="P398" s="27" t="str">
        <x:v>Electron structure and bonding ground molecular properties and reactions.</x:v>
      </x:c>
      <x:c r="Q398" s="27" t="str">
        <x:v>S22-SCI-02</x:v>
      </x:c>
      <x:c r="R398" s="27" t="str">
        <x:v>Uses periodic/structural evidence to predict and explain a substance property.</x:v>
      </x:c>
      <x:c r="S398" s="27" t="str">
        <x:v>SRC11</x:v>
      </x:c>
      <x:c r="T398" s="27" t="str">
        <x:v>Development varies; use observed performance and appropriate supports rather than age alone.</x:v>
      </x:c>
      <x:c r="U398" s="27" t="str"/>
      <x:c r="V398" s="27" t="str"/>
      <x:c r="W398" s="39" t="str"/>
      <x:c r="X398" s="39" t="str"/>
    </x:row>
    <x:row r="399">
      <x:c r="A399" s="27" t="str">
        <x:v>S22-SCI-02</x:v>
      </x:c>
      <x:c r="B399" s="37" t="n">
        <x:v>395</x:v>
      </x:c>
      <x:c r="C399" s="27" t="str">
        <x:v>S22</x:v>
      </x:c>
      <x:c r="D399" s="37" t="n">
        <x:v>22</x:v>
      </x:c>
      <x:c r="E399" s="27" t="str">
        <x:v>Grade 10</x:v>
      </x:c>
      <x:c r="F399" s="27" t="str">
        <x:v>10</x:v>
      </x:c>
      <x:c r="G399" s="27" t="str">
        <x:v>Geometry, chemistry, world history, and rhetoric</x:v>
      </x:c>
      <x:c r="H399" s="27" t="str">
        <x:v>Science &amp; Engineering</x:v>
      </x:c>
      <x:c r="I399" s="27" t="str">
        <x:v>Chemistry — quantities</x:v>
      </x:c>
      <x:c r="J399" s="27" t="str">
        <x:v>Moles, formulas, equations, and stoichiometry</x:v>
      </x:c>
      <x:c r="K399" s="27" t="str">
        <x:v>Relating particles to moles/mass, determining formula relationships, balancing reactions, and using ratios to calculate reacting quantities/yields.</x:v>
      </x:c>
      <x:c r="L399" s="27" t="str">
        <x:v>Grade 5 conservation, Algebra I equations, ratios, and scientific notation.</x:v>
      </x:c>
      <x:c r="M399" s="27" t="str">
        <x:v>S22-SCI-01</x:v>
      </x:c>
      <x:c r="N399" s="27" t="str">
        <x:v>G6/G7 — Evidence-based formal system demonstrated through authentic transfer</x:v>
      </x:c>
      <x:c r="O399" s="27" t="str">
        <x:v>Sensory observation and action; mathematics/data; reading/writing evidence; computing/models; health and environmental/civic decisions.</x:v>
      </x:c>
      <x:c r="P399" s="27" t="str">
        <x:v>The mole bridges microscopic models to measurable laboratory quantities.</x:v>
      </x:c>
      <x:c r="Q399" s="27" t="str">
        <x:v>S22-SCI-03</x:v>
      </x:c>
      <x:c r="R399" s="27" t="str">
        <x:v>Completes and explains a stoichiometric chain with units and conservation checks.</x:v>
      </x:c>
      <x:c r="S399" s="27" t="str">
        <x:v>SRC11</x:v>
      </x:c>
      <x:c r="T399" s="27" t="str">
        <x:v>Development varies; use observed performance and appropriate supports rather than age alone.</x:v>
      </x:c>
      <x:c r="U399" s="27" t="str"/>
      <x:c r="V399" s="27" t="str"/>
      <x:c r="W399" s="39" t="str"/>
      <x:c r="X399" s="39" t="str"/>
    </x:row>
    <x:row r="400">
      <x:c r="A400" s="27" t="str">
        <x:v>S22-SCI-03</x:v>
      </x:c>
      <x:c r="B400" s="37" t="n">
        <x:v>396</x:v>
      </x:c>
      <x:c r="C400" s="27" t="str">
        <x:v>S22</x:v>
      </x:c>
      <x:c r="D400" s="37" t="n">
        <x:v>22</x:v>
      </x:c>
      <x:c r="E400" s="27" t="str">
        <x:v>Grade 10</x:v>
      </x:c>
      <x:c r="F400" s="27" t="str">
        <x:v>10</x:v>
      </x:c>
      <x:c r="G400" s="27" t="str">
        <x:v>Geometry, chemistry, world history, and rhetoric</x:v>
      </x:c>
      <x:c r="H400" s="27" t="str">
        <x:v>Science &amp; Engineering</x:v>
      </x:c>
      <x:c r="I400" s="27" t="str">
        <x:v>Chemistry — energy and rates</x:v>
      </x:c>
      <x:c r="J400" s="27" t="str">
        <x:v>Thermochemistry, collision models, and reaction rates</x:v>
      </x:c>
      <x:c r="K400" s="27" t="str">
        <x:v>Analyzing energy changes, bond rearrangement, activation barriers, concentration/temperature/surface/catalyst effects, and rate data.</x:v>
      </x:c>
      <x:c r="L400" s="27" t="str">
        <x:v>Particle/energy models, proportional/exponential graphs, and laboratory measurement.</x:v>
      </x:c>
      <x:c r="M400" s="27" t="str">
        <x:v>S22-SCI-02</x:v>
      </x:c>
      <x:c r="N400" s="27" t="str">
        <x:v>G6/G7 — Evidence-based formal system demonstrated through authentic transfer</x:v>
      </x:c>
      <x:c r="O400" s="27" t="str">
        <x:v>Sensory observation and action; mathematics/data; reading/writing evidence; computing/models; health and environmental/civic decisions.</x:v>
      </x:c>
      <x:c r="P400" s="27" t="str">
        <x:v>Mechanistic rate and energy models explain why reactions differ and how conditions control them.</x:v>
      </x:c>
      <x:c r="Q400" s="27" t="str">
        <x:v>S22-SCI-04</x:v>
      </x:c>
      <x:c r="R400" s="27" t="str">
        <x:v>Uses molecular reasoning and data to explain a rate or energy observation.</x:v>
      </x:c>
      <x:c r="S400" s="27" t="str">
        <x:v>SRC11</x:v>
      </x:c>
      <x:c r="T400" s="27" t="str">
        <x:v>Development varies; use observed performance and appropriate supports rather than age alone.</x:v>
      </x:c>
      <x:c r="U400" s="27" t="str"/>
      <x:c r="V400" s="27" t="str"/>
      <x:c r="W400" s="39" t="str"/>
      <x:c r="X400" s="39" t="str"/>
    </x:row>
    <x:row r="401">
      <x:c r="A401" s="27" t="str">
        <x:v>S22-SCI-04</x:v>
      </x:c>
      <x:c r="B401" s="37" t="n">
        <x:v>397</x:v>
      </x:c>
      <x:c r="C401" s="27" t="str">
        <x:v>S22</x:v>
      </x:c>
      <x:c r="D401" s="37" t="n">
        <x:v>22</x:v>
      </x:c>
      <x:c r="E401" s="27" t="str">
        <x:v>Grade 10</x:v>
      </x:c>
      <x:c r="F401" s="27" t="str">
        <x:v>10</x:v>
      </x:c>
      <x:c r="G401" s="27" t="str">
        <x:v>Geometry, chemistry, world history, and rhetoric</x:v>
      </x:c>
      <x:c r="H401" s="27" t="str">
        <x:v>Science &amp; Engineering</x:v>
      </x:c>
      <x:c r="I401" s="27" t="str">
        <x:v>Chemistry — equilibrium and acid-base</x:v>
      </x:c>
      <x:c r="J401" s="27" t="str">
        <x:v>Dynamic equilibrium, Le Châtelier reasoning, acids/bases, and solutions</x:v>
      </x:c>
      <x:c r="K401" s="27" t="str">
        <x:v>Modeling opposing processes, predicting responses to disturbances, and analyzing solution concentration and acid-base behavior at course-appropriate depth.</x:v>
      </x:c>
      <x:c r="L401" s="27" t="str">
        <x:v>Reaction models, ratios, algebraic relationships, and particle interactions.</x:v>
      </x:c>
      <x:c r="M401" s="27" t="str">
        <x:v>S22-SCI-03</x:v>
      </x:c>
      <x:c r="N401" s="27" t="str">
        <x:v>G6/G7 — Evidence-based formal system demonstrated through authentic transfer</x:v>
      </x:c>
      <x:c r="O401" s="27" t="str">
        <x:v>Sensory observation and action; mathematics/data; reading/writing evidence; computing/models; health and environmental/civic decisions.</x:v>
      </x:c>
      <x:c r="P401" s="27" t="str">
        <x:v>Dynamic balance and concentration reasoning prepare advanced chemistry/biology/environmental systems.</x:v>
      </x:c>
      <x:c r="Q401" s="27" t="str">
        <x:v>S22-SCI-05</x:v>
      </x:c>
      <x:c r="R401" s="27" t="str">
        <x:v>Predicts a system response and connects symbolic, particle, and observable representations.</x:v>
      </x:c>
      <x:c r="S401" s="27" t="str">
        <x:v>SRC11</x:v>
      </x:c>
      <x:c r="T401" s="27" t="str">
        <x:v>Development varies; use observed performance and appropriate supports rather than age alone.</x:v>
      </x:c>
      <x:c r="U401" s="27" t="str"/>
      <x:c r="V401" s="27" t="str"/>
      <x:c r="W401" s="39" t="str"/>
      <x:c r="X401" s="39" t="str"/>
    </x:row>
    <x:row r="402">
      <x:c r="A402" s="27" t="str">
        <x:v>S22-SCI-05</x:v>
      </x:c>
      <x:c r="B402" s="37" t="n">
        <x:v>398</x:v>
      </x:c>
      <x:c r="C402" s="27" t="str">
        <x:v>S22</x:v>
      </x:c>
      <x:c r="D402" s="37" t="n">
        <x:v>22</x:v>
      </x:c>
      <x:c r="E402" s="27" t="str">
        <x:v>Grade 10</x:v>
      </x:c>
      <x:c r="F402" s="27" t="str">
        <x:v>10</x:v>
      </x:c>
      <x:c r="G402" s="27" t="str">
        <x:v>Geometry, chemistry, world history, and rhetoric</x:v>
      </x:c>
      <x:c r="H402" s="27" t="str">
        <x:v>Science &amp; Engineering</x:v>
      </x:c>
      <x:c r="I402" s="27" t="str">
        <x:v>Laboratory practice</x:v>
      </x:c>
      <x:c r="J402" s="27" t="str">
        <x:v>Measurement, uncertainty, controls, and safety</x:v>
      </x:c>
      <x:c r="K402" s="27" t="str">
        <x:v>Designing controlled procedures, using instruments safely, recording units/precision, analyzing uncertainty, and reporting reproducible results.</x:v>
      </x:c>
      <x:c r="L402" s="27" t="str">
        <x:v>Middle-school fair tests, statistics, research method, and ethical responsibility.</x:v>
      </x:c>
      <x:c r="M402" s="27" t="str">
        <x:v>S22-SCI-04</x:v>
      </x:c>
      <x:c r="N402" s="27" t="str">
        <x:v>G6/G7 — Evidence-based formal system demonstrated through authentic transfer</x:v>
      </x:c>
      <x:c r="O402" s="27" t="str">
        <x:v>Sensory observation and action; mathematics/data; reading/writing evidence; computing/models; health and environmental/civic decisions.</x:v>
      </x:c>
      <x:c r="P402" s="27" t="str">
        <x:v>Reliable measurement and transparent method ground scientific claims.</x:v>
      </x:c>
      <x:c r="Q402" s="27" t="str">
        <x:v>S23-SCI-01</x:v>
      </x:c>
      <x:c r="R402" s="27" t="str">
        <x:v>Produces a complete lab record with controls, uncertainty, evidence-based conclusion, and safety compliance.</x:v>
      </x:c>
      <x:c r="S402" s="27" t="str">
        <x:v>SRC11</x:v>
      </x:c>
      <x:c r="T402" s="27" t="str">
        <x:v>Development varies; use observed performance and appropriate supports rather than age alone.</x:v>
      </x:c>
      <x:c r="U402" s="27" t="str"/>
      <x:c r="V402" s="27" t="str"/>
      <x:c r="W402" s="39" t="str"/>
      <x:c r="X402" s="39" t="str"/>
    </x:row>
    <x:row r="403">
      <x:c r="A403" s="27" t="str">
        <x:v>S22-SST-01</x:v>
      </x:c>
      <x:c r="B403" s="37" t="n">
        <x:v>399</x:v>
      </x:c>
      <x:c r="C403" s="27" t="str">
        <x:v>S22</x:v>
      </x:c>
      <x:c r="D403" s="37" t="n">
        <x:v>22</x:v>
      </x:c>
      <x:c r="E403" s="27" t="str">
        <x:v>Grade 10</x:v>
      </x:c>
      <x:c r="F403" s="27" t="str">
        <x:v>10</x:v>
      </x:c>
      <x:c r="G403" s="27" t="str">
        <x:v>Geometry, chemistry, world history, and rhetoric</x:v>
      </x:c>
      <x:c r="H403" s="27" t="str">
        <x:v>Social Studies</x:v>
      </x:c>
      <x:c r="I403" s="27" t="str">
        <x:v>World history</x:v>
      </x:c>
      <x:c r="J403" s="27" t="str">
        <x:v>Modern states, industrialization, imperialism, wars, decolonization, and globalization</x:v>
      </x:c>
      <x:c r="K403" s="27" t="str">
        <x:v>Analyzing ideologies, institutions, economies, technologies, mass violence, resistance, rights movements, decolonization, and global systems through diverse sources.</x:v>
      </x:c>
      <x:c r="L403" s="27" t="str">
        <x:v>Grade 9 world systems, causal/context tools, and rhetorical analysis.</x:v>
      </x:c>
      <x:c r="M403" s="27" t="str">
        <x:v>S21-SST-02</x:v>
      </x:c>
      <x:c r="N403" s="27" t="str">
        <x:v>G6/G7 — Evidence-based formal system demonstrated through authentic transfer</x:v>
      </x:c>
      <x:c r="O403" s="27" t="str">
        <x:v>Language/literacy and source evidence; maps/data/economics; ethics/SEL; media literacy; arts/culture; civic action.</x:v>
      </x:c>
      <x:c r="P403" s="27" t="str">
        <x:v>Modern world history supplies context for current institutions, conflicts, and global interdependence.</x:v>
      </x:c>
      <x:c r="Q403" s="27" t="str">
        <x:v>S22-SST-02</x:v>
      </x:c>
      <x:c r="R403" s="27" t="str">
        <x:v>Develops a comparative causal argument using primary/secondary evidence and affected perspectives.</x:v>
      </x:c>
      <x:c r="S403" s="27" t="str">
        <x:v>SRC12; SRC24</x:v>
      </x:c>
      <x:c r="T403" s="27" t="str">
        <x:v>Development varies; use observed performance and appropriate supports rather than age alone.</x:v>
      </x:c>
      <x:c r="U403" s="27" t="str"/>
      <x:c r="V403" s="27" t="str"/>
      <x:c r="W403" s="39" t="str"/>
      <x:c r="X403" s="39" t="str"/>
    </x:row>
    <x:row r="404">
      <x:c r="A404" s="27" t="str">
        <x:v>S22-SST-02</x:v>
      </x:c>
      <x:c r="B404" s="37" t="n">
        <x:v>400</x:v>
      </x:c>
      <x:c r="C404" s="27" t="str">
        <x:v>S22</x:v>
      </x:c>
      <x:c r="D404" s="37" t="n">
        <x:v>22</x:v>
      </x:c>
      <x:c r="E404" s="27" t="str">
        <x:v>Grade 10</x:v>
      </x:c>
      <x:c r="F404" s="27" t="str">
        <x:v>10</x:v>
      </x:c>
      <x:c r="G404" s="27" t="str">
        <x:v>Geometry, chemistry, world history, and rhetoric</x:v>
      </x:c>
      <x:c r="H404" s="27" t="str">
        <x:v>Social Studies</x:v>
      </x:c>
      <x:c r="I404" s="27" t="str">
        <x:v>Source methods</x:v>
      </x:c>
      <x:c r="J404" s="27" t="str">
        <x:v>Corroboration, sourcing, contextualization, and silence</x:v>
      </x:c>
      <x:c r="K404" s="27" t="str">
        <x:v>Evaluating who created a source, when/where/why, how it aligns/conflicts with other evidence, and whose experiences or records are absent.</x:v>
      </x:c>
      <x:c r="L404" s="27" t="str">
        <x:v>Grade 9 source conversation, media omission analysis, and ethical reasoning.</x:v>
      </x:c>
      <x:c r="M404" s="27" t="str">
        <x:v>S22-SST-01</x:v>
      </x:c>
      <x:c r="N404" s="27" t="str">
        <x:v>G6/G7 — Evidence-based formal system demonstrated through authentic transfer</x:v>
      </x:c>
      <x:c r="O404" s="27" t="str">
        <x:v>Language/literacy and source evidence; maps/data/economics; ethics/SEL; media literacy; arts/culture; civic action.</x:v>
      </x:c>
      <x:c r="P404" s="27" t="str">
        <x:v>Source method determines the warranted historical claim and exposes limits of the record.</x:v>
      </x:c>
      <x:c r="Q404" s="27" t="str">
        <x:v>S23-SST-01</x:v>
      </x:c>
      <x:c r="R404" s="27" t="str">
        <x:v>Creates a source analysis that affects—not merely accompanies—the final conclusion.</x:v>
      </x:c>
      <x:c r="S404" s="27" t="str">
        <x:v>SRC12; SRC20</x:v>
      </x:c>
      <x:c r="T404" s="27" t="str">
        <x:v>Development varies; use observed performance and appropriate supports rather than age alone.</x:v>
      </x:c>
      <x:c r="U404" s="27" t="str"/>
      <x:c r="V404" s="27" t="str"/>
      <x:c r="W404" s="39" t="str"/>
      <x:c r="X404" s="39" t="str"/>
    </x:row>
    <x:row r="405">
      <x:c r="A405" s="27" t="str">
        <x:v>S22-ARTS-01</x:v>
      </x:c>
      <x:c r="B405" s="37" t="n">
        <x:v>401</x:v>
      </x:c>
      <x:c r="C405" s="27" t="str">
        <x:v>S22</x:v>
      </x:c>
      <x:c r="D405" s="37" t="n">
        <x:v>22</x:v>
      </x:c>
      <x:c r="E405" s="27" t="str">
        <x:v>Grade 10</x:v>
      </x:c>
      <x:c r="F405" s="27" t="str">
        <x:v>10</x:v>
      </x:c>
      <x:c r="G405" s="27" t="str">
        <x:v>Geometry, chemistry, world history, and rhetoric</x:v>
      </x:c>
      <x:c r="H405" s="27" t="str">
        <x:v>Music &amp; Arts</x:v>
      </x:c>
      <x:c r="I405" s="27" t="str">
        <x:v>Arts specialization</x:v>
      </x:c>
      <x:c r="J405" s="27" t="str">
        <x:v>Technique, theory, portfolio, and critique</x:v>
      </x:c>
      <x:c r="K405" s="27" t="str">
        <x:v>Deepening a chosen performance/visual/theater/dance/media pathway through technical practice, theory/design vocabulary, iterative creation, critique, and contextual research.</x:v>
      </x:c>
      <x:c r="L405" s="27" t="str">
        <x:v>Grade 9 proficient arts process and schema/refinement cycles.</x:v>
      </x:c>
      <x:c r="M405" s="27" t="str">
        <x:v>S21-ARTS-01</x:v>
      </x:c>
      <x:c r="N405" s="27" t="str">
        <x:v>G6/G7 — Evidence-based formal system demonstrated through authentic transfer</x:v>
      </x:c>
      <x:c r="O405" s="27" t="str">
        <x:v>Sensory discrimination; motor timing; language/prosody; mathematics/pattern; history/culture; emotion, design, and technology.</x:v>
      </x:c>
      <x:c r="P405" s="27" t="str">
        <x:v>Specialization combines fluency, deliberate practice, authorship, and informed critique.</x:v>
      </x:c>
      <x:c r="Q405" s="27" t="str">
        <x:v>S23-ARTS-01</x:v>
      </x:c>
      <x:c r="R405" s="27" t="str">
        <x:v>Presents a coherent portfolio/performance and defends revisions using field-specific criteria.</x:v>
      </x:c>
      <x:c r="S405" s="27" t="str">
        <x:v>SRC13</x:v>
      </x:c>
      <x:c r="T405" s="27" t="str">
        <x:v>Development varies; use observed performance and appropriate supports rather than age alone.</x:v>
      </x:c>
      <x:c r="U405" s="27" t="str"/>
      <x:c r="V405" s="27" t="str"/>
      <x:c r="W405" s="39" t="str"/>
      <x:c r="X405" s="39" t="str"/>
    </x:row>
    <x:row r="406">
      <x:c r="A406" s="27" t="str">
        <x:v>S22-HLTH-01</x:v>
      </x:c>
      <x:c r="B406" s="37" t="n">
        <x:v>402</x:v>
      </x:c>
      <x:c r="C406" s="27" t="str">
        <x:v>S22</x:v>
      </x:c>
      <x:c r="D406" s="37" t="n">
        <x:v>22</x:v>
      </x:c>
      <x:c r="E406" s="27" t="str">
        <x:v>Grade 10</x:v>
      </x:c>
      <x:c r="F406" s="27" t="str">
        <x:v>10</x:v>
      </x:c>
      <x:c r="G406" s="27" t="str">
        <x:v>Geometry, chemistry, world history, and rhetoric</x:v>
      </x:c>
      <x:c r="H406" s="27" t="str">
        <x:v>Physical &amp; Health</x:v>
      </x:c>
      <x:c r="I406" s="27" t="str">
        <x:v>Health literacy</x:v>
      </x:c>
      <x:c r="J406" s="27" t="str">
        <x:v>Sexual health, substance decisions, safety, and public health</x:v>
      </x:c>
      <x:c r="K406" s="27" t="str">
        <x:v>Using medically reliable information and legal/ethical context to make protective decisions involving sexual health, substances, violence/injury prevention, communicable disease, and community health.</x:v>
      </x:c>
      <x:c r="L406" s="27" t="str">
        <x:v>Grade 9 wellness systems, research reliability, consent/communication, and ethical reasoning.</x:v>
      </x:c>
      <x:c r="M406" s="27" t="str">
        <x:v>S21-HLTH-01</x:v>
      </x:c>
      <x:c r="N406" s="27" t="str">
        <x:v>G6/G7 — Evidence-based formal system demonstrated through authentic transfer</x:v>
      </x:c>
      <x:c r="O406" s="27" t="str">
        <x:v>Motor/sensory development; life science; measurement/data; SEL/self-management; communication, safety, and decision-making.</x:v>
      </x:c>
      <x:c r="P406" s="27" t="str">
        <x:v>Scenario-based health literacy connects accurate knowledge to action and services.</x:v>
      </x:c>
      <x:c r="Q406" s="27" t="str">
        <x:v>S23-HLTH-01</x:v>
      </x:c>
      <x:c r="R406" s="27" t="str">
        <x:v>Evaluates a scenario, verifies a source, selects a protective action, and identifies appropriate services.</x:v>
      </x:c>
      <x:c r="S406" s="27" t="str">
        <x:v>SRC15</x:v>
      </x:c>
      <x:c r="T406" s="27" t="str">
        <x:v>Development varies; use observed performance and appropriate supports rather than age alone.</x:v>
      </x:c>
      <x:c r="U406" s="27" t="str"/>
      <x:c r="V406" s="27" t="str"/>
      <x:c r="W406" s="39" t="str"/>
      <x:c r="X406" s="39" t="str"/>
    </x:row>
    <x:row r="407">
      <x:c r="A407" s="27" t="str">
        <x:v>S22-COMP-01</x:v>
      </x:c>
      <x:c r="B407" s="37" t="n">
        <x:v>403</x:v>
      </x:c>
      <x:c r="C407" s="27" t="str">
        <x:v>S22</x:v>
      </x:c>
      <x:c r="D407" s="37" t="n">
        <x:v>22</x:v>
      </x:c>
      <x:c r="E407" s="27" t="str">
        <x:v>Grade 10</x:v>
      </x:c>
      <x:c r="F407" s="27" t="str">
        <x:v>10</x:v>
      </x:c>
      <x:c r="G407" s="27" t="str">
        <x:v>Geometry, chemistry, world history, and rhetoric</x:v>
      </x:c>
      <x:c r="H407" s="27" t="str">
        <x:v>Computing &amp; Media</x:v>
      </x:c>
      <x:c r="I407" s="27" t="str">
        <x:v>Computer science</x:v>
      </x:c>
      <x:c r="J407" s="27" t="str">
        <x:v>Object/data abstractions and software engineering</x:v>
      </x:c>
      <x:c r="K407" s="27" t="str">
        <x:v>Using classes/objects or comparable abstractions, structured data, modular architecture, tests, documentation, source control, and user-centered design.</x:v>
      </x:c>
      <x:c r="L407" s="27" t="str">
        <x:v>Grade 9 program design/functions/data and project workload systems.</x:v>
      </x:c>
      <x:c r="M407" s="27" t="str">
        <x:v>S21-COMP-01</x:v>
      </x:c>
      <x:c r="N407" s="27" t="str">
        <x:v>G6/G7 — Evidence-based formal system demonstrated through authentic transfer</x:v>
      </x:c>
      <x:c r="O407" s="27" t="str">
        <x:v>Mathematics/logic/data; language and media evidence; science/engineering models; art/design; civics, privacy, finance, and ethics.</x:v>
      </x:c>
      <x:c r="P407" s="27" t="str">
        <x:v>Software engineering practices make complex programs maintainable and collaborative.</x:v>
      </x:c>
      <x:c r="Q407" s="27" t="str">
        <x:v>S22-COMP-02</x:v>
      </x:c>
      <x:c r="R407" s="27" t="str">
        <x:v>Delivers tested software with architecture rationale, version history, documentation, and user feedback revision.</x:v>
      </x:c>
      <x:c r="S407" s="27" t="str">
        <x:v>SRC16</x:v>
      </x:c>
      <x:c r="T407" s="27" t="str">
        <x:v>Development varies; use observed performance and appropriate supports rather than age alone.</x:v>
      </x:c>
      <x:c r="U407" s="27" t="str"/>
      <x:c r="V407" s="27" t="str"/>
      <x:c r="W407" s="39" t="str"/>
      <x:c r="X407" s="39" t="str"/>
    </x:row>
    <x:row r="408">
      <x:c r="A408" s="27" t="str">
        <x:v>S22-COMP-02</x:v>
      </x:c>
      <x:c r="B408" s="37" t="n">
        <x:v>404</x:v>
      </x:c>
      <x:c r="C408" s="27" t="str">
        <x:v>S22</x:v>
      </x:c>
      <x:c r="D408" s="37" t="n">
        <x:v>22</x:v>
      </x:c>
      <x:c r="E408" s="27" t="str">
        <x:v>Grade 10</x:v>
      </x:c>
      <x:c r="F408" s="27" t="str">
        <x:v>10</x:v>
      </x:c>
      <x:c r="G408" s="27" t="str">
        <x:v>Geometry, chemistry, world history, and rhetoric</x:v>
      </x:c>
      <x:c r="H408" s="27" t="str">
        <x:v>Computing &amp; Media</x:v>
      </x:c>
      <x:c r="I408" s="27" t="str">
        <x:v>Cybersecurity and society</x:v>
      </x:c>
      <x:c r="J408" s="27" t="str">
        <x:v>Threat models, cryptographic concepts, policy, and equity</x:v>
      </x:c>
      <x:c r="K408" s="27" t="str">
        <x:v>Identifying assets/adversaries/attack surfaces, explaining confidentiality-integrity-availability and encryption concepts, and evaluating policy/equity impacts.</x:v>
      </x:c>
      <x:c r="L408" s="27" t="str">
        <x:v>Grade 8 cybersecurity, Algebra logic, and ethical stakeholder analysis.</x:v>
      </x:c>
      <x:c r="M408" s="27" t="str">
        <x:v>S22-COMP-01</x:v>
      </x:c>
      <x:c r="N408" s="27" t="str">
        <x:v>G6/G7 — Evidence-based formal system demonstrated through authentic transfer</x:v>
      </x:c>
      <x:c r="O408" s="27" t="str">
        <x:v>Mathematics/logic/data; language and media evidence; science/engineering models; art/design; civics, privacy, finance, and ethics.</x:v>
      </x:c>
      <x:c r="P408" s="27" t="str">
        <x:v>Threat models connect technical controls to human, legal, and social systems.</x:v>
      </x:c>
      <x:c r="Q408" s="27" t="str">
        <x:v>S23-COMP-01</x:v>
      </x:c>
      <x:c r="R408" s="27" t="str">
        <x:v>Creates a threat model and recommends layered controls with impact/tradeoff analysis.</x:v>
      </x:c>
      <x:c r="S408" s="27" t="str">
        <x:v>SRC16</x:v>
      </x:c>
      <x:c r="T408" s="27" t="str">
        <x:v>Development varies; use observed performance and appropriate supports rather than age alone.</x:v>
      </x:c>
      <x:c r="U408" s="27" t="str"/>
      <x:c r="V408" s="27" t="str"/>
      <x:c r="W408" s="39" t="str"/>
      <x:c r="X408" s="39" t="str"/>
    </x:row>
    <x:row r="409">
      <x:c r="A409" s="27" t="str">
        <x:v>S22-WLANG-01</x:v>
      </x:c>
      <x:c r="B409" s="37" t="n">
        <x:v>405</x:v>
      </x:c>
      <x:c r="C409" s="27" t="str">
        <x:v>S22</x:v>
      </x:c>
      <x:c r="D409" s="37" t="n">
        <x:v>22</x:v>
      </x:c>
      <x:c r="E409" s="27" t="str">
        <x:v>Grade 10</x:v>
      </x:c>
      <x:c r="F409" s="27" t="str">
        <x:v>10</x:v>
      </x:c>
      <x:c r="G409" s="27" t="str">
        <x:v>Geometry, chemistry, world history, and rhetoric</x:v>
      </x:c>
      <x:c r="H409" s="27" t="str">
        <x:v>World Languages</x:v>
      </x:c>
      <x:c r="I409" s="27" t="str">
        <x:v>Proficiency</x:v>
      </x:c>
      <x:c r="J409" s="27" t="str">
        <x:v>Intermediate-high emerging paragraph discourse</x:v>
      </x:c>
      <x:c r="K409" s="27" t="str">
        <x:v>Handling common situations, narrating/describing in connected paragraphs with growing time-frame control, interpreting authentic sources, and supporting cultural comparisons.</x:v>
      </x:c>
      <x:c r="L409" s="27" t="str">
        <x:v>Grade 9 intermediate communication and rhetorical structures.</x:v>
      </x:c>
      <x:c r="M409" s="27" t="str">
        <x:v>S21-WLANG-01</x:v>
      </x:c>
      <x:c r="N409" s="27" t="str">
        <x:v>G6/G7 — Evidence-based formal system demonstrated through authentic transfer</x:v>
      </x:c>
      <x:c r="O409" s="27" t="str">
        <x:v>Oral language, reading, and writing; memory/retrieval; social interaction; history/geography/arts; intercultural perspective.</x:v>
      </x:c>
      <x:c r="P409" s="27" t="str">
        <x:v>Paragraph-level discourse prepares advanced-low proficiency and academic/professional use.</x:v>
      </x:c>
      <x:c r="Q409" s="27" t="str">
        <x:v>S23-WLANG-01</x:v>
      </x:c>
      <x:c r="R409" s="27" t="str">
        <x:v>Sustains an unrehearsed interaction and produces comprehensible paragraph-level narration/explanation.</x:v>
      </x:c>
      <x:c r="S409" s="27" t="str">
        <x:v>SRC17</x:v>
      </x:c>
      <x:c r="T409" s="27" t="str">
        <x:v>Use proficiency evidence and exposure history for placement.</x:v>
      </x:c>
      <x:c r="U409" s="27" t="str"/>
      <x:c r="V409" s="27" t="str"/>
      <x:c r="W409" s="39" t="str"/>
      <x:c r="X409" s="39" t="str"/>
    </x:row>
    <x:row r="410">
      <x:c r="A410" s="27" t="str">
        <x:v>S22-LIFE-01</x:v>
      </x:c>
      <x:c r="B410" s="37" t="n">
        <x:v>406</x:v>
      </x:c>
      <x:c r="C410" s="27" t="str">
        <x:v>S22</x:v>
      </x:c>
      <x:c r="D410" s="37" t="n">
        <x:v>22</x:v>
      </x:c>
      <x:c r="E410" s="27" t="str">
        <x:v>Grade 10</x:v>
      </x:c>
      <x:c r="F410" s="27" t="str">
        <x:v>10</x:v>
      </x:c>
      <x:c r="G410" s="27" t="str">
        <x:v>Geometry, chemistry, world history, and rhetoric</x:v>
      </x:c>
      <x:c r="H410" s="27" t="str">
        <x:v>Life, Finance &amp; Career</x:v>
      </x:c>
      <x:c r="I410" s="27" t="str">
        <x:v>Personal finance</x:v>
      </x:c>
      <x:c r="J410" s="27" t="str">
        <x:v>Credit reports/scores, loans, insurance, and contracts</x:v>
      </x:c>
      <x:c r="K410" s="27" t="str">
        <x:v>Comparing APR, fees, term, collateral, total repayment, credit-report factors, insurance coverage/deductibles, and key contract obligations.</x:v>
      </x:c>
      <x:c r="L410" s="27" t="str">
        <x:v>Grade 9 income/budget, Algebra I functions, percent growth, and source reliability.</x:v>
      </x:c>
      <x:c r="M410" s="27" t="str">
        <x:v>S21-LIFE-01</x:v>
      </x:c>
      <x:c r="N410" s="27" t="str">
        <x:v>G6/G7 — Evidence-based formal system demonstrated through authentic transfer</x:v>
      </x:c>
      <x:c r="O410" s="27" t="str">
        <x:v>Mathematics/percent/growth; economics/civics; reading contracts/sources; computing/privacy; SEL, planning, and risk decisions.</x:v>
      </x:c>
      <x:c r="P410" s="27" t="str">
        <x:v>Total-cost and risk-transfer analysis prepares major adult commitments.</x:v>
      </x:c>
      <x:c r="Q410" s="27" t="str">
        <x:v>S23-LIFE-01</x:v>
      </x:c>
      <x:c r="R410" s="27" t="str">
        <x:v>Builds an amortized or total-cost comparison and identifies material contract/coverage risks.</x:v>
      </x:c>
      <x:c r="S410" s="27" t="str">
        <x:v>SRC19</x:v>
      </x:c>
      <x:c r="T410" s="27" t="str">
        <x:v>Development varies; use observed performance and appropriate supports rather than age alone.</x:v>
      </x:c>
      <x:c r="U410" s="27" t="str"/>
      <x:c r="V410" s="27" t="str"/>
      <x:c r="W410" s="39" t="str"/>
      <x:c r="X410" s="39" t="str"/>
    </x:row>
    <x:row r="411">
      <x:c r="A411" s="27" t="str">
        <x:v>S23-LEARN-01</x:v>
      </x:c>
      <x:c r="B411" s="37" t="n">
        <x:v>407</x:v>
      </x:c>
      <x:c r="C411" s="27" t="str">
        <x:v>S23</x:v>
      </x:c>
      <x:c r="D411" s="37" t="n">
        <x:v>23</x:v>
      </x:c>
      <x:c r="E411" s="27" t="str">
        <x:v>Grade 11</x:v>
      </x:c>
      <x:c r="F411" s="27" t="str">
        <x:v>11</x:v>
      </x:c>
      <x:c r="G411" s="27" t="str">
        <x:v>Algebra II, physics, U.S. history, and research</x:v>
      </x:c>
      <x:c r="H411" s="27" t="str">
        <x:v>Learning Foundations</x:v>
      </x:c>
      <x:c r="I411" s="27" t="str">
        <x:v>Expertise development</x:v>
      </x:c>
      <x:c r="J411" s="27" t="str">
        <x:v>Deliberate practice and feedback loops</x:v>
      </x:c>
      <x:c r="K411" s="27" t="str">
        <x:v>Selecting a narrowly defined performance weakness, practicing at the edge of reliable ability, receiving rapid specific feedback, and repeating with measured adjustment.</x:v>
      </x:c>
      <x:c r="L411" s="27" t="str">
        <x:v>Schema building, mastery progression, workload systems, and error classification.</x:v>
      </x:c>
      <x:c r="M411" s="27" t="str">
        <x:v>S22-LEARN-01</x:v>
      </x:c>
      <x:c r="N411" s="27" t="str">
        <x:v>G6/G7 — Evidence-based formal system demonstrated through authentic transfer</x:v>
      </x:c>
      <x:c r="O411" s="27" t="str">
        <x:v>All domains: attention, memory, strategy choice, monitoring, retrieval, and transfer.</x:v>
      </x:c>
      <x:c r="P411" s="27" t="str">
        <x:v>Targeted practice improves the limiting component while preserving the full performance context.</x:v>
      </x:c>
      <x:c r="Q411" s="27" t="str">
        <x:v>S24-LEARN-01</x:v>
      </x:c>
      <x:c r="R411" s="27" t="str">
        <x:v>Documents baseline, target, practice trials, feedback-driven changes, and delayed performance.</x:v>
      </x:c>
      <x:c r="S411" s="27" t="str">
        <x:v>SRC23; SRC29; SRC34</x:v>
      </x:c>
      <x:c r="T411" s="27" t="str">
        <x:v>Development varies; use observed performance and appropriate supports rather than age alone.</x:v>
      </x:c>
      <x:c r="U411" s="27" t="str"/>
      <x:c r="V411" s="27" t="str"/>
      <x:c r="W411" s="39" t="str"/>
      <x:c r="X411" s="39" t="str"/>
    </x:row>
    <x:row r="412">
      <x:c r="A412" s="27" t="str">
        <x:v>S23-SEL-01</x:v>
      </x:c>
      <x:c r="B412" s="37" t="n">
        <x:v>408</x:v>
      </x:c>
      <x:c r="C412" s="27" t="str">
        <x:v>S23</x:v>
      </x:c>
      <x:c r="D412" s="37" t="n">
        <x:v>23</x:v>
      </x:c>
      <x:c r="E412" s="27" t="str">
        <x:v>Grade 11</x:v>
      </x:c>
      <x:c r="F412" s="27" t="str">
        <x:v>11</x:v>
      </x:c>
      <x:c r="G412" s="27" t="str">
        <x:v>Algebra II, physics, U.S. history, and research</x:v>
      </x:c>
      <x:c r="H412" s="27" t="str">
        <x:v>Social-Emotional</x:v>
      </x:c>
      <x:c r="I412" s="27" t="str">
        <x:v>Civic/professional agency</x:v>
      </x:c>
      <x:c r="J412" s="27" t="str">
        <x:v>Conflict, negotiation, and accountable leadership</x:v>
      </x:c>
      <x:c r="K412" s="27" t="str">
        <x:v>Separating positions from interests, using evidence and listening, negotiating options/criteria, documenting commitments, and reflecting on power/impact.</x:v>
      </x:c>
      <x:c r="L412" s="27" t="str">
        <x:v>Grade 10 stakeholder ethics, Grade 9 workload systems, and consensus skills.</x:v>
      </x:c>
      <x:c r="M412" s="27" t="str">
        <x:v>S22-SEL-01</x:v>
      </x:c>
      <x:c r="N412" s="27" t="str">
        <x:v>G6/G7 — Evidence-based formal system demonstrated through authentic transfer</x:v>
      </x:c>
      <x:c r="O412" s="27" t="str">
        <x:v>Language and communication; health; collaboration in science, arts, civics, and projects; responsible digital/financial decisions.</x:v>
      </x:c>
      <x:c r="P412" s="27" t="str">
        <x:v>Accountable negotiation supports leadership in projects, workplaces, communities, and relationships.</x:v>
      </x:c>
      <x:c r="Q412" s="27" t="str">
        <x:v>S24-SEL-01</x:v>
      </x:c>
      <x:c r="R412" s="27" t="str">
        <x:v>Reaches or evaluates an agreement with explicit interests, criteria, responsibilities, and review conditions.</x:v>
      </x:c>
      <x:c r="S412" s="27" t="str">
        <x:v>SRC18</x:v>
      </x:c>
      <x:c r="T412" s="27" t="str">
        <x:v>Development varies; use observed performance and appropriate supports rather than age alone.</x:v>
      </x:c>
      <x:c r="U412" s="27" t="str"/>
      <x:c r="V412" s="27" t="str"/>
      <x:c r="W412" s="39" t="str"/>
      <x:c r="X412" s="39" t="str"/>
    </x:row>
    <x:row r="413">
      <x:c r="A413" s="27" t="str">
        <x:v>S23-READ-01</x:v>
      </x:c>
      <x:c r="B413" s="37" t="n">
        <x:v>409</x:v>
      </x:c>
      <x:c r="C413" s="27" t="str">
        <x:v>S23</x:v>
      </x:c>
      <x:c r="D413" s="37" t="n">
        <x:v>23</x:v>
      </x:c>
      <x:c r="E413" s="27" t="str">
        <x:v>Grade 11</x:v>
      </x:c>
      <x:c r="F413" s="27" t="str">
        <x:v>11</x:v>
      </x:c>
      <x:c r="G413" s="27" t="str">
        <x:v>Algebra II, physics, U.S. history, and research</x:v>
      </x:c>
      <x:c r="H413" s="27" t="str">
        <x:v>Reading</x:v>
      </x:c>
      <x:c r="I413" s="27" t="str">
        <x:v>American/world literature</x:v>
      </x:c>
      <x:c r="J413" s="27" t="str">
        <x:v>Literary movements, context, and critical lenses</x:v>
      </x:c>
      <x:c r="K413" s="27" t="str">
        <x:v>Analyzing works through historical/cultural context and suitable lenses such as formal, rhetorical, social, psychological, or comparative approaches while grounding claims in text.</x:v>
      </x:c>
      <x:c r="L413" s="27" t="str">
        <x:v>Grade 10 genre/context and thesis analysis.</x:v>
      </x:c>
      <x:c r="M413" s="27" t="str">
        <x:v>S22-READ-02</x:v>
      </x:c>
      <x:c r="N413" s="27" t="str">
        <x:v>G6/G7 — Evidence-based formal system demonstrated through authentic transfer</x:v>
      </x:c>
      <x:c r="O413" s="27" t="str">
        <x:v>Oral language and writing; evidence in science/social studies; mathematical and technical problem interpretation; media verification.</x:v>
      </x:c>
      <x:c r="P413" s="27" t="str">
        <x:v>Multiple lenses reveal how questions and assumptions shape interpretation.</x:v>
      </x:c>
      <x:c r="Q413" s="27" t="str">
        <x:v>S23-READ-02</x:v>
      </x:c>
      <x:c r="R413" s="27" t="str">
        <x:v>Applies two lenses to the same evidence and evaluates what each explains.</x:v>
      </x:c>
      <x:c r="S413" s="27" t="str">
        <x:v>SRC10</x:v>
      </x:c>
      <x:c r="T413" s="27" t="str">
        <x:v>Development varies; use observed performance and appropriate supports rather than age alone.</x:v>
      </x:c>
      <x:c r="U413" s="27" t="str"/>
      <x:c r="V413" s="27" t="str"/>
      <x:c r="W413" s="39" t="str"/>
      <x:c r="X413" s="39" t="str"/>
    </x:row>
    <x:row r="414">
      <x:c r="A414" s="27" t="str">
        <x:v>S23-READ-02</x:v>
      </x:c>
      <x:c r="B414" s="37" t="n">
        <x:v>410</x:v>
      </x:c>
      <x:c r="C414" s="27" t="str">
        <x:v>S23</x:v>
      </x:c>
      <x:c r="D414" s="37" t="n">
        <x:v>23</x:v>
      </x:c>
      <x:c r="E414" s="27" t="str">
        <x:v>Grade 11</x:v>
      </x:c>
      <x:c r="F414" s="27" t="str">
        <x:v>11</x:v>
      </x:c>
      <x:c r="G414" s="27" t="str">
        <x:v>Algebra II, physics, U.S. history, and research</x:v>
      </x:c>
      <x:c r="H414" s="27" t="str">
        <x:v>Reading</x:v>
      </x:c>
      <x:c r="I414" s="27" t="str">
        <x:v>Advanced argument</x:v>
      </x:c>
      <x:c r="J414" s="27" t="str">
        <x:v>Assumptions, warrants, evidence hierarchy, and uncertainty</x:v>
      </x:c>
      <x:c r="K414" s="27" t="str">
        <x:v>Identifying unstated premises and warrants, evaluating evidence design and hierarchy, and calibrating conclusions to uncertainty and counterevidence.</x:v>
      </x:c>
      <x:c r="L414" s="27" t="str">
        <x:v>Grade 10 rhetoric/fallacies, research limitations, and ethical reasoning.</x:v>
      </x:c>
      <x:c r="M414" s="27" t="str">
        <x:v>S23-READ-01</x:v>
      </x:c>
      <x:c r="N414" s="27" t="str">
        <x:v>G6/G7 — Evidence-based formal system demonstrated through authentic transfer</x:v>
      </x:c>
      <x:c r="O414" s="27" t="str">
        <x:v>Oral language and writing; evidence in science/social studies; mathematical and technical problem interpretation; media verification.</x:v>
      </x:c>
      <x:c r="P414" s="27" t="str">
        <x:v>Warrant and uncertainty analysis prepares college-level reading and public/scientific judgment.</x:v>
      </x:c>
      <x:c r="Q414" s="27" t="str">
        <x:v>S24-READ-01</x:v>
      </x:c>
      <x:c r="R414" s="27" t="str">
        <x:v>Reconstructs an argument, tests a key assumption, and writes a calibrated evaluation.</x:v>
      </x:c>
      <x:c r="S414" s="27" t="str">
        <x:v>SRC10; SRC20</x:v>
      </x:c>
      <x:c r="T414" s="27" t="str">
        <x:v>Development varies; use observed performance and appropriate supports rather than age alone.</x:v>
      </x:c>
      <x:c r="U414" s="27" t="str"/>
      <x:c r="V414" s="27" t="str"/>
      <x:c r="W414" s="39" t="str"/>
      <x:c r="X414" s="39" t="str"/>
    </x:row>
    <x:row r="415">
      <x:c r="A415" s="27" t="str">
        <x:v>S23-WRITE-01</x:v>
      </x:c>
      <x:c r="B415" s="37" t="n">
        <x:v>411</x:v>
      </x:c>
      <x:c r="C415" s="27" t="str">
        <x:v>S23</x:v>
      </x:c>
      <x:c r="D415" s="37" t="n">
        <x:v>23</x:v>
      </x:c>
      <x:c r="E415" s="27" t="str">
        <x:v>Grade 11</x:v>
      </x:c>
      <x:c r="F415" s="27" t="str">
        <x:v>11</x:v>
      </x:c>
      <x:c r="G415" s="27" t="str">
        <x:v>Algebra II, physics, U.S. history, and research</x:v>
      </x:c>
      <x:c r="H415" s="27" t="str">
        <x:v>Writing &amp; Language</x:v>
      </x:c>
      <x:c r="I415" s="27" t="str">
        <x:v>Advanced composition</x:v>
      </x:c>
      <x:c r="J415" s="27" t="str">
        <x:v>Sustained argument and style</x:v>
      </x:c>
      <x:c r="K415" s="27" t="str">
        <x:v>Developing a nuanced thesis, managing qualification/counterargument, integrating diverse evidence, controlling paragraph logic, and using syntax/diction for precision and emphasis.</x:v>
      </x:c>
      <x:c r="L415" s="27" t="str">
        <x:v>Grade 10 rhetorical composition and advanced argument reading.</x:v>
      </x:c>
      <x:c r="M415" s="27" t="str">
        <x:v>S22-WRITE-02</x:v>
      </x:c>
      <x:c r="N415" s="27" t="str">
        <x:v>G6/G7 — Evidence-based formal system demonstrated through authentic transfer</x:v>
      </x:c>
      <x:c r="O415" s="27" t="str">
        <x:v>Reading models; evidence from science/social studies; mathematical explanation; research, media, and presentation.</x:v>
      </x:c>
      <x:c r="P415" s="27" t="str">
        <x:v>Nuanced argument balances clarity with complexity and uncertainty.</x:v>
      </x:c>
      <x:c r="Q415" s="27" t="str">
        <x:v>S23-WRITE-02</x:v>
      </x:c>
      <x:c r="R415" s="27" t="str">
        <x:v>Produces a sustained argument whose qualification, evidence, and style match its claims.</x:v>
      </x:c>
      <x:c r="S415" s="27" t="str">
        <x:v>SRC10; SRC22</x:v>
      </x:c>
      <x:c r="T415" s="27" t="str">
        <x:v>Development varies; use observed performance and appropriate supports rather than age alone.</x:v>
      </x:c>
      <x:c r="U415" s="27" t="str"/>
      <x:c r="V415" s="27" t="str"/>
      <x:c r="W415" s="39" t="str"/>
      <x:c r="X415" s="39" t="str"/>
    </x:row>
    <x:row r="416">
      <x:c r="A416" s="27" t="str">
        <x:v>S23-WRITE-02</x:v>
      </x:c>
      <x:c r="B416" s="37" t="n">
        <x:v>412</x:v>
      </x:c>
      <x:c r="C416" s="27" t="str">
        <x:v>S23</x:v>
      </x:c>
      <x:c r="D416" s="37" t="n">
        <x:v>23</x:v>
      </x:c>
      <x:c r="E416" s="27" t="str">
        <x:v>Grade 11</x:v>
      </x:c>
      <x:c r="F416" s="27" t="str">
        <x:v>11</x:v>
      </x:c>
      <x:c r="G416" s="27" t="str">
        <x:v>Algebra II, physics, U.S. history, and research</x:v>
      </x:c>
      <x:c r="H416" s="27" t="str">
        <x:v>Writing &amp; Language</x:v>
      </x:c>
      <x:c r="I416" s="27" t="str">
        <x:v>Independent research</x:v>
      </x:c>
      <x:c r="J416" s="27" t="str">
        <x:v>Proposal, literature review, method, findings, and limitations</x:v>
      </x:c>
      <x:c r="K416" s="27" t="str">
        <x:v>Designing an extended inquiry with a proposal, source synthesis, ethical/reproducible method, analyzed evidence, warranted findings, citations, and limitations.</x:v>
      </x:c>
      <x:c r="L416" s="27" t="str">
        <x:v>Grade 10 method/reliability research and project systems.</x:v>
      </x:c>
      <x:c r="M416" s="27" t="str">
        <x:v>S23-WRITE-01</x:v>
      </x:c>
      <x:c r="N416" s="27" t="str">
        <x:v>G6/G7 — Evidence-based formal system demonstrated through authentic transfer</x:v>
      </x:c>
      <x:c r="O416" s="27" t="str">
        <x:v>Reading models; evidence from science/social studies; mathematical explanation; research, media, and presentation.</x:v>
      </x:c>
      <x:c r="P416" s="27" t="str">
        <x:v>A complete research architecture prepares capstone and postsecondary inquiry.</x:v>
      </x:c>
      <x:c r="Q416" s="27" t="str">
        <x:v>S24-WRITE-01</x:v>
      </x:c>
      <x:c r="R416" s="27" t="str">
        <x:v>Submits an auditable project in which question, method, evidence, findings, and limits align.</x:v>
      </x:c>
      <x:c r="S416" s="27" t="str">
        <x:v>SRC10; SRC22</x:v>
      </x:c>
      <x:c r="T416" s="27" t="str">
        <x:v>Development varies; use observed performance and appropriate supports rather than age alone.</x:v>
      </x:c>
      <x:c r="U416" s="27" t="str"/>
      <x:c r="V416" s="27" t="str"/>
      <x:c r="W416" s="39" t="str"/>
      <x:c r="X416" s="39" t="str"/>
    </x:row>
    <x:row r="417">
      <x:c r="A417" s="27" t="str">
        <x:v>S23-MATH-01</x:v>
      </x:c>
      <x:c r="B417" s="37" t="n">
        <x:v>413</x:v>
      </x:c>
      <x:c r="C417" s="27" t="str">
        <x:v>S23</x:v>
      </x:c>
      <x:c r="D417" s="37" t="n">
        <x:v>23</x:v>
      </x:c>
      <x:c r="E417" s="27" t="str">
        <x:v>Grade 11</x:v>
      </x:c>
      <x:c r="F417" s="27" t="str">
        <x:v>11</x:v>
      </x:c>
      <x:c r="G417" s="27" t="str">
        <x:v>Algebra II, physics, U.S. history, and research</x:v>
      </x:c>
      <x:c r="H417" s="27" t="str">
        <x:v>Mathematics</x:v>
      </x:c>
      <x:c r="I417" s="27" t="str">
        <x:v>Algebra II — complex numbers</x:v>
      </x:c>
      <x:c r="J417" s="27" t="str">
        <x:v>Complex number system and quadratic solutions</x:v>
      </x:c>
      <x:c r="K417" s="27" t="str">
        <x:v>Extending real numbers with i, operating with complex numbers, and interpreting complex roots of polynomial equations at course-appropriate depth.</x:v>
      </x:c>
      <x:c r="L417" s="27" t="str">
        <x:v>Algebra I quadratics, real-number structure, and exponent/root operations.</x:v>
      </x:c>
      <x:c r="M417" s="27" t="str">
        <x:v>S22-MATH-07</x:v>
      </x:c>
      <x:c r="N417" s="27" t="str">
        <x:v>G6/G7 — Evidence-based formal system demonstrated through authentic transfer</x:v>
      </x:c>
      <x:c r="O417" s="27" t="str">
        <x:v>Physical quantity and spatial action; science measurement/models; computing/algorithms; finance; music rhythm/pattern; geographic data.</x:v>
      </x:c>
      <x:c r="P417" s="27" t="str">
        <x:v>Complex numbers make polynomial solution patterns algebraically complete and support advanced STEM.</x:v>
      </x:c>
      <x:c r="Q417" s="27" t="str">
        <x:v>S23-MATH-02</x:v>
      </x:c>
      <x:c r="R417" s="27" t="str">
        <x:v>Solves a quadratic with nonreal roots and verifies the solutions algebraically.</x:v>
      </x:c>
      <x:c r="S417" s="27" t="str">
        <x:v>SRC09</x:v>
      </x:c>
      <x:c r="T417" s="27" t="str">
        <x:v>Development varies; use observed performance and appropriate supports rather than age alone.</x:v>
      </x:c>
      <x:c r="U417" s="27" t="str"/>
      <x:c r="V417" s="27" t="str"/>
      <x:c r="W417" s="39" t="str"/>
      <x:c r="X417" s="39" t="str"/>
    </x:row>
    <x:row r="418">
      <x:c r="A418" s="27" t="str">
        <x:v>S23-MATH-02</x:v>
      </x:c>
      <x:c r="B418" s="37" t="n">
        <x:v>414</x:v>
      </x:c>
      <x:c r="C418" s="27" t="str">
        <x:v>S23</x:v>
      </x:c>
      <x:c r="D418" s="37" t="n">
        <x:v>23</x:v>
      </x:c>
      <x:c r="E418" s="27" t="str">
        <x:v>Grade 11</x:v>
      </x:c>
      <x:c r="F418" s="27" t="str">
        <x:v>11</x:v>
      </x:c>
      <x:c r="G418" s="27" t="str">
        <x:v>Algebra II, physics, U.S. history, and research</x:v>
      </x:c>
      <x:c r="H418" s="27" t="str">
        <x:v>Mathematics</x:v>
      </x:c>
      <x:c r="I418" s="27" t="str">
        <x:v>Algebra II — polynomial functions</x:v>
      </x:c>
      <x:c r="J418" s="27" t="str">
        <x:v>Zeros, factors, graphs, and identities</x:v>
      </x:c>
      <x:c r="K418" s="27" t="str">
        <x:v>Analyzing polynomial degree/end behavior/zeros/multiplicity, performing operations/division, factoring, and using identities to solve or model.</x:v>
      </x:c>
      <x:c r="L418" s="27" t="str">
        <x:v>Algebra I polynomials/quadratics and function representations.</x:v>
      </x:c>
      <x:c r="M418" s="27" t="str">
        <x:v>S23-MATH-01</x:v>
      </x:c>
      <x:c r="N418" s="27" t="str">
        <x:v>G6/G7 — Evidence-based formal system demonstrated through authentic transfer</x:v>
      </x:c>
      <x:c r="O418" s="27" t="str">
        <x:v>Physical quantity and spatial action; science measurement/models; computing/algorithms; finance; music rhythm/pattern; geographic data.</x:v>
      </x:c>
      <x:c r="P418" s="27" t="str">
        <x:v>Polynomial structure connects symbolic factors to graphical behavior and later series/calculus.</x:v>
      </x:c>
      <x:c r="Q418" s="27" t="str">
        <x:v>S23-MATH-03</x:v>
      </x:c>
      <x:c r="R418" s="27" t="str">
        <x:v>Builds or analyzes a polynomial from conditions and verifies features across forms.</x:v>
      </x:c>
      <x:c r="S418" s="27" t="str">
        <x:v>SRC09</x:v>
      </x:c>
      <x:c r="T418" s="27" t="str">
        <x:v>Development varies; use observed performance and appropriate supports rather than age alone.</x:v>
      </x:c>
      <x:c r="U418" s="27" t="str"/>
      <x:c r="V418" s="27" t="str"/>
      <x:c r="W418" s="39" t="str"/>
      <x:c r="X418" s="39" t="str"/>
    </x:row>
    <x:row r="419">
      <x:c r="A419" s="27" t="str">
        <x:v>S23-MATH-03</x:v>
      </x:c>
      <x:c r="B419" s="37" t="n">
        <x:v>415</x:v>
      </x:c>
      <x:c r="C419" s="27" t="str">
        <x:v>S23</x:v>
      </x:c>
      <x:c r="D419" s="37" t="n">
        <x:v>23</x:v>
      </x:c>
      <x:c r="E419" s="27" t="str">
        <x:v>Grade 11</x:v>
      </x:c>
      <x:c r="F419" s="27" t="str">
        <x:v>11</x:v>
      </x:c>
      <x:c r="G419" s="27" t="str">
        <x:v>Algebra II, physics, U.S. history, and research</x:v>
      </x:c>
      <x:c r="H419" s="27" t="str">
        <x:v>Mathematics</x:v>
      </x:c>
      <x:c r="I419" s="27" t="str">
        <x:v>Algebra II — rational and radical functions</x:v>
      </x:c>
      <x:c r="J419" s="27" t="str">
        <x:v>Domains, transformations, equations, and extraneous solutions</x:v>
      </x:c>
      <x:c r="K419" s="27" t="str">
        <x:v>Analyzing rational/radical expressions and functions, solving related equations, identifying restrictions/asymptotes, and checking introduced solutions.</x:v>
      </x:c>
      <x:c r="L419" s="27" t="str">
        <x:v>Polynomial factoring, fractions, roots, and function notation.</x:v>
      </x:c>
      <x:c r="M419" s="27" t="str">
        <x:v>S23-MATH-02</x:v>
      </x:c>
      <x:c r="N419" s="27" t="str">
        <x:v>G6/G7 — Evidence-based formal system demonstrated through authentic transfer</x:v>
      </x:c>
      <x:c r="O419" s="27" t="str">
        <x:v>Physical quantity and spatial action; science measurement/models; computing/algorithms; finance; music rhythm/pattern; geographic data.</x:v>
      </x:c>
      <x:c r="P419" s="27" t="str">
        <x:v>Restrictions and extraneous solutions make operation validity explicit.</x:v>
      </x:c>
      <x:c r="Q419" s="27" t="str">
        <x:v>S23-MATH-04</x:v>
      </x:c>
      <x:c r="R419" s="27" t="str">
        <x:v>Solves and graphs a rational/radical relationship with domain and solution checks.</x:v>
      </x:c>
      <x:c r="S419" s="27" t="str">
        <x:v>SRC09</x:v>
      </x:c>
      <x:c r="T419" s="27" t="str">
        <x:v>Development varies; use observed performance and appropriate supports rather than age alone.</x:v>
      </x:c>
      <x:c r="U419" s="27" t="str"/>
      <x:c r="V419" s="27" t="str"/>
      <x:c r="W419" s="39" t="str"/>
      <x:c r="X419" s="39" t="str"/>
    </x:row>
    <x:row r="420">
      <x:c r="A420" s="27" t="str">
        <x:v>S23-MATH-04</x:v>
      </x:c>
      <x:c r="B420" s="37" t="n">
        <x:v>416</x:v>
      </x:c>
      <x:c r="C420" s="27" t="str">
        <x:v>S23</x:v>
      </x:c>
      <x:c r="D420" s="37" t="n">
        <x:v>23</x:v>
      </x:c>
      <x:c r="E420" s="27" t="str">
        <x:v>Grade 11</x:v>
      </x:c>
      <x:c r="F420" s="27" t="str">
        <x:v>11</x:v>
      </x:c>
      <x:c r="G420" s="27" t="str">
        <x:v>Algebra II, physics, U.S. history, and research</x:v>
      </x:c>
      <x:c r="H420" s="27" t="str">
        <x:v>Mathematics</x:v>
      </x:c>
      <x:c r="I420" s="27" t="str">
        <x:v>Algebra II — exponential/logarithmic functions</x:v>
      </x:c>
      <x:c r="J420" s="27" t="str">
        <x:v>Inverse functions, logarithms, and growth models</x:v>
      </x:c>
      <x:c r="K420" s="27" t="str">
        <x:v>Understanding logarithms as inverse exponents, applying properties, solving exponential/logarithmic equations, and modeling compound growth/decay.</x:v>
      </x:c>
      <x:c r="L420" s="27" t="str">
        <x:v>Algebra I exponentials, inverse-operation reasoning, and composition.</x:v>
      </x:c>
      <x:c r="M420" s="27" t="str">
        <x:v>S23-MATH-03</x:v>
      </x:c>
      <x:c r="N420" s="27" t="str">
        <x:v>G6/G7 — Evidence-based formal system demonstrated through authentic transfer</x:v>
      </x:c>
      <x:c r="O420" s="27" t="str">
        <x:v>Physical quantity and spatial action; science measurement/models; computing/algorithms; finance; music rhythm/pattern; geographic data.</x:v>
      </x:c>
      <x:c r="P420" s="27" t="str">
        <x:v>Logarithms turn unknown exponents into solvable quantities and prepare calculus/scientific scales.</x:v>
      </x:c>
      <x:c r="Q420" s="27" t="str">
        <x:v>S23-MATH-05</x:v>
      </x:c>
      <x:c r="R420" s="27" t="str">
        <x:v>Selects a model, solves for time/rate/value, and interprets parameters/limitations.</x:v>
      </x:c>
      <x:c r="S420" s="27" t="str">
        <x:v>SRC09</x:v>
      </x:c>
      <x:c r="T420" s="27" t="str">
        <x:v>Development varies; use observed performance and appropriate supports rather than age alone.</x:v>
      </x:c>
      <x:c r="U420" s="27" t="str"/>
      <x:c r="V420" s="27" t="str"/>
      <x:c r="W420" s="39" t="str"/>
      <x:c r="X420" s="39" t="str"/>
    </x:row>
    <x:row r="421">
      <x:c r="A421" s="27" t="str">
        <x:v>S23-MATH-05</x:v>
      </x:c>
      <x:c r="B421" s="37" t="n">
        <x:v>417</x:v>
      </x:c>
      <x:c r="C421" s="27" t="str">
        <x:v>S23</x:v>
      </x:c>
      <x:c r="D421" s="37" t="n">
        <x:v>23</x:v>
      </x:c>
      <x:c r="E421" s="27" t="str">
        <x:v>Grade 11</x:v>
      </x:c>
      <x:c r="F421" s="27" t="str">
        <x:v>11</x:v>
      </x:c>
      <x:c r="G421" s="27" t="str">
        <x:v>Algebra II, physics, U.S. history, and research</x:v>
      </x:c>
      <x:c r="H421" s="27" t="str">
        <x:v>Mathematics</x:v>
      </x:c>
      <x:c r="I421" s="27" t="str">
        <x:v>Algebra II — sequences and series</x:v>
      </x:c>
      <x:c r="J421" s="27" t="str">
        <x:v>Arithmetic/geometric sequences and finite sums</x:v>
      </x:c>
      <x:c r="K421" s="27" t="str">
        <x:v>Representing sequences recursively/explicitly, connecting arithmetic to linear and geometric to exponential functions, and calculating finite series.</x:v>
      </x:c>
      <x:c r="L421" s="27" t="str">
        <x:v>Linear/exponential functions and pattern generalization.</x:v>
      </x:c>
      <x:c r="M421" s="27" t="str">
        <x:v>S23-MATH-04</x:v>
      </x:c>
      <x:c r="N421" s="27" t="str">
        <x:v>G6/G7 — Evidence-based formal system demonstrated through authentic transfer</x:v>
      </x:c>
      <x:c r="O421" s="27" t="str">
        <x:v>Physical quantity and spatial action; science measurement/models; computing/algorithms; finance; music rhythm/pattern; geographic data.</x:v>
      </x:c>
      <x:c r="P421" s="27" t="str">
        <x:v>Sequences make discrete change explicit and prepare infinite series and finance models.</x:v>
      </x:c>
      <x:c r="Q421" s="27" t="str">
        <x:v>S23-MATH-06</x:v>
      </x:c>
      <x:c r="R421" s="27" t="str">
        <x:v>Translates among recursive, explicit, tabular, and contextual forms and computes a sum.</x:v>
      </x:c>
      <x:c r="S421" s="27" t="str">
        <x:v>SRC09</x:v>
      </x:c>
      <x:c r="T421" s="27" t="str">
        <x:v>Development varies; use observed performance and appropriate supports rather than age alone.</x:v>
      </x:c>
      <x:c r="U421" s="27" t="str"/>
      <x:c r="V421" s="27" t="str"/>
      <x:c r="W421" s="39" t="str"/>
      <x:c r="X421" s="39" t="str"/>
    </x:row>
    <x:row r="422">
      <x:c r="A422" s="27" t="str">
        <x:v>S23-MATH-06</x:v>
      </x:c>
      <x:c r="B422" s="37" t="n">
        <x:v>418</x:v>
      </x:c>
      <x:c r="C422" s="27" t="str">
        <x:v>S23</x:v>
      </x:c>
      <x:c r="D422" s="37" t="n">
        <x:v>23</x:v>
      </x:c>
      <x:c r="E422" s="27" t="str">
        <x:v>Grade 11</x:v>
      </x:c>
      <x:c r="F422" s="27" t="str">
        <x:v>11</x:v>
      </x:c>
      <x:c r="G422" s="27" t="str">
        <x:v>Algebra II, physics, U.S. history, and research</x:v>
      </x:c>
      <x:c r="H422" s="27" t="str">
        <x:v>Mathematics</x:v>
      </x:c>
      <x:c r="I422" s="27" t="str">
        <x:v>Algebra II — trigonometry</x:v>
      </x:c>
      <x:c r="J422" s="27" t="str">
        <x:v>Unit circle and periodic functions introduction</x:v>
      </x:c>
      <x:c r="K422" s="27" t="str">
        <x:v>Defining sine/cosine from the unit circle, using radians, graphing periodic functions, and solving basic trig equations/identities as pathway allows.</x:v>
      </x:c>
      <x:c r="L422" s="27" t="str">
        <x:v>Geometry right-triangle trig/similarity, circle measure, and functions.</x:v>
      </x:c>
      <x:c r="M422" s="27" t="str">
        <x:v>S23-MATH-05</x:v>
      </x:c>
      <x:c r="N422" s="27" t="str">
        <x:v>G6/G7 — Evidence-based formal system demonstrated through authentic transfer</x:v>
      </x:c>
      <x:c r="O422" s="27" t="str">
        <x:v>Physical quantity and spatial action; science measurement/models; computing/algorithms; finance; music rhythm/pattern; geographic data.</x:v>
      </x:c>
      <x:c r="P422" s="27" t="str">
        <x:v>Unit-circle definitions extend trigonometry to all angles and periodic modeling.</x:v>
      </x:c>
      <x:c r="Q422" s="27" t="str">
        <x:v>S23-MATH-07</x:v>
      </x:c>
      <x:c r="R422" s="27" t="str">
        <x:v>Maps angle, coordinates, ratio, and graph and solves a periodic problem.</x:v>
      </x:c>
      <x:c r="S422" s="27" t="str">
        <x:v>SRC09</x:v>
      </x:c>
      <x:c r="T422" s="27" t="str">
        <x:v>Development varies; use observed performance and appropriate supports rather than age alone.</x:v>
      </x:c>
      <x:c r="U422" s="27" t="str"/>
      <x:c r="V422" s="27" t="str"/>
      <x:c r="W422" s="39" t="str"/>
      <x:c r="X422" s="39" t="str"/>
    </x:row>
    <x:row r="423">
      <x:c r="A423" s="27" t="str">
        <x:v>S23-MATH-07</x:v>
      </x:c>
      <x:c r="B423" s="37" t="n">
        <x:v>419</x:v>
      </x:c>
      <x:c r="C423" s="27" t="str">
        <x:v>S23</x:v>
      </x:c>
      <x:c r="D423" s="37" t="n">
        <x:v>23</x:v>
      </x:c>
      <x:c r="E423" s="27" t="str">
        <x:v>Grade 11</x:v>
      </x:c>
      <x:c r="F423" s="27" t="str">
        <x:v>11</x:v>
      </x:c>
      <x:c r="G423" s="27" t="str">
        <x:v>Algebra II, physics, U.S. history, and research</x:v>
      </x:c>
      <x:c r="H423" s="27" t="str">
        <x:v>Mathematics</x:v>
      </x:c>
      <x:c r="I423" s="27" t="str">
        <x:v>Algebra II — statistics</x:v>
      </x:c>
      <x:c r="J423" s="27" t="str">
        <x:v>Inference and model comparison introduction</x:v>
      </x:c>
      <x:c r="K423" s="27" t="str">
        <x:v>Using distributions, normal models where included, regression/correlation, simulations, and study design to compare groups and assess claims.</x:v>
      </x:c>
      <x:c r="L423" s="27" t="str">
        <x:v>Grade 8 bivariate data, Geometry probability, and function models.</x:v>
      </x:c>
      <x:c r="M423" s="27" t="str">
        <x:v>S23-MATH-06</x:v>
      </x:c>
      <x:c r="N423" s="27" t="str">
        <x:v>G6/G7 — Evidence-based formal system demonstrated through authentic transfer</x:v>
      </x:c>
      <x:c r="O423" s="27" t="str">
        <x:v>Physical quantity and spatial action; science measurement/models; computing/algorithms; finance; music rhythm/pattern; geographic data.</x:v>
      </x:c>
      <x:c r="P423" s="27" t="str">
        <x:v>Inference asks what sample data support about a broader process/population.</x:v>
      </x:c>
      <x:c r="Q423" s="27" t="str">
        <x:v>S24-MATH-01</x:v>
      </x:c>
      <x:c r="R423" s="27" t="str">
        <x:v>Evaluates a statistical claim using design, model, variability, and uncertainty evidence.</x:v>
      </x:c>
      <x:c r="S423" s="27" t="str">
        <x:v>SRC09</x:v>
      </x:c>
      <x:c r="T423" s="27" t="str">
        <x:v>Development varies; use observed performance and appropriate supports rather than age alone.</x:v>
      </x:c>
      <x:c r="U423" s="27" t="str"/>
      <x:c r="V423" s="27" t="str"/>
      <x:c r="W423" s="39" t="str"/>
      <x:c r="X423" s="39" t="str"/>
    </x:row>
    <x:row r="424">
      <x:c r="A424" s="27" t="str">
        <x:v>S23-SCI-01</x:v>
      </x:c>
      <x:c r="B424" s="37" t="n">
        <x:v>420</x:v>
      </x:c>
      <x:c r="C424" s="27" t="str">
        <x:v>S23</x:v>
      </x:c>
      <x:c r="D424" s="37" t="n">
        <x:v>23</x:v>
      </x:c>
      <x:c r="E424" s="27" t="str">
        <x:v>Grade 11</x:v>
      </x:c>
      <x:c r="F424" s="27" t="str">
        <x:v>11</x:v>
      </x:c>
      <x:c r="G424" s="27" t="str">
        <x:v>Algebra II, physics, U.S. history, and research</x:v>
      </x:c>
      <x:c r="H424" s="27" t="str">
        <x:v>Science &amp; Engineering</x:v>
      </x:c>
      <x:c r="I424" s="27" t="str">
        <x:v>Physics — motion</x:v>
      </x:c>
      <x:c r="J424" s="27" t="str">
        <x:v>Kinematics in one and two dimensions</x:v>
      </x:c>
      <x:c r="K424" s="27" t="str">
        <x:v>Representing position, velocity, and acceleration with words, diagrams, graphs, and equations and solving constant-acceleration/projectile cases.</x:v>
      </x:c>
      <x:c r="L424" s="27" t="str">
        <x:v>Algebra II functions, geometry vectors/trig, and middle-school motion.</x:v>
      </x:c>
      <x:c r="M424" s="27" t="str">
        <x:v>S22-SCI-05</x:v>
      </x:c>
      <x:c r="N424" s="27" t="str">
        <x:v>G6/G7 — Evidence-based formal system demonstrated through authentic transfer</x:v>
      </x:c>
      <x:c r="O424" s="27" t="str">
        <x:v>Sensory observation and action; mathematics/data; reading/writing evidence; computing/models; health and environmental/civic decisions.</x:v>
      </x:c>
      <x:c r="P424" s="27" t="str">
        <x:v>Kinematics describes change before forces explain its cause.</x:v>
      </x:c>
      <x:c r="Q424" s="27" t="str">
        <x:v>S23-SCI-02</x:v>
      </x:c>
      <x:c r="R424" s="27" t="str">
        <x:v>Translates a motion event across representations and checks equation/units/sign conventions.</x:v>
      </x:c>
      <x:c r="S424" s="27" t="str">
        <x:v>SRC11</x:v>
      </x:c>
      <x:c r="T424" s="27" t="str">
        <x:v>Development varies; use observed performance and appropriate supports rather than age alone.</x:v>
      </x:c>
      <x:c r="U424" s="27" t="str"/>
      <x:c r="V424" s="27" t="str"/>
      <x:c r="W424" s="39" t="str"/>
      <x:c r="X424" s="39" t="str"/>
    </x:row>
    <x:row r="425">
      <x:c r="A425" s="27" t="str">
        <x:v>S23-SCI-02</x:v>
      </x:c>
      <x:c r="B425" s="37" t="n">
        <x:v>421</x:v>
      </x:c>
      <x:c r="C425" s="27" t="str">
        <x:v>S23</x:v>
      </x:c>
      <x:c r="D425" s="37" t="n">
        <x:v>23</x:v>
      </x:c>
      <x:c r="E425" s="27" t="str">
        <x:v>Grade 11</x:v>
      </x:c>
      <x:c r="F425" s="27" t="str">
        <x:v>11</x:v>
      </x:c>
      <x:c r="G425" s="27" t="str">
        <x:v>Algebra II, physics, U.S. history, and research</x:v>
      </x:c>
      <x:c r="H425" s="27" t="str">
        <x:v>Science &amp; Engineering</x:v>
      </x:c>
      <x:c r="I425" s="27" t="str">
        <x:v>Physics — forces</x:v>
      </x:c>
      <x:c r="J425" s="27" t="str">
        <x:v>Newton’s laws, free-body models, and momentum</x:v>
      </x:c>
      <x:c r="K425" s="27" t="str">
        <x:v>Modeling forces, equilibrium/acceleration, friction, gravitation, impulse, momentum, and collision conservation.</x:v>
      </x:c>
      <x:c r="L425" s="27" t="str">
        <x:v>Kinematics, vectors, systems of equations, and Grade 8 forces.</x:v>
      </x:c>
      <x:c r="M425" s="27" t="str">
        <x:v>S23-SCI-01</x:v>
      </x:c>
      <x:c r="N425" s="27" t="str">
        <x:v>G6/G7 — Evidence-based formal system demonstrated through authentic transfer</x:v>
      </x:c>
      <x:c r="O425" s="27" t="str">
        <x:v>Sensory observation and action; mathematics/data; reading/writing evidence; computing/models; health and environmental/civic decisions.</x:v>
      </x:c>
      <x:c r="P425" s="27" t="str">
        <x:v>Force and momentum models predict interaction outcomes across mechanical systems.</x:v>
      </x:c>
      <x:c r="Q425" s="27" t="str">
        <x:v>S23-SCI-03</x:v>
      </x:c>
      <x:c r="R425" s="27" t="str">
        <x:v>Builds a free-body or momentum model, solves, and explains assumptions/system boundary.</x:v>
      </x:c>
      <x:c r="S425" s="27" t="str">
        <x:v>SRC11</x:v>
      </x:c>
      <x:c r="T425" s="27" t="str">
        <x:v>Development varies; use observed performance and appropriate supports rather than age alone.</x:v>
      </x:c>
      <x:c r="U425" s="27" t="str"/>
      <x:c r="V425" s="27" t="str"/>
      <x:c r="W425" s="39" t="str"/>
      <x:c r="X425" s="39" t="str"/>
    </x:row>
    <x:row r="426">
      <x:c r="A426" s="27" t="str">
        <x:v>S23-SCI-03</x:v>
      </x:c>
      <x:c r="B426" s="37" t="n">
        <x:v>422</x:v>
      </x:c>
      <x:c r="C426" s="27" t="str">
        <x:v>S23</x:v>
      </x:c>
      <x:c r="D426" s="37" t="n">
        <x:v>23</x:v>
      </x:c>
      <x:c r="E426" s="27" t="str">
        <x:v>Grade 11</x:v>
      </x:c>
      <x:c r="F426" s="27" t="str">
        <x:v>11</x:v>
      </x:c>
      <x:c r="G426" s="27" t="str">
        <x:v>Algebra II, physics, U.S. history, and research</x:v>
      </x:c>
      <x:c r="H426" s="27" t="str">
        <x:v>Science &amp; Engineering</x:v>
      </x:c>
      <x:c r="I426" s="27" t="str">
        <x:v>Physics — energy</x:v>
      </x:c>
      <x:c r="J426" s="27" t="str">
        <x:v>Work, energy, power, and conservation</x:v>
      </x:c>
      <x:c r="K426" s="27" t="str">
        <x:v>Using work-energy relationships, kinetic/potential energy, conservation, power, and efficiency to analyze systems.</x:v>
      </x:c>
      <x:c r="L426" s="27" t="str">
        <x:v>Algebraic functions, geometry, middle-school energy, and unit analysis.</x:v>
      </x:c>
      <x:c r="M426" s="27" t="str">
        <x:v>S23-SCI-02</x:v>
      </x:c>
      <x:c r="N426" s="27" t="str">
        <x:v>G6/G7 — Evidence-based formal system demonstrated through authentic transfer</x:v>
      </x:c>
      <x:c r="O426" s="27" t="str">
        <x:v>Sensory observation and action; mathematics/data; reading/writing evidence; computing/models; health and environmental/civic decisions.</x:v>
      </x:c>
      <x:c r="P426" s="27" t="str">
        <x:v>Energy offers a scalar system-wide alternative to force-by-force analysis.</x:v>
      </x:c>
      <x:c r="Q426" s="27" t="str">
        <x:v>S23-SCI-04</x:v>
      </x:c>
      <x:c r="R426" s="27" t="str">
        <x:v>Chooses force/momentum/energy reasoning appropriately and defends the system account.</x:v>
      </x:c>
      <x:c r="S426" s="27" t="str">
        <x:v>SRC11</x:v>
      </x:c>
      <x:c r="T426" s="27" t="str">
        <x:v>Development varies; use observed performance and appropriate supports rather than age alone.</x:v>
      </x:c>
      <x:c r="U426" s="27" t="str"/>
      <x:c r="V426" s="27" t="str"/>
      <x:c r="W426" s="39" t="str"/>
      <x:c r="X426" s="39" t="str"/>
    </x:row>
    <x:row r="427">
      <x:c r="A427" s="27" t="str">
        <x:v>S23-SCI-04</x:v>
      </x:c>
      <x:c r="B427" s="37" t="n">
        <x:v>423</x:v>
      </x:c>
      <x:c r="C427" s="27" t="str">
        <x:v>S23</x:v>
      </x:c>
      <x:c r="D427" s="37" t="n">
        <x:v>23</x:v>
      </x:c>
      <x:c r="E427" s="27" t="str">
        <x:v>Grade 11</x:v>
      </x:c>
      <x:c r="F427" s="27" t="str">
        <x:v>11</x:v>
      </x:c>
      <x:c r="G427" s="27" t="str">
        <x:v>Algebra II, physics, U.S. history, and research</x:v>
      </x:c>
      <x:c r="H427" s="27" t="str">
        <x:v>Science &amp; Engineering</x:v>
      </x:c>
      <x:c r="I427" s="27" t="str">
        <x:v>Physics — waves/electricity</x:v>
      </x:c>
      <x:c r="J427" s="27" t="str">
        <x:v>Waves, circuits, fields, and electromagnetism</x:v>
      </x:c>
      <x:c r="K427" s="27" t="str">
        <x:v>Analyzing wave behavior, sound/light, electric charge/field/potential, current/resistance/circuits, and magnetic interactions at course depth.</x:v>
      </x:c>
      <x:c r="L427" s="27" t="str">
        <x:v>Grade 8 waves, Algebra II periodic functions, and systems models.</x:v>
      </x:c>
      <x:c r="M427" s="27" t="str">
        <x:v>S23-SCI-03</x:v>
      </x:c>
      <x:c r="N427" s="27" t="str">
        <x:v>G6/G7 — Evidence-based formal system demonstrated through authentic transfer</x:v>
      </x:c>
      <x:c r="O427" s="27" t="str">
        <x:v>Sensory observation and action; mathematics/data; reading/writing evidence; computing/models; health and environmental/civic decisions.</x:v>
      </x:c>
      <x:c r="P427" s="27" t="str">
        <x:v>Field and wave models extend physical explanation beyond direct contact.</x:v>
      </x:c>
      <x:c r="Q427" s="27" t="str">
        <x:v>S23-SCI-05</x:v>
      </x:c>
      <x:c r="R427" s="27" t="str">
        <x:v>Uses diagram/equation/data to explain a wave, circuit, or field phenomenon.</x:v>
      </x:c>
      <x:c r="S427" s="27" t="str">
        <x:v>SRC11</x:v>
      </x:c>
      <x:c r="T427" s="27" t="str">
        <x:v>Development varies; use observed performance and appropriate supports rather than age alone.</x:v>
      </x:c>
      <x:c r="U427" s="27" t="str"/>
      <x:c r="V427" s="27" t="str"/>
      <x:c r="W427" s="39" t="str"/>
      <x:c r="X427" s="39" t="str"/>
    </x:row>
    <x:row r="428">
      <x:c r="A428" s="27" t="str">
        <x:v>S23-SCI-05</x:v>
      </x:c>
      <x:c r="B428" s="37" t="n">
        <x:v>424</x:v>
      </x:c>
      <x:c r="C428" s="27" t="str">
        <x:v>S23</x:v>
      </x:c>
      <x:c r="D428" s="37" t="n">
        <x:v>23</x:v>
      </x:c>
      <x:c r="E428" s="27" t="str">
        <x:v>Grade 11</x:v>
      </x:c>
      <x:c r="F428" s="27" t="str">
        <x:v>11</x:v>
      </x:c>
      <x:c r="G428" s="27" t="str">
        <x:v>Algebra II, physics, U.S. history, and research</x:v>
      </x:c>
      <x:c r="H428" s="27" t="str">
        <x:v>Science &amp; Engineering</x:v>
      </x:c>
      <x:c r="I428" s="27" t="str">
        <x:v>Physics — investigation</x:v>
      </x:c>
      <x:c r="J428" s="27" t="str">
        <x:v>Model testing and uncertainty</x:v>
      </x:c>
      <x:c r="K428" s="27" t="str">
        <x:v>Designing quantitative tests, fitting/linearizing relationships as appropriate, propagating or discussing measurement uncertainty, and revising models.</x:v>
      </x:c>
      <x:c r="L428" s="27" t="str">
        <x:v>Chemistry laboratory method, regression, and advanced research.</x:v>
      </x:c>
      <x:c r="M428" s="27" t="str">
        <x:v>S23-SCI-04</x:v>
      </x:c>
      <x:c r="N428" s="27" t="str">
        <x:v>G6/G7 — Evidence-based formal system demonstrated through authentic transfer</x:v>
      </x:c>
      <x:c r="O428" s="27" t="str">
        <x:v>Sensory observation and action; mathematics/data; reading/writing evidence; computing/models; health and environmental/civic decisions.</x:v>
      </x:c>
      <x:c r="P428" s="27" t="str">
        <x:v>Model-data comparison makes physics laws testable rather than merely formulaic.</x:v>
      </x:c>
      <x:c r="Q428" s="27" t="str">
        <x:v>S24-SCI-01</x:v>
      </x:c>
      <x:c r="R428" s="27" t="str">
        <x:v>Reports parameter estimates, uncertainty, residual/model mismatch, and a justified revision.</x:v>
      </x:c>
      <x:c r="S428" s="27" t="str">
        <x:v>SRC11</x:v>
      </x:c>
      <x:c r="T428" s="27" t="str">
        <x:v>Development varies; use observed performance and appropriate supports rather than age alone.</x:v>
      </x:c>
      <x:c r="U428" s="27" t="str"/>
      <x:c r="V428" s="27" t="str"/>
      <x:c r="W428" s="39" t="str"/>
      <x:c r="X428" s="39" t="str"/>
    </x:row>
    <x:row r="429">
      <x:c r="A429" s="27" t="str">
        <x:v>S23-SST-01</x:v>
      </x:c>
      <x:c r="B429" s="37" t="n">
        <x:v>425</x:v>
      </x:c>
      <x:c r="C429" s="27" t="str">
        <x:v>S23</x:v>
      </x:c>
      <x:c r="D429" s="37" t="n">
        <x:v>23</x:v>
      </x:c>
      <x:c r="E429" s="27" t="str">
        <x:v>Grade 11</x:v>
      </x:c>
      <x:c r="F429" s="27" t="str">
        <x:v>11</x:v>
      </x:c>
      <x:c r="G429" s="27" t="str">
        <x:v>Algebra II, physics, U.S. history, and research</x:v>
      </x:c>
      <x:c r="H429" s="27" t="str">
        <x:v>Social Studies</x:v>
      </x:c>
      <x:c r="I429" s="27" t="str">
        <x:v>U.S. history</x:v>
      </x:c>
      <x:c r="J429" s="27" t="str">
        <x:v>Founding through contemporary change</x:v>
      </x:c>
      <x:c r="K429" s="27" t="str">
        <x:v>Analyzing Indigenous histories, colonization, founding/Constitution, slavery, expansion, Civil War/Reconstruction, industrialization, reform, wars, civil-rights movements, political/economic change, and contemporary issues.</x:v>
      </x:c>
      <x:c r="L429" s="27" t="str">
        <x:v>Grade 10 world-history context, constitutional civics, and source methods.</x:v>
      </x:c>
      <x:c r="M429" s="27" t="str">
        <x:v>S22-SST-02</x:v>
      </x:c>
      <x:c r="N429" s="27" t="str">
        <x:v>G6/G7 — Evidence-based formal system demonstrated through authentic transfer</x:v>
      </x:c>
      <x:c r="O429" s="27" t="str">
        <x:v>Language/literacy and source evidence; maps/data/economics; ethics/SEL; media literacy; arts/culture; civic action.</x:v>
      </x:c>
      <x:c r="P429" s="27" t="str">
        <x:v>Long national chronology connects institutions and recurring conflicts to present structures.</x:v>
      </x:c>
      <x:c r="Q429" s="27" t="str">
        <x:v>S23-SST-02</x:v>
      </x:c>
      <x:c r="R429" s="27" t="str">
        <x:v>Builds a periodized argument tracing continuity/change through corroborated diverse sources.</x:v>
      </x:c>
      <x:c r="S429" s="27" t="str">
        <x:v>SRC12; SRC24</x:v>
      </x:c>
      <x:c r="T429" s="27" t="str">
        <x:v>Development varies; use observed performance and appropriate supports rather than age alone.</x:v>
      </x:c>
      <x:c r="U429" s="27" t="str"/>
      <x:c r="V429" s="27" t="str"/>
      <x:c r="W429" s="39" t="str"/>
      <x:c r="X429" s="39" t="str"/>
    </x:row>
    <x:row r="430">
      <x:c r="A430" s="27" t="str">
        <x:v>S23-SST-02</x:v>
      </x:c>
      <x:c r="B430" s="37" t="n">
        <x:v>426</x:v>
      </x:c>
      <x:c r="C430" s="27" t="str">
        <x:v>S23</x:v>
      </x:c>
      <x:c r="D430" s="37" t="n">
        <x:v>23</x:v>
      </x:c>
      <x:c r="E430" s="27" t="str">
        <x:v>Grade 11</x:v>
      </x:c>
      <x:c r="F430" s="27" t="str">
        <x:v>11</x:v>
      </x:c>
      <x:c r="G430" s="27" t="str">
        <x:v>Algebra II, physics, U.S. history, and research</x:v>
      </x:c>
      <x:c r="H430" s="27" t="str">
        <x:v>Social Studies</x:v>
      </x:c>
      <x:c r="I430" s="27" t="str">
        <x:v>Historical reasoning</x:v>
      </x:c>
      <x:c r="J430" s="27" t="str">
        <x:v>Periodization, contingency, memory, and public history</x:v>
      </x:c>
      <x:c r="K430" s="27" t="str">
        <x:v>Explaining why historians divide time differently, how alternatives were possible, and how monuments, museums, textbooks, archives, and media shape public memory.</x:v>
      </x:c>
      <x:c r="L430" s="27" t="str">
        <x:v>Source silence/contextualization, advanced argument, and media systems.</x:v>
      </x:c>
      <x:c r="M430" s="27" t="str">
        <x:v>S23-SST-01</x:v>
      </x:c>
      <x:c r="N430" s="27" t="str">
        <x:v>G6/G7 — Evidence-based formal system demonstrated through authentic transfer</x:v>
      </x:c>
      <x:c r="O430" s="27" t="str">
        <x:v>Language/literacy and source evidence; maps/data/economics; ethics/SEL; media literacy; arts/culture; civic action.</x:v>
      </x:c>
      <x:c r="P430" s="27" t="str">
        <x:v>Historical narratives are themselves evidence-based constructions with civic effects.</x:v>
      </x:c>
      <x:c r="Q430" s="27" t="str">
        <x:v>S24-SST-01</x:v>
      </x:c>
      <x:c r="R430" s="27" t="str">
        <x:v>Compares two periodizations/public accounts and explains evidence, purpose, omissions, and consequences.</x:v>
      </x:c>
      <x:c r="S430" s="27" t="str">
        <x:v>SRC12; SRC20</x:v>
      </x:c>
      <x:c r="T430" s="27" t="str">
        <x:v>Development varies; use observed performance and appropriate supports rather than age alone.</x:v>
      </x:c>
      <x:c r="U430" s="27" t="str"/>
      <x:c r="V430" s="27" t="str"/>
      <x:c r="W430" s="39" t="str"/>
      <x:c r="X430" s="39" t="str"/>
    </x:row>
    <x:row r="431">
      <x:c r="A431" s="27" t="str">
        <x:v>S23-ARTS-01</x:v>
      </x:c>
      <x:c r="B431" s="37" t="n">
        <x:v>427</x:v>
      </x:c>
      <x:c r="C431" s="27" t="str">
        <x:v>S23</x:v>
      </x:c>
      <x:c r="D431" s="37" t="n">
        <x:v>23</x:v>
      </x:c>
      <x:c r="E431" s="27" t="str">
        <x:v>Grade 11</x:v>
      </x:c>
      <x:c r="F431" s="27" t="str">
        <x:v>11</x:v>
      </x:c>
      <x:c r="G431" s="27" t="str">
        <x:v>Algebra II, physics, U.S. history, and research</x:v>
      </x:c>
      <x:c r="H431" s="27" t="str">
        <x:v>Music &amp; Arts</x:v>
      </x:c>
      <x:c r="I431" s="27" t="str">
        <x:v>Advanced arts</x:v>
      </x:c>
      <x:c r="J431" s="27" t="str">
        <x:v>Accomplished portfolio, ensemble, theory, or production</x:v>
      </x:c>
      <x:c r="K431" s="27" t="str">
        <x:v>Pursuing a chosen advanced pathway through complex technique, independent interpretation/design, original creation, critique, research, production technology, and public presentation.</x:v>
      </x:c>
      <x:c r="L431" s="27" t="str">
        <x:v>Grade 10 specialization and deliberate practice.</x:v>
      </x:c>
      <x:c r="M431" s="27" t="str">
        <x:v>S22-ARTS-01</x:v>
      </x:c>
      <x:c r="N431" s="27" t="str">
        <x:v>G6/G7 — Evidence-based formal system demonstrated through authentic transfer</x:v>
      </x:c>
      <x:c r="O431" s="27" t="str">
        <x:v>Sensory discrimination; motor timing; language/prosody; mathematics/pattern; history/culture; emotion, design, and technology.</x:v>
      </x:c>
      <x:c r="P431" s="27" t="str">
        <x:v>Advanced pathway work integrates expertise, authorship, collaboration, and audience responsibility.</x:v>
      </x:c>
      <x:c r="Q431" s="27" t="str">
        <x:v>S24-ARTS-01</x:v>
      </x:c>
      <x:c r="R431" s="27" t="str">
        <x:v>Presents a substantial work/body of work with process archive, analysis, and public/audience response.</x:v>
      </x:c>
      <x:c r="S431" s="27" t="str">
        <x:v>SRC13</x:v>
      </x:c>
      <x:c r="T431" s="27" t="str">
        <x:v>Development varies; use observed performance and appropriate supports rather than age alone.</x:v>
      </x:c>
      <x:c r="U431" s="27" t="str"/>
      <x:c r="V431" s="27" t="str"/>
      <x:c r="W431" s="39" t="str"/>
      <x:c r="X431" s="39" t="str"/>
    </x:row>
    <x:row r="432">
      <x:c r="A432" s="27" t="str">
        <x:v>S23-HLTH-01</x:v>
      </x:c>
      <x:c r="B432" s="37" t="n">
        <x:v>428</x:v>
      </x:c>
      <x:c r="C432" s="27" t="str">
        <x:v>S23</x:v>
      </x:c>
      <x:c r="D432" s="37" t="n">
        <x:v>23</x:v>
      </x:c>
      <x:c r="E432" s="27" t="str">
        <x:v>Grade 11</x:v>
      </x:c>
      <x:c r="F432" s="27" t="str">
        <x:v>11</x:v>
      </x:c>
      <x:c r="G432" s="27" t="str">
        <x:v>Algebra II, physics, U.S. history, and research</x:v>
      </x:c>
      <x:c r="H432" s="27" t="str">
        <x:v>Physical &amp; Health</x:v>
      </x:c>
      <x:c r="I432" s="27" t="str">
        <x:v>Lifelong wellness</x:v>
      </x:c>
      <x:c r="J432" s="27" t="str">
        <x:v>Risk management and adaptive plan</x:v>
      </x:c>
      <x:c r="K432" s="27" t="str">
        <x:v>Adapting fitness/health plans to goals, conditions, access, injury prevention, mental health, relationships, environment, and reliable professional guidance.</x:v>
      </x:c>
      <x:c r="L432" s="27" t="str">
        <x:v>Grade 10 health literacy, ethical analysis, and deliberate practice.</x:v>
      </x:c>
      <x:c r="M432" s="27" t="str">
        <x:v>S22-HLTH-01</x:v>
      </x:c>
      <x:c r="N432" s="27" t="str">
        <x:v>G6/G7 — Evidence-based formal system demonstrated through authentic transfer</x:v>
      </x:c>
      <x:c r="O432" s="27" t="str">
        <x:v>Motor/sensory development; life science; measurement/data; SEL/self-management; communication, safety, and decision-making.</x:v>
      </x:c>
      <x:c r="P432" s="27" t="str">
        <x:v>Adaptive planning supports sustainable wellness across changing adult contexts.</x:v>
      </x:c>
      <x:c r="Q432" s="27" t="str">
        <x:v>S24-HLTH-01</x:v>
      </x:c>
      <x:c r="R432" s="27" t="str">
        <x:v>Revises a plan using evidence and clearly states safety boundaries and referral conditions.</x:v>
      </x:c>
      <x:c r="S432" s="27" t="str">
        <x:v>SRC14; SRC15</x:v>
      </x:c>
      <x:c r="T432" s="27" t="str">
        <x:v>Development varies; use observed performance and appropriate supports rather than age alone.</x:v>
      </x:c>
      <x:c r="U432" s="27" t="str"/>
      <x:c r="V432" s="27" t="str"/>
      <x:c r="W432" s="39" t="str"/>
      <x:c r="X432" s="39" t="str"/>
    </x:row>
    <x:row r="433">
      <x:c r="A433" s="27" t="str">
        <x:v>S23-COMP-01</x:v>
      </x:c>
      <x:c r="B433" s="37" t="n">
        <x:v>429</x:v>
      </x:c>
      <x:c r="C433" s="27" t="str">
        <x:v>S23</x:v>
      </x:c>
      <x:c r="D433" s="37" t="n">
        <x:v>23</x:v>
      </x:c>
      <x:c r="E433" s="27" t="str">
        <x:v>Grade 11</x:v>
      </x:c>
      <x:c r="F433" s="27" t="str">
        <x:v>11</x:v>
      </x:c>
      <x:c r="G433" s="27" t="str">
        <x:v>Algebra II, physics, U.S. history, and research</x:v>
      </x:c>
      <x:c r="H433" s="27" t="str">
        <x:v>Computing &amp; Media</x:v>
      </x:c>
      <x:c r="I433" s="27" t="str">
        <x:v>CS specialty</x:v>
      </x:c>
      <x:c r="J433" s="27" t="str">
        <x:v>Data science, AI, cybersecurity, systems, or software pathway</x:v>
      </x:c>
      <x:c r="K433" s="27" t="str">
        <x:v>Applying foundational CS practices in a chosen specialty: questions/data/models, machine learning, secure design, hardware/networks, human-computer interaction, or software engineering.</x:v>
      </x:c>
      <x:c r="L433" s="27" t="str">
        <x:v>Grade 10 abstractions/software engineering/cybersecurity and Algebra II/statistics.</x:v>
      </x:c>
      <x:c r="M433" s="27" t="str">
        <x:v>S22-COMP-02</x:v>
      </x:c>
      <x:c r="N433" s="27" t="str">
        <x:v>G6/G7 — Evidence-based formal system demonstrated through authentic transfer</x:v>
      </x:c>
      <x:c r="O433" s="27" t="str">
        <x:v>Mathematics/logic/data; language and media evidence; science/engineering models; art/design; civics, privacy, finance, and ethics.</x:v>
      </x:c>
      <x:c r="P433" s="27" t="str">
        <x:v>Specialty depth demonstrates how common CS foundations support distinct fields.</x:v>
      </x:c>
      <x:c r="Q433" s="27" t="str">
        <x:v>S24-COMP-01</x:v>
      </x:c>
      <x:c r="R433" s="27" t="str">
        <x:v>Completes an authentic specialty project with tests/validation, documentation, ethics, and limitations.</x:v>
      </x:c>
      <x:c r="S433" s="27" t="str">
        <x:v>SRC16</x:v>
      </x:c>
      <x:c r="T433" s="27" t="str">
        <x:v>Development varies; use observed performance and appropriate supports rather than age alone.</x:v>
      </x:c>
      <x:c r="U433" s="27" t="str"/>
      <x:c r="V433" s="27" t="str"/>
      <x:c r="W433" s="39" t="str"/>
      <x:c r="X433" s="39" t="str"/>
    </x:row>
    <x:row r="434">
      <x:c r="A434" s="27" t="str">
        <x:v>S23-WLANG-01</x:v>
      </x:c>
      <x:c r="B434" s="37" t="n">
        <x:v>430</x:v>
      </x:c>
      <x:c r="C434" s="27" t="str">
        <x:v>S23</x:v>
      </x:c>
      <x:c r="D434" s="37" t="n">
        <x:v>23</x:v>
      </x:c>
      <x:c r="E434" s="27" t="str">
        <x:v>Grade 11</x:v>
      </x:c>
      <x:c r="F434" s="27" t="str">
        <x:v>11</x:v>
      </x:c>
      <x:c r="G434" s="27" t="str">
        <x:v>Algebra II, physics, U.S. history, and research</x:v>
      </x:c>
      <x:c r="H434" s="27" t="str">
        <x:v>World Languages</x:v>
      </x:c>
      <x:c r="I434" s="27" t="str">
        <x:v>Proficiency</x:v>
      </x:c>
      <x:c r="J434" s="27" t="str">
        <x:v>Advanced-low emerging communication</x:v>
      </x:c>
      <x:c r="K434" s="27" t="str">
        <x:v>Narrating/describing across time frames in paragraph discourse, handling complications in familiar contexts, interpreting richer authentic sources, and presenting supported viewpoints/cultural analysis.</x:v>
      </x:c>
      <x:c r="L434" s="27" t="str">
        <x:v>Grade 10 intermediate-high discourse and research/rhetoric skills.</x:v>
      </x:c>
      <x:c r="M434" s="27" t="str">
        <x:v>S22-WLANG-01</x:v>
      </x:c>
      <x:c r="N434" s="27" t="str">
        <x:v>G6/G7 — Evidence-based formal system demonstrated through authentic transfer</x:v>
      </x:c>
      <x:c r="O434" s="27" t="str">
        <x:v>Oral language, reading, and writing; memory/retrieval; social interaction; history/geography/arts; intercultural perspective.</x:v>
      </x:c>
      <x:c r="P434" s="27" t="str">
        <x:v>Time-frame and paragraph control support sustained academic, community, and workplace communication.</x:v>
      </x:c>
      <x:c r="Q434" s="27" t="str">
        <x:v>S24-WLANG-01</x:v>
      </x:c>
      <x:c r="R434" s="27" t="str">
        <x:v>Handles an unexpected complication and produces supported multi-paragraph communication.</x:v>
      </x:c>
      <x:c r="S434" s="27" t="str">
        <x:v>SRC17</x:v>
      </x:c>
      <x:c r="T434" s="27" t="str">
        <x:v>Use current proficiency evidence for placement.</x:v>
      </x:c>
      <x:c r="U434" s="27" t="str"/>
      <x:c r="V434" s="27" t="str"/>
      <x:c r="W434" s="39" t="str"/>
      <x:c r="X434" s="39" t="str"/>
    </x:row>
    <x:row r="435">
      <x:c r="A435" s="27" t="str">
        <x:v>S23-LIFE-01</x:v>
      </x:c>
      <x:c r="B435" s="37" t="n">
        <x:v>431</x:v>
      </x:c>
      <x:c r="C435" s="27" t="str">
        <x:v>S23</x:v>
      </x:c>
      <x:c r="D435" s="37" t="n">
        <x:v>23</x:v>
      </x:c>
      <x:c r="E435" s="27" t="str">
        <x:v>Grade 11</x:v>
      </x:c>
      <x:c r="F435" s="27" t="str">
        <x:v>11</x:v>
      </x:c>
      <x:c r="G435" s="27" t="str">
        <x:v>Algebra II, physics, U.S. history, and research</x:v>
      </x:c>
      <x:c r="H435" s="27" t="str">
        <x:v>Life, Finance &amp; Career</x:v>
      </x:c>
      <x:c r="I435" s="27" t="str">
        <x:v>Personal finance</x:v>
      </x:c>
      <x:c r="J435" s="27" t="str">
        <x:v>Investing, diversification, retirement, taxes, and major goals</x:v>
      </x:c>
      <x:c r="K435" s="27" t="str">
        <x:v>Comparing asset classes/risk-return/liquidity, explaining diversification and compounding, estimating taxes/retirement needs, and planning education/housing/transportation goals.</x:v>
      </x:c>
      <x:c r="L435" s="27" t="str">
        <x:v>Grade 10 loans/insurance, Algebra II exponentials/statistics, and pathway planning.</x:v>
      </x:c>
      <x:c r="M435" s="27" t="str">
        <x:v>S22-LIFE-01</x:v>
      </x:c>
      <x:c r="N435" s="27" t="str">
        <x:v>G6/G7 — Evidence-based formal system demonstrated through authentic transfer</x:v>
      </x:c>
      <x:c r="O435" s="27" t="str">
        <x:v>Mathematics/percent/growth; economics/civics; reading contracts/sources; computing/privacy; SEL, planning, and risk decisions.</x:v>
      </x:c>
      <x:c r="P435" s="27" t="str">
        <x:v>Long-horizon modeling and risk allocation prepare durable adult financial decisions.</x:v>
      </x:c>
      <x:c r="Q435" s="27" t="str">
        <x:v>S24-LIFE-01</x:v>
      </x:c>
      <x:c r="R435" s="27" t="str">
        <x:v>Creates a goal-based financial model with assumptions, scenarios, risk controls, and update triggers.</x:v>
      </x:c>
      <x:c r="S435" s="27" t="str">
        <x:v>SRC19</x:v>
      </x:c>
      <x:c r="T435" s="27" t="str">
        <x:v>Development varies; use observed performance and appropriate supports rather than age alone.</x:v>
      </x:c>
      <x:c r="U435" s="27" t="str"/>
      <x:c r="V435" s="27" t="str"/>
      <x:c r="W435" s="39" t="str"/>
      <x:c r="X435" s="39" t="str"/>
    </x:row>
    <x:row r="436">
      <x:c r="A436" s="27" t="str">
        <x:v>S24-LEARN-01</x:v>
      </x:c>
      <x:c r="B436" s="37" t="n">
        <x:v>432</x:v>
      </x:c>
      <x:c r="C436" s="27" t="str">
        <x:v>S24</x:v>
      </x:c>
      <x:c r="D436" s="37" t="n">
        <x:v>24</x:v>
      </x:c>
      <x:c r="E436" s="27" t="str">
        <x:v>Grade 12</x:v>
      </x:c>
      <x:c r="F436" s="27" t="str">
        <x:v>12</x:v>
      </x:c>
      <x:c r="G436" s="27" t="str">
        <x:v>Advanced mathematics, government/economics, and synthesis</x:v>
      </x:c>
      <x:c r="H436" s="27" t="str">
        <x:v>Learning Foundations</x:v>
      </x:c>
      <x:c r="I436" s="27" t="str">
        <x:v>Independent learning system</x:v>
      </x:c>
      <x:c r="J436" s="27" t="str">
        <x:v>Question–map–learn–retrieve–apply–audit</x:v>
      </x:c>
      <x:c r="K436" s="27" t="str">
        <x:v>Defining a learning goal, mapping prerequisites, selecting reliable resources, encoding relationships, scheduling retrieval, applying in authentic work, and auditing evidence/limits.</x:v>
      </x:c>
      <x:c r="L436" s="27" t="str">
        <x:v>All prior memory architecture, research, transfer, and project skills.</x:v>
      </x:c>
      <x:c r="M436" s="27" t="str">
        <x:v>S23-LEARN-01</x:v>
      </x:c>
      <x:c r="N436" s="27" t="str">
        <x:v>G6/G7 — Evidence-based formal system demonstrated through authentic transfer</x:v>
      </x:c>
      <x:c r="O436" s="27" t="str">
        <x:v>All domains: attention, memory, strategy choice, monitoring, retrieval, and transfer.</x:v>
      </x:c>
      <x:c r="P436" s="27" t="str">
        <x:v>A reusable self-teaching system is the culminating educational tool.</x:v>
      </x:c>
      <x:c r="Q436" s="27" t="str">
        <x:v>S25-LEARN-01</x:v>
      </x:c>
      <x:c r="R436" s="27" t="str">
        <x:v>Independently learns a bounded new topic and submits the prerequisite map, retrieval record, application, and accuracy audit.</x:v>
      </x:c>
      <x:c r="S436" s="27" t="str">
        <x:v>SRC23; SRC29; SRC34</x:v>
      </x:c>
      <x:c r="T436" s="27" t="str">
        <x:v>Development varies; use observed performance and appropriate supports rather than age alone.</x:v>
      </x:c>
      <x:c r="U436" s="27" t="str"/>
      <x:c r="V436" s="27" t="str"/>
      <x:c r="W436" s="39" t="str"/>
      <x:c r="X436" s="39" t="str"/>
    </x:row>
    <x:row r="437">
      <x:c r="A437" s="27" t="str">
        <x:v>S24-SEL-01</x:v>
      </x:c>
      <x:c r="B437" s="37" t="n">
        <x:v>433</x:v>
      </x:c>
      <x:c r="C437" s="27" t="str">
        <x:v>S24</x:v>
      </x:c>
      <x:c r="D437" s="37" t="n">
        <x:v>24</x:v>
      </x:c>
      <x:c r="E437" s="27" t="str">
        <x:v>Grade 12</x:v>
      </x:c>
      <x:c r="F437" s="27" t="str">
        <x:v>12</x:v>
      </x:c>
      <x:c r="G437" s="27" t="str">
        <x:v>Advanced mathematics, government/economics, and synthesis</x:v>
      </x:c>
      <x:c r="H437" s="27" t="str">
        <x:v>Social-Emotional</x:v>
      </x:c>
      <x:c r="I437" s="27" t="str">
        <x:v>Transition</x:v>
      </x:c>
      <x:c r="J437" s="27" t="str">
        <x:v>Adult systems navigation and support network</x:v>
      </x:c>
      <x:c r="K437" s="27" t="str">
        <x:v>Managing deadlines, records, communication, accommodations/supports, conflict, health, transportation, finances, and institutional procedures during transition.</x:v>
      </x:c>
      <x:c r="L437" s="27" t="str">
        <x:v>Workload systems, self-advocacy, negotiation, and planning.</x:v>
      </x:c>
      <x:c r="M437" s="27" t="str">
        <x:v>S23-SEL-01</x:v>
      </x:c>
      <x:c r="N437" s="27" t="str">
        <x:v>G6/G7 — Evidence-based formal system demonstrated through authentic transfer</x:v>
      </x:c>
      <x:c r="O437" s="27" t="str">
        <x:v>Language and communication; health; collaboration in science, arts, civics, and projects; responsible digital/financial decisions.</x:v>
      </x:c>
      <x:c r="P437" s="27" t="str">
        <x:v>Navigation skills convert academic competence into real access and continuity.</x:v>
      </x:c>
      <x:c r="Q437" s="27" t="str">
        <x:v>CULMINATION / CONTINUING STUDY</x:v>
      </x:c>
      <x:c r="R437" s="27" t="str">
        <x:v>Completes a real or simulated multi-agency/institution task with records, communication, and contingency plan.</x:v>
      </x:c>
      <x:c r="S437" s="27" t="str">
        <x:v>SRC18</x:v>
      </x:c>
      <x:c r="T437" s="27" t="str">
        <x:v>Development varies; use observed performance and appropriate supports rather than age alone.</x:v>
      </x:c>
      <x:c r="U437" s="27" t="str"/>
      <x:c r="V437" s="27" t="str"/>
      <x:c r="W437" s="39" t="str"/>
      <x:c r="X437" s="39" t="str"/>
    </x:row>
    <x:row r="438">
      <x:c r="A438" s="27" t="str">
        <x:v>S24-READ-01</x:v>
      </x:c>
      <x:c r="B438" s="37" t="n">
        <x:v>434</x:v>
      </x:c>
      <x:c r="C438" s="27" t="str">
        <x:v>S24</x:v>
      </x:c>
      <x:c r="D438" s="37" t="n">
        <x:v>24</x:v>
      </x:c>
      <x:c r="E438" s="27" t="str">
        <x:v>Grade 12</x:v>
      </x:c>
      <x:c r="F438" s="27" t="str">
        <x:v>12</x:v>
      </x:c>
      <x:c r="G438" s="27" t="str">
        <x:v>Advanced mathematics, government/economics, and synthesis</x:v>
      </x:c>
      <x:c r="H438" s="27" t="str">
        <x:v>Reading</x:v>
      </x:c>
      <x:c r="I438" s="27" t="str">
        <x:v>College/career literacy</x:v>
      </x:c>
      <x:c r="J438" s="27" t="str">
        <x:v>Independent complex-text synthesis</x:v>
      </x:c>
      <x:c r="K438" s="27" t="str">
        <x:v>Reading unfamiliar complex literary, technical, legal/civic, quantitative, and workplace texts; verifying terms/claims; and synthesizing across formats for a real purpose.</x:v>
      </x:c>
      <x:c r="L438" s="27" t="str">
        <x:v>Grade 11 advanced argument/literary lenses and research.</x:v>
      </x:c>
      <x:c r="M438" s="27" t="str">
        <x:v>S23-READ-02</x:v>
      </x:c>
      <x:c r="N438" s="27" t="str">
        <x:v>G6/G7 — Evidence-based formal system demonstrated through authentic transfer</x:v>
      </x:c>
      <x:c r="O438" s="27" t="str">
        <x:v>Oral language and writing; evidence in science/social studies; mathematical and technical problem interpretation; media verification.</x:v>
      </x:c>
      <x:c r="P438" s="27" t="str">
        <x:v>Independent cross-domain literacy is required for postsecondary learning and civic/work decisions.</x:v>
      </x:c>
      <x:c r="Q438" s="27" t="str">
        <x:v>CULMINATION / CONTINUING STUDY</x:v>
      </x:c>
      <x:c r="R438" s="27" t="str">
        <x:v>Produces a purpose-driven synthesis with verified definitions, evidence trace, and stated uncertainty.</x:v>
      </x:c>
      <x:c r="S438" s="27" t="str">
        <x:v>SRC10; SRC20</x:v>
      </x:c>
      <x:c r="T438" s="27" t="str">
        <x:v>Development varies; use observed performance and appropriate supports rather than age alone.</x:v>
      </x:c>
      <x:c r="U438" s="27" t="str"/>
      <x:c r="V438" s="27" t="str"/>
      <x:c r="W438" s="39" t="str"/>
      <x:c r="X438" s="39" t="str"/>
    </x:row>
    <x:row r="439">
      <x:c r="A439" s="27" t="str">
        <x:v>S24-WRITE-01</x:v>
      </x:c>
      <x:c r="B439" s="37" t="n">
        <x:v>435</x:v>
      </x:c>
      <x:c r="C439" s="27" t="str">
        <x:v>S24</x:v>
      </x:c>
      <x:c r="D439" s="37" t="n">
        <x:v>24</x:v>
      </x:c>
      <x:c r="E439" s="27" t="str">
        <x:v>Grade 12</x:v>
      </x:c>
      <x:c r="F439" s="27" t="str">
        <x:v>12</x:v>
      </x:c>
      <x:c r="G439" s="27" t="str">
        <x:v>Advanced mathematics, government/economics, and synthesis</x:v>
      </x:c>
      <x:c r="H439" s="27" t="str">
        <x:v>Writing &amp; Language</x:v>
      </x:c>
      <x:c r="I439" s="27" t="str">
        <x:v>Capstone communication</x:v>
      </x:c>
      <x:c r="J439" s="27" t="str">
        <x:v>Document, presentation, defense, and revision</x:v>
      </x:c>
      <x:c r="K439" s="27" t="str">
        <x:v>Producing a substantial written/technical/creative artifact, presenting it to an audience, defending methods/claims/choices, and revising from critique.</x:v>
      </x:c>
      <x:c r="L439" s="27" t="str">
        <x:v>Advanced composition, research architecture, multimedia defense, and independent projects.</x:v>
      </x:c>
      <x:c r="M439" s="27" t="str">
        <x:v>S23-WRITE-02</x:v>
      </x:c>
      <x:c r="N439" s="27" t="str">
        <x:v>G6/G7 — Evidence-based formal system demonstrated through authentic transfer</x:v>
      </x:c>
      <x:c r="O439" s="27" t="str">
        <x:v>Reading models; evidence from science/social studies; mathematical explanation; research, media, and presentation.</x:v>
      </x:c>
      <x:c r="P439" s="27" t="str">
        <x:v>Public defense tests integration, communication, and transfer under authentic questions.</x:v>
      </x:c>
      <x:c r="Q439" s="27" t="str">
        <x:v>S25-WRITE-01</x:v>
      </x:c>
      <x:c r="R439" s="27" t="str">
        <x:v>Delivers an artifact with source/process record, presentation, question defense, and final revision memo.</x:v>
      </x:c>
      <x:c r="S439" s="27" t="str">
        <x:v>SRC10; SRC22</x:v>
      </x:c>
      <x:c r="T439" s="27" t="str">
        <x:v>Development varies; use observed performance and appropriate supports rather than age alone.</x:v>
      </x:c>
      <x:c r="U439" s="27" t="str"/>
      <x:c r="V439" s="27" t="str"/>
      <x:c r="W439" s="39" t="str"/>
      <x:c r="X439" s="39" t="str"/>
    </x:row>
    <x:row r="440">
      <x:c r="A440" s="27" t="str">
        <x:v>S24-MATH-01</x:v>
      </x:c>
      <x:c r="B440" s="37" t="n">
        <x:v>436</x:v>
      </x:c>
      <x:c r="C440" s="27" t="str">
        <x:v>S24</x:v>
      </x:c>
      <x:c r="D440" s="37" t="n">
        <x:v>24</x:v>
      </x:c>
      <x:c r="E440" s="27" t="str">
        <x:v>Grade 12</x:v>
      </x:c>
      <x:c r="F440" s="27" t="str">
        <x:v>12</x:v>
      </x:c>
      <x:c r="G440" s="27" t="str">
        <x:v>Advanced mathematics, government/economics, and synthesis</x:v>
      </x:c>
      <x:c r="H440" s="27" t="str">
        <x:v>Mathematics</x:v>
      </x:c>
      <x:c r="I440" s="27" t="str">
        <x:v>Precalculus — functions</x:v>
      </x:c>
      <x:c r="J440" s="27" t="str">
        <x:v>Polynomial, rational, exponential, and logarithmic analysis</x:v>
      </x:c>
      <x:c r="K440" s="27" t="str">
        <x:v>Analyzing end behavior, zeros, asymptotes, transformations, composition/inverses, rates, and models across major function families.</x:v>
      </x:c>
      <x:c r="L440" s="27" t="str">
        <x:v>Algebra II function families and symbolic fluency.</x:v>
      </x:c>
      <x:c r="M440" s="27" t="str">
        <x:v>S23-MATH-07</x:v>
      </x:c>
      <x:c r="N440" s="27" t="str">
        <x:v>G6/G7 — Evidence-based formal system demonstrated through authentic transfer</x:v>
      </x:c>
      <x:c r="O440" s="27" t="str">
        <x:v>Physical quantity and spatial action; science measurement/models; computing/algorithms; finance; music rhythm/pattern; geographic data.</x:v>
      </x:c>
      <x:c r="P440" s="27" t="str">
        <x:v>Unified function analysis is the direct preparation for limits and calculus.</x:v>
      </x:c>
      <x:c r="Q440" s="27" t="str">
        <x:v>S24-MATH-02</x:v>
      </x:c>
      <x:c r="R440" s="27" t="str">
        <x:v>Builds/compares a model and explains behavior, parameters, domain, and limitations.</x:v>
      </x:c>
      <x:c r="S440" s="27" t="str">
        <x:v>SRC26</x:v>
      </x:c>
      <x:c r="T440" s="27" t="str">
        <x:v>Development varies; use observed performance and appropriate supports rather than age alone.</x:v>
      </x:c>
      <x:c r="U440" s="27" t="str"/>
      <x:c r="V440" s="27" t="str"/>
      <x:c r="W440" s="39" t="str"/>
      <x:c r="X440" s="39" t="str"/>
    </x:row>
    <x:row r="441">
      <x:c r="A441" s="27" t="str">
        <x:v>S24-MATH-02</x:v>
      </x:c>
      <x:c r="B441" s="37" t="n">
        <x:v>437</x:v>
      </x:c>
      <x:c r="C441" s="27" t="str">
        <x:v>S24</x:v>
      </x:c>
      <x:c r="D441" s="37" t="n">
        <x:v>24</x:v>
      </x:c>
      <x:c r="E441" s="27" t="str">
        <x:v>Grade 12</x:v>
      </x:c>
      <x:c r="F441" s="27" t="str">
        <x:v>12</x:v>
      </x:c>
      <x:c r="G441" s="27" t="str">
        <x:v>Advanced mathematics, government/economics, and synthesis</x:v>
      </x:c>
      <x:c r="H441" s="27" t="str">
        <x:v>Mathematics</x:v>
      </x:c>
      <x:c r="I441" s="27" t="str">
        <x:v>Precalculus — trigonometry</x:v>
      </x:c>
      <x:c r="J441" s="27" t="str">
        <x:v>Unit-circle functions, identities, equations, and modeling</x:v>
      </x:c>
      <x:c r="K441" s="27" t="str">
        <x:v>Using radians, unit-circle values, graphs, inverse trig, identities, laws of sines/cosines, and periodic models.</x:v>
      </x:c>
      <x:c r="L441" s="27" t="str">
        <x:v>Algebra II trig, Geometry similarity, and function transformations.</x:v>
      </x:c>
      <x:c r="M441" s="27" t="str">
        <x:v>S24-MATH-01</x:v>
      </x:c>
      <x:c r="N441" s="27" t="str">
        <x:v>G6/G7 — Evidence-based formal system demonstrated through authentic transfer</x:v>
      </x:c>
      <x:c r="O441" s="27" t="str">
        <x:v>Physical quantity and spatial action; science measurement/models; computing/algorithms; finance; music rhythm/pattern; geographic data.</x:v>
      </x:c>
      <x:c r="P441" s="27" t="str">
        <x:v>Fluent trig functions support calculus, physics, engineering, and signal analysis.</x:v>
      </x:c>
      <x:c r="Q441" s="27" t="str">
        <x:v>S24-MATH-03</x:v>
      </x:c>
      <x:c r="R441" s="27" t="str">
        <x:v>Solves and models a periodic/triangle problem and justifies transformations/solution set.</x:v>
      </x:c>
      <x:c r="S441" s="27" t="str">
        <x:v>SRC26</x:v>
      </x:c>
      <x:c r="T441" s="27" t="str">
        <x:v>Development varies; use observed performance and appropriate supports rather than age alone.</x:v>
      </x:c>
      <x:c r="U441" s="27" t="str"/>
      <x:c r="V441" s="27" t="str"/>
      <x:c r="W441" s="39" t="str"/>
      <x:c r="X441" s="39" t="str"/>
    </x:row>
    <x:row r="442">
      <x:c r="A442" s="27" t="str">
        <x:v>S24-MATH-03</x:v>
      </x:c>
      <x:c r="B442" s="37" t="n">
        <x:v>438</x:v>
      </x:c>
      <x:c r="C442" s="27" t="str">
        <x:v>S24</x:v>
      </x:c>
      <x:c r="D442" s="37" t="n">
        <x:v>24</x:v>
      </x:c>
      <x:c r="E442" s="27" t="str">
        <x:v>Grade 12</x:v>
      </x:c>
      <x:c r="F442" s="27" t="str">
        <x:v>12</x:v>
      </x:c>
      <x:c r="G442" s="27" t="str">
        <x:v>Advanced mathematics, government/economics, and synthesis</x:v>
      </x:c>
      <x:c r="H442" s="27" t="str">
        <x:v>Mathematics</x:v>
      </x:c>
      <x:c r="I442" s="27" t="str">
        <x:v>Precalculus — advanced representations</x:v>
      </x:c>
      <x:c r="J442" s="27" t="str">
        <x:v>Vectors, matrices, parametric, and polar forms</x:v>
      </x:c>
      <x:c r="K442" s="27" t="str">
        <x:v>Representing quantities/transformations with vectors and matrices and describing curves/motion with parametric and polar equations where pathway includes them.</x:v>
      </x:c>
      <x:c r="L442" s="27" t="str">
        <x:v>Coordinate geometry, systems, trig, and function notation.</x:v>
      </x:c>
      <x:c r="M442" s="27" t="str">
        <x:v>S24-MATH-02</x:v>
      </x:c>
      <x:c r="N442" s="27" t="str">
        <x:v>G6/G7 — Evidence-based formal system demonstrated through authentic transfer</x:v>
      </x:c>
      <x:c r="O442" s="27" t="str">
        <x:v>Physical quantity and spatial action; science measurement/models; computing/algorithms; finance; music rhythm/pattern; geographic data.</x:v>
      </x:c>
      <x:c r="P442" s="27" t="str">
        <x:v>These representations prepare linear algebra, multivariable modeling, graphics, robotics, and Calculus BC topics.</x:v>
      </x:c>
      <x:c r="Q442" s="27" t="str">
        <x:v>S24-MATH-04</x:v>
      </x:c>
      <x:c r="R442" s="27" t="str">
        <x:v>Translates a problem into an appropriate advanced representation and interprets the result geometrically.</x:v>
      </x:c>
      <x:c r="S442" s="27" t="str">
        <x:v>SRC26</x:v>
      </x:c>
      <x:c r="T442" s="27" t="str">
        <x:v>Development varies; use observed performance and appropriate supports rather than age alone.</x:v>
      </x:c>
      <x:c r="U442" s="27" t="str"/>
      <x:c r="V442" s="27" t="str"/>
      <x:c r="W442" s="39" t="str"/>
      <x:c r="X442" s="39" t="str"/>
    </x:row>
    <x:row r="443">
      <x:c r="A443" s="27" t="str">
        <x:v>S24-MATH-04</x:v>
      </x:c>
      <x:c r="B443" s="37" t="n">
        <x:v>439</x:v>
      </x:c>
      <x:c r="C443" s="27" t="str">
        <x:v>S24</x:v>
      </x:c>
      <x:c r="D443" s="37" t="n">
        <x:v>24</x:v>
      </x:c>
      <x:c r="E443" s="27" t="str">
        <x:v>Grade 12</x:v>
      </x:c>
      <x:c r="F443" s="27" t="str">
        <x:v>12</x:v>
      </x:c>
      <x:c r="G443" s="27" t="str">
        <x:v>Advanced mathematics, government/economics, and synthesis</x:v>
      </x:c>
      <x:c r="H443" s="27" t="str">
        <x:v>Mathematics</x:v>
      </x:c>
      <x:c r="I443" s="27" t="str">
        <x:v>Statistics — design</x:v>
      </x:c>
      <x:c r="J443" s="27" t="str">
        <x:v>Questions, sampling, experiments, bias, and causation</x:v>
      </x:c>
      <x:c r="K443" s="27" t="str">
        <x:v>Designing observational studies/surveys/experiments; using random selection/assignment appropriately; and analyzing bias, confounding, scope of inference, and ethics.</x:v>
      </x:c>
      <x:c r="L443" s="27" t="str">
        <x:v>Algebra II statistics, source evaluation, and research methods.</x:v>
      </x:c>
      <x:c r="M443" s="27" t="str">
        <x:v>S24-MATH-03</x:v>
      </x:c>
      <x:c r="N443" s="27" t="str">
        <x:v>G6/G7 — Evidence-based formal system demonstrated through authentic transfer</x:v>
      </x:c>
      <x:c r="O443" s="27" t="str">
        <x:v>Physical quantity and spatial action; science measurement/models; computing/algorithms; finance; music rhythm/pattern; geographic data.</x:v>
      </x:c>
      <x:c r="P443" s="27" t="str">
        <x:v>Study design determines what a statistical result can legitimately claim.</x:v>
      </x:c>
      <x:c r="Q443" s="27" t="str">
        <x:v>S24-MATH-05</x:v>
      </x:c>
      <x:c r="R443" s="27" t="str">
        <x:v>Critiques or designs a study and states exactly which population/causal claims are warranted.</x:v>
      </x:c>
      <x:c r="S443" s="27" t="str">
        <x:v>SRC28</x:v>
      </x:c>
      <x:c r="T443" s="27" t="str">
        <x:v>Development varies; use observed performance and appropriate supports rather than age alone.</x:v>
      </x:c>
      <x:c r="U443" s="27" t="str"/>
      <x:c r="V443" s="27" t="str"/>
      <x:c r="W443" s="39" t="str"/>
      <x:c r="X443" s="39" t="str"/>
    </x:row>
    <x:row r="444">
      <x:c r="A444" s="27" t="str">
        <x:v>S24-MATH-05</x:v>
      </x:c>
      <x:c r="B444" s="37" t="n">
        <x:v>440</x:v>
      </x:c>
      <x:c r="C444" s="27" t="str">
        <x:v>S24</x:v>
      </x:c>
      <x:c r="D444" s="37" t="n">
        <x:v>24</x:v>
      </x:c>
      <x:c r="E444" s="27" t="str">
        <x:v>Grade 12</x:v>
      </x:c>
      <x:c r="F444" s="27" t="str">
        <x:v>12</x:v>
      </x:c>
      <x:c r="G444" s="27" t="str">
        <x:v>Advanced mathematics, government/economics, and synthesis</x:v>
      </x:c>
      <x:c r="H444" s="27" t="str">
        <x:v>Mathematics</x:v>
      </x:c>
      <x:c r="I444" s="27" t="str">
        <x:v>Statistics — distributions/probability</x:v>
      </x:c>
      <x:c r="J444" s="27" t="str">
        <x:v>One/two-variable data, probability, random variables, and distributions</x:v>
      </x:c>
      <x:c r="K444" s="27" t="str">
        <x:v>Exploring data with numerical/graphical summaries, modeling chance, calculating conditional probability, and using random-variable distributions.</x:v>
      </x:c>
      <x:c r="L444" s="27" t="str">
        <x:v>Grade 7–11 statistics/probability, functions, and algebra.</x:v>
      </x:c>
      <x:c r="M444" s="27" t="str">
        <x:v>S24-MATH-04</x:v>
      </x:c>
      <x:c r="N444" s="27" t="str">
        <x:v>G6/G7 — Evidence-based formal system demonstrated through authentic transfer</x:v>
      </x:c>
      <x:c r="O444" s="27" t="str">
        <x:v>Physical quantity and spatial action; science measurement/models; computing/algorithms; finance; music rhythm/pattern; geographic data.</x:v>
      </x:c>
      <x:c r="P444" s="27" t="str">
        <x:v>Probability models connect random processes to expected distributional behavior.</x:v>
      </x:c>
      <x:c r="Q444" s="27" t="str">
        <x:v>S24-MATH-06</x:v>
      </x:c>
      <x:c r="R444" s="27" t="str">
        <x:v>Selects a model, checks conditions, calculates, and interprets probability in context.</x:v>
      </x:c>
      <x:c r="S444" s="27" t="str">
        <x:v>SRC28</x:v>
      </x:c>
      <x:c r="T444" s="27" t="str">
        <x:v>Development varies; use observed performance and appropriate supports rather than age alone.</x:v>
      </x:c>
      <x:c r="U444" s="27" t="str"/>
      <x:c r="V444" s="27" t="str"/>
      <x:c r="W444" s="39" t="str"/>
      <x:c r="X444" s="39" t="str"/>
    </x:row>
    <x:row r="445">
      <x:c r="A445" s="27" t="str">
        <x:v>S24-MATH-06</x:v>
      </x:c>
      <x:c r="B445" s="37" t="n">
        <x:v>441</x:v>
      </x:c>
      <x:c r="C445" s="27" t="str">
        <x:v>S24</x:v>
      </x:c>
      <x:c r="D445" s="37" t="n">
        <x:v>24</x:v>
      </x:c>
      <x:c r="E445" s="27" t="str">
        <x:v>Grade 12</x:v>
      </x:c>
      <x:c r="F445" s="27" t="str">
        <x:v>12</x:v>
      </x:c>
      <x:c r="G445" s="27" t="str">
        <x:v>Advanced mathematics, government/economics, and synthesis</x:v>
      </x:c>
      <x:c r="H445" s="27" t="str">
        <x:v>Mathematics</x:v>
      </x:c>
      <x:c r="I445" s="27" t="str">
        <x:v>Statistics — inference</x:v>
      </x:c>
      <x:c r="J445" s="27" t="str">
        <x:v>Confidence intervals, significance tests, and regression</x:v>
      </x:c>
      <x:c r="K445" s="27" t="str">
        <x:v>Estimating parameters, testing claims for proportions/means, analyzing regression, checking conditions, and interpreting statistical versus practical significance.</x:v>
      </x:c>
      <x:c r="L445" s="27" t="str">
        <x:v>Statistics design/distributions and Algebra II regression.</x:v>
      </x:c>
      <x:c r="M445" s="27" t="str">
        <x:v>S24-MATH-05</x:v>
      </x:c>
      <x:c r="N445" s="27" t="str">
        <x:v>G6/G7 — Evidence-based formal system demonstrated through authentic transfer</x:v>
      </x:c>
      <x:c r="O445" s="27" t="str">
        <x:v>Physical quantity and spatial action; science measurement/models; computing/algorithms; finance; music rhythm/pattern; geographic data.</x:v>
      </x:c>
      <x:c r="P445" s="27" t="str">
        <x:v>Inference quantifies how sample evidence bears on population/model claims.</x:v>
      </x:c>
      <x:c r="Q445" s="27" t="str">
        <x:v>S24-MATH-07</x:v>
      </x:c>
      <x:c r="R445" s="27" t="str">
        <x:v>Conducts an inference procedure and explains conclusion, uncertainty, assumptions, and practical meaning.</x:v>
      </x:c>
      <x:c r="S445" s="27" t="str">
        <x:v>SRC28</x:v>
      </x:c>
      <x:c r="T445" s="27" t="str">
        <x:v>Development varies; use observed performance and appropriate supports rather than age alone.</x:v>
      </x:c>
      <x:c r="U445" s="27" t="str"/>
      <x:c r="V445" s="27" t="str"/>
      <x:c r="W445" s="39" t="str"/>
      <x:c r="X445" s="39" t="str"/>
    </x:row>
    <x:row r="446">
      <x:c r="A446" s="27" t="str">
        <x:v>S24-MATH-07</x:v>
      </x:c>
      <x:c r="B446" s="37" t="n">
        <x:v>442</x:v>
      </x:c>
      <x:c r="C446" s="27" t="str">
        <x:v>S24</x:v>
      </x:c>
      <x:c r="D446" s="37" t="n">
        <x:v>24</x:v>
      </x:c>
      <x:c r="E446" s="27" t="str">
        <x:v>Grade 12</x:v>
      </x:c>
      <x:c r="F446" s="27" t="str">
        <x:v>12</x:v>
      </x:c>
      <x:c r="G446" s="27" t="str">
        <x:v>Advanced mathematics, government/economics, and synthesis</x:v>
      </x:c>
      <x:c r="H446" s="27" t="str">
        <x:v>Mathematics</x:v>
      </x:c>
      <x:c r="I446" s="27" t="str">
        <x:v>Calculus — limits</x:v>
      </x:c>
      <x:c r="J446" s="27" t="str">
        <x:v>Limits and continuity</x:v>
      </x:c>
      <x:c r="K446" s="27" t="str">
        <x:v>Analyzing instantaneous/accumulated behavior through numerical, graphical, and algebraic limits and continuity.</x:v>
      </x:c>
      <x:c r="L446" s="27" t="str">
        <x:v>Precalculus function behavior, algebraic manipulation, and modeling.</x:v>
      </x:c>
      <x:c r="M446" s="27" t="str">
        <x:v>S24-MATH-06</x:v>
      </x:c>
      <x:c r="N446" s="27" t="str">
        <x:v>G6/G7 — Evidence-based formal system demonstrated through authentic transfer</x:v>
      </x:c>
      <x:c r="O446" s="27" t="str">
        <x:v>Physical quantity and spatial action; science measurement/models; computing/algorithms; finance; music rhythm/pattern; geographic data.</x:v>
      </x:c>
      <x:c r="P446" s="27" t="str">
        <x:v>Limits rigorously define derivatives and integrals.</x:v>
      </x:c>
      <x:c r="Q446" s="27" t="str">
        <x:v>S24-MATH-08</x:v>
      </x:c>
      <x:c r="R446" s="27" t="str">
        <x:v>Evaluates/interprets a limit and connects it to local function behavior.</x:v>
      </x:c>
      <x:c r="S446" s="27" t="str">
        <x:v>SRC27</x:v>
      </x:c>
      <x:c r="T446" s="27" t="str">
        <x:v>Development varies; use observed performance and appropriate supports rather than age alone.</x:v>
      </x:c>
      <x:c r="U446" s="27" t="str"/>
      <x:c r="V446" s="27" t="str"/>
      <x:c r="W446" s="39" t="str"/>
      <x:c r="X446" s="39" t="str"/>
    </x:row>
    <x:row r="447">
      <x:c r="A447" s="27" t="str">
        <x:v>S24-MATH-08</x:v>
      </x:c>
      <x:c r="B447" s="37" t="n">
        <x:v>443</x:v>
      </x:c>
      <x:c r="C447" s="27" t="str">
        <x:v>S24</x:v>
      </x:c>
      <x:c r="D447" s="37" t="n">
        <x:v>24</x:v>
      </x:c>
      <x:c r="E447" s="27" t="str">
        <x:v>Grade 12</x:v>
      </x:c>
      <x:c r="F447" s="27" t="str">
        <x:v>12</x:v>
      </x:c>
      <x:c r="G447" s="27" t="str">
        <x:v>Advanced mathematics, government/economics, and synthesis</x:v>
      </x:c>
      <x:c r="H447" s="27" t="str">
        <x:v>Mathematics</x:v>
      </x:c>
      <x:c r="I447" s="27" t="str">
        <x:v>Calculus — derivatives</x:v>
      </x:c>
      <x:c r="J447" s="27" t="str">
        <x:v>Derivative rules, representations, and applications</x:v>
      </x:c>
      <x:c r="K447" s="27" t="str">
        <x:v>Defining derivative as a limit/rate, applying rules including composite/implicit/inverse cases, and using derivatives for motion, optimization, related rates, approximation, and graph analysis.</x:v>
      </x:c>
      <x:c r="L447" s="27" t="str">
        <x:v>Limits, functions, trig/exponential/logarithmic fluency.</x:v>
      </x:c>
      <x:c r="M447" s="27" t="str">
        <x:v>S24-MATH-07</x:v>
      </x:c>
      <x:c r="N447" s="27" t="str">
        <x:v>G6/G7 — Evidence-based formal system demonstrated through authentic transfer</x:v>
      </x:c>
      <x:c r="O447" s="27" t="str">
        <x:v>Physical quantity and spatial action; science measurement/models; computing/algorithms; finance; music rhythm/pattern; geographic data.</x:v>
      </x:c>
      <x:c r="P447" s="27" t="str">
        <x:v>Derivatives quantify local change and support prediction/optimization.</x:v>
      </x:c>
      <x:c r="Q447" s="27" t="str">
        <x:v>S24-MATH-09</x:v>
      </x:c>
      <x:c r="R447" s="27" t="str">
        <x:v>Computes and interprets a derivative-based conclusion with units and conditions.</x:v>
      </x:c>
      <x:c r="S447" s="27" t="str">
        <x:v>SRC27</x:v>
      </x:c>
      <x:c r="T447" s="27" t="str">
        <x:v>Development varies; use observed performance and appropriate supports rather than age alone.</x:v>
      </x:c>
      <x:c r="U447" s="27" t="str"/>
      <x:c r="V447" s="27" t="str"/>
      <x:c r="W447" s="39" t="str"/>
      <x:c r="X447" s="39" t="str"/>
    </x:row>
    <x:row r="448">
      <x:c r="A448" s="27" t="str">
        <x:v>S24-MATH-09</x:v>
      </x:c>
      <x:c r="B448" s="37" t="n">
        <x:v>444</x:v>
      </x:c>
      <x:c r="C448" s="27" t="str">
        <x:v>S24</x:v>
      </x:c>
      <x:c r="D448" s="37" t="n">
        <x:v>24</x:v>
      </x:c>
      <x:c r="E448" s="27" t="str">
        <x:v>Grade 12</x:v>
      </x:c>
      <x:c r="F448" s="27" t="str">
        <x:v>12</x:v>
      </x:c>
      <x:c r="G448" s="27" t="str">
        <x:v>Advanced mathematics, government/economics, and synthesis</x:v>
      </x:c>
      <x:c r="H448" s="27" t="str">
        <x:v>Mathematics</x:v>
      </x:c>
      <x:c r="I448" s="27" t="str">
        <x:v>Calculus — integrals</x:v>
      </x:c>
      <x:c r="J448" s="27" t="str">
        <x:v>Accumulation, Fundamental Theorem, and applications</x:v>
      </x:c>
      <x:c r="K448" s="27" t="str">
        <x:v>Interpreting definite integrals as net accumulation, finding antiderivatives, using the Fundamental Theorem, and applying integration to area, volume, motion, and average value.</x:v>
      </x:c>
      <x:c r="L448" s="27" t="str">
        <x:v>Limits, derivatives, summation, and function models.</x:v>
      </x:c>
      <x:c r="M448" s="27" t="str">
        <x:v>S24-MATH-08</x:v>
      </x:c>
      <x:c r="N448" s="27" t="str">
        <x:v>G6/G7 — Evidence-based formal system demonstrated through authentic transfer</x:v>
      </x:c>
      <x:c r="O448" s="27" t="str">
        <x:v>Physical quantity and spatial action; science measurement/models; computing/algorithms; finance; music rhythm/pattern; geographic data.</x:v>
      </x:c>
      <x:c r="P448" s="27" t="str">
        <x:v>Integration reconstructs accumulated quantity from rate and links local/global change.</x:v>
      </x:c>
      <x:c r="Q448" s="27" t="str">
        <x:v>S24-MATH-10</x:v>
      </x:c>
      <x:c r="R448" s="27" t="str">
        <x:v>Builds/evaluates an integral and explains the accumulated quantity and units.</x:v>
      </x:c>
      <x:c r="S448" s="27" t="str">
        <x:v>SRC27</x:v>
      </x:c>
      <x:c r="T448" s="27" t="str">
        <x:v>Development varies; use observed performance and appropriate supports rather than age alone.</x:v>
      </x:c>
      <x:c r="U448" s="27" t="str"/>
      <x:c r="V448" s="27" t="str"/>
      <x:c r="W448" s="39" t="str"/>
      <x:c r="X448" s="39" t="str"/>
    </x:row>
    <x:row r="449">
      <x:c r="A449" s="27" t="str">
        <x:v>S24-MATH-10</x:v>
      </x:c>
      <x:c r="B449" s="37" t="n">
        <x:v>445</x:v>
      </x:c>
      <x:c r="C449" s="27" t="str">
        <x:v>S24</x:v>
      </x:c>
      <x:c r="D449" s="37" t="n">
        <x:v>24</x:v>
      </x:c>
      <x:c r="E449" s="27" t="str">
        <x:v>Grade 12</x:v>
      </x:c>
      <x:c r="F449" s="27" t="str">
        <x:v>12</x:v>
      </x:c>
      <x:c r="G449" s="27" t="str">
        <x:v>Advanced mathematics, government/economics, and synthesis</x:v>
      </x:c>
      <x:c r="H449" s="27" t="str">
        <x:v>Mathematics</x:v>
      </x:c>
      <x:c r="I449" s="27" t="str">
        <x:v>Calculus — differential equations</x:v>
      </x:c>
      <x:c r="J449" s="27" t="str">
        <x:v>Slope fields, separable equations, and growth models</x:v>
      </x:c>
      <x:c r="K449" s="27" t="str">
        <x:v>Modeling change with differential equations, visualizing solution families, solving basic separable equations, and interpreting initial conditions.</x:v>
      </x:c>
      <x:c r="L449" s="27" t="str">
        <x:v>Derivatives, integrals, exponentials/logarithms, and functions.</x:v>
      </x:c>
      <x:c r="M449" s="27" t="str">
        <x:v>S24-MATH-09</x:v>
      </x:c>
      <x:c r="N449" s="27" t="str">
        <x:v>G6/G7 — Evidence-based formal system demonstrated through authentic transfer</x:v>
      </x:c>
      <x:c r="O449" s="27" t="str">
        <x:v>Physical quantity and spatial action; science measurement/models; computing/algorithms; finance; music rhythm/pattern; geographic data.</x:v>
      </x:c>
      <x:c r="P449" s="27" t="str">
        <x:v>Differential equations express laws directly as relationships among changing quantities.</x:v>
      </x:c>
      <x:c r="Q449" s="27" t="str">
        <x:v>S25-MATH-01</x:v>
      </x:c>
      <x:c r="R449" s="27" t="str">
        <x:v>Creates/solves a model and interprets parameters, initial condition, and solution behavior.</x:v>
      </x:c>
      <x:c r="S449" s="27" t="str">
        <x:v>SRC27</x:v>
      </x:c>
      <x:c r="T449" s="27" t="str">
        <x:v>Development varies; use observed performance and appropriate supports rather than age alone.</x:v>
      </x:c>
      <x:c r="U449" s="27" t="str"/>
      <x:c r="V449" s="27" t="str"/>
      <x:c r="W449" s="39" t="str"/>
      <x:c r="X449" s="39" t="str"/>
    </x:row>
    <x:row r="450">
      <x:c r="A450" s="27" t="str">
        <x:v>S24-SCI-01</x:v>
      </x:c>
      <x:c r="B450" s="37" t="n">
        <x:v>446</x:v>
      </x:c>
      <x:c r="C450" s="27" t="str">
        <x:v>S24</x:v>
      </x:c>
      <x:c r="D450" s="37" t="n">
        <x:v>24</x:v>
      </x:c>
      <x:c r="E450" s="27" t="str">
        <x:v>Grade 12</x:v>
      </x:c>
      <x:c r="F450" s="27" t="str">
        <x:v>12</x:v>
      </x:c>
      <x:c r="G450" s="27" t="str">
        <x:v>Advanced mathematics, government/economics, and synthesis</x:v>
      </x:c>
      <x:c r="H450" s="27" t="str">
        <x:v>Science &amp; Engineering</x:v>
      </x:c>
      <x:c r="I450" s="27" t="str">
        <x:v>Advanced science synthesis</x:v>
      </x:c>
      <x:c r="J450" s="27" t="str">
        <x:v>Model comparison, uncertainty, and societal decision</x:v>
      </x:c>
      <x:c r="K450" s="27" t="str">
        <x:v>Integrating biology/chemistry/physics/Earth science models, evaluating competing explanations and evidence uncertainty, and applying science to engineering/public decisions.</x:v>
      </x:c>
      <x:c r="L450" s="27" t="str">
        <x:v>High-school lab sciences, statistics, research, and ethics.</x:v>
      </x:c>
      <x:c r="M450" s="27" t="str">
        <x:v>S23-SCI-05</x:v>
      </x:c>
      <x:c r="N450" s="27" t="str">
        <x:v>G6/G7 — Evidence-based formal system demonstrated through authentic transfer</x:v>
      </x:c>
      <x:c r="O450" s="27" t="str">
        <x:v>Sensory observation and action; mathematics/data; reading/writing evidence; computing/models; health and environmental/civic decisions.</x:v>
      </x:c>
      <x:c r="P450" s="27" t="str">
        <x:v>Synthesis prepares specialized postsecondary science and evidence-based policy/work decisions.</x:v>
      </x:c>
      <x:c r="Q450" s="27" t="str">
        <x:v>S25-SCI-01</x:v>
      </x:c>
      <x:c r="R450" s="27" t="str">
        <x:v>Compares models using data, assumptions, scale, uncertainty, and consequences.</x:v>
      </x:c>
      <x:c r="S450" s="27" t="str">
        <x:v>SRC11</x:v>
      </x:c>
      <x:c r="T450" s="27" t="str">
        <x:v>Development varies; use observed performance and appropriate supports rather than age alone.</x:v>
      </x:c>
      <x:c r="U450" s="27" t="str"/>
      <x:c r="V450" s="27" t="str"/>
      <x:c r="W450" s="39" t="str"/>
      <x:c r="X450" s="39" t="str"/>
    </x:row>
    <x:row r="451">
      <x:c r="A451" s="27" t="str">
        <x:v>S24-SST-01</x:v>
      </x:c>
      <x:c r="B451" s="37" t="n">
        <x:v>447</x:v>
      </x:c>
      <x:c r="C451" s="27" t="str">
        <x:v>S24</x:v>
      </x:c>
      <x:c r="D451" s="37" t="n">
        <x:v>24</x:v>
      </x:c>
      <x:c r="E451" s="27" t="str">
        <x:v>Grade 12</x:v>
      </x:c>
      <x:c r="F451" s="27" t="str">
        <x:v>12</x:v>
      </x:c>
      <x:c r="G451" s="27" t="str">
        <x:v>Advanced mathematics, government/economics, and synthesis</x:v>
      </x:c>
      <x:c r="H451" s="27" t="str">
        <x:v>Social Studies</x:v>
      </x:c>
      <x:c r="I451" s="27" t="str">
        <x:v>Government and civics</x:v>
      </x:c>
      <x:c r="J451" s="27" t="str">
        <x:v>Constitution, institutions, rights, policy, and participation</x:v>
      </x:c>
      <x:c r="K451" s="27" t="str">
        <x:v>Analyzing constitutional structure, federalism, branches/courts, civil rights/liberties, elections/parties/media, bureaucracy, public policy, state/local government, and civic action.</x:v>
      </x:c>
      <x:c r="L451" s="27" t="str">
        <x:v>Grade 8 civics, U.S. history, advanced argument, and media verification.</x:v>
      </x:c>
      <x:c r="M451" s="27" t="str">
        <x:v>S23-SST-02</x:v>
      </x:c>
      <x:c r="N451" s="27" t="str">
        <x:v>G6/G7 — Evidence-based formal system demonstrated through authentic transfer</x:v>
      </x:c>
      <x:c r="O451" s="27" t="str">
        <x:v>Language/literacy and source evidence; maps/data/economics; ethics/SEL; media literacy; arts/culture; civic action.</x:v>
      </x:c>
      <x:c r="P451" s="27" t="str">
        <x:v>Institutional knowledge and evidence evaluation support effective democratic participation.</x:v>
      </x:c>
      <x:c r="Q451" s="27" t="str">
        <x:v>S24-SST-02</x:v>
      </x:c>
      <x:c r="R451" s="27" t="str">
        <x:v>Produces and acts on a policy analysis grounded in law, evidence, stakeholders, and implementation.</x:v>
      </x:c>
      <x:c r="S451" s="27" t="str">
        <x:v>SRC12; SRC24</x:v>
      </x:c>
      <x:c r="T451" s="27" t="str">
        <x:v>Development varies; use observed performance and appropriate supports rather than age alone.</x:v>
      </x:c>
      <x:c r="U451" s="27" t="str"/>
      <x:c r="V451" s="27" t="str"/>
      <x:c r="W451" s="39" t="str"/>
      <x:c r="X451" s="39" t="str"/>
    </x:row>
    <x:row r="452">
      <x:c r="A452" s="27" t="str">
        <x:v>S24-SST-02</x:v>
      </x:c>
      <x:c r="B452" s="37" t="n">
        <x:v>448</x:v>
      </x:c>
      <x:c r="C452" s="27" t="str">
        <x:v>S24</x:v>
      </x:c>
      <x:c r="D452" s="37" t="n">
        <x:v>24</x:v>
      </x:c>
      <x:c r="E452" s="27" t="str">
        <x:v>Grade 12</x:v>
      </x:c>
      <x:c r="F452" s="27" t="str">
        <x:v>12</x:v>
      </x:c>
      <x:c r="G452" s="27" t="str">
        <x:v>Advanced mathematics, government/economics, and synthesis</x:v>
      </x:c>
      <x:c r="H452" s="27" t="str">
        <x:v>Social Studies</x:v>
      </x:c>
      <x:c r="I452" s="27" t="str">
        <x:v>Economics</x:v>
      </x:c>
      <x:c r="J452" s="27" t="str">
        <x:v>Markets, firms, government, macroeconomics, and global trade</x:v>
      </x:c>
      <x:c r="K452" s="27" t="str">
        <x:v>Using scarcity/opportunity cost, supply/demand, market structures, labor/finance, externalities/public goods, GDP/inflation/unemployment, fiscal/monetary policy, and trade models.</x:v>
      </x:c>
      <x:c r="L452" s="27" t="str">
        <x:v>Ratios/functions/statistics, Grade 7–11 finance, and historical institutions.</x:v>
      </x:c>
      <x:c r="M452" s="27" t="str">
        <x:v>S24-SST-01</x:v>
      </x:c>
      <x:c r="N452" s="27" t="str">
        <x:v>G6/G7 — Evidence-based formal system demonstrated through authentic transfer</x:v>
      </x:c>
      <x:c r="O452" s="27" t="str">
        <x:v>Language/literacy and source evidence; maps/data/economics; ethics/SEL; media literacy; arts/culture; civic action.</x:v>
      </x:c>
      <x:c r="P452" s="27" t="str">
        <x:v>Economic models organize tradeoffs and system effects in public/personal decisions.</x:v>
      </x:c>
      <x:c r="Q452" s="27" t="str">
        <x:v>S25-SST-01</x:v>
      </x:c>
      <x:c r="R452" s="27" t="str">
        <x:v>Analyzes a policy or market scenario with a model, data, distributional effects, and limitations.</x:v>
      </x:c>
      <x:c r="S452" s="27" t="str">
        <x:v>SRC12; SRC19; SRC24</x:v>
      </x:c>
      <x:c r="T452" s="27" t="str">
        <x:v>Development varies; use observed performance and appropriate supports rather than age alone.</x:v>
      </x:c>
      <x:c r="U452" s="27" t="str"/>
      <x:c r="V452" s="27" t="str"/>
      <x:c r="W452" s="39" t="str"/>
      <x:c r="X452" s="39" t="str"/>
    </x:row>
    <x:row r="453">
      <x:c r="A453" s="27" t="str">
        <x:v>S24-ARTS-01</x:v>
      </x:c>
      <x:c r="B453" s="37" t="n">
        <x:v>449</x:v>
      </x:c>
      <x:c r="C453" s="27" t="str">
        <x:v>S24</x:v>
      </x:c>
      <x:c r="D453" s="37" t="n">
        <x:v>24</x:v>
      </x:c>
      <x:c r="E453" s="27" t="str">
        <x:v>Grade 12</x:v>
      </x:c>
      <x:c r="F453" s="27" t="str">
        <x:v>12</x:v>
      </x:c>
      <x:c r="G453" s="27" t="str">
        <x:v>Advanced mathematics, government/economics, and synthesis</x:v>
      </x:c>
      <x:c r="H453" s="27" t="str">
        <x:v>Music &amp; Arts</x:v>
      </x:c>
      <x:c r="I453" s="27" t="str">
        <x:v>Advanced arts culmination</x:v>
      </x:c>
      <x:c r="J453" s="27" t="str">
        <x:v>Advanced portfolio/performance and public defense</x:v>
      </x:c>
      <x:c r="K453" s="27" t="str">
        <x:v>Producing a cohesive advanced body of work/performance/production, articulating artistic intent, researching context, managing technical production, and defending/refining choices.</x:v>
      </x:c>
      <x:c r="L453" s="27" t="str">
        <x:v>Grade 11 advanced pathway and capstone communication.</x:v>
      </x:c>
      <x:c r="M453" s="27" t="str">
        <x:v>S23-ARTS-01</x:v>
      </x:c>
      <x:c r="N453" s="27" t="str">
        <x:v>G6/G7 — Evidence-based formal system demonstrated through authentic transfer</x:v>
      </x:c>
      <x:c r="O453" s="27" t="str">
        <x:v>Sensory discrimination; motor timing; language/prosody; mathematics/pattern; history/culture; emotion, design, and technology.</x:v>
      </x:c>
      <x:c r="P453" s="27" t="str">
        <x:v>Cohesion and public defense demonstrate mature authorship and field readiness.</x:v>
      </x:c>
      <x:c r="Q453" s="27" t="str">
        <x:v>CULMINATION / CONTINUING STUDY</x:v>
      </x:c>
      <x:c r="R453" s="27" t="str">
        <x:v>Presents a cohesive body of work with artist statement, process archive, contextual research, and critique response.</x:v>
      </x:c>
      <x:c r="S453" s="27" t="str">
        <x:v>SRC13</x:v>
      </x:c>
      <x:c r="T453" s="27" t="str">
        <x:v>Development varies; use observed performance and appropriate supports rather than age alone.</x:v>
      </x:c>
      <x:c r="U453" s="27" t="str"/>
      <x:c r="V453" s="27" t="str"/>
      <x:c r="W453" s="39" t="str"/>
      <x:c r="X453" s="39" t="str"/>
    </x:row>
    <x:row r="454">
      <x:c r="A454" s="27" t="str">
        <x:v>S24-HLTH-01</x:v>
      </x:c>
      <x:c r="B454" s="37" t="n">
        <x:v>450</x:v>
      </x:c>
      <x:c r="C454" s="27" t="str">
        <x:v>S24</x:v>
      </x:c>
      <x:c r="D454" s="37" t="n">
        <x:v>24</x:v>
      </x:c>
      <x:c r="E454" s="27" t="str">
        <x:v>Grade 12</x:v>
      </x:c>
      <x:c r="F454" s="27" t="str">
        <x:v>12</x:v>
      </x:c>
      <x:c r="G454" s="27" t="str">
        <x:v>Advanced mathematics, government/economics, and synthesis</x:v>
      </x:c>
      <x:c r="H454" s="27" t="str">
        <x:v>Physical &amp; Health</x:v>
      </x:c>
      <x:c r="I454" s="27" t="str">
        <x:v>Adult health management</x:v>
      </x:c>
      <x:c r="J454" s="27" t="str">
        <x:v>Lifetime activity, healthcare, prevention, and emergency readiness</x:v>
      </x:c>
      <x:c r="K454" s="27" t="str">
        <x:v>Maintaining an adaptable movement plan, interpreting health/insurance/service information, applying prevention/mental-health/relationship knowledge, and responding appropriately to emergencies.</x:v>
      </x:c>
      <x:c r="L454" s="27" t="str">
        <x:v>Grade 11 adaptive wellness, finance/insurance, and systems navigation.</x:v>
      </x:c>
      <x:c r="M454" s="27" t="str">
        <x:v>S23-HLTH-01</x:v>
      </x:c>
      <x:c r="N454" s="27" t="str">
        <x:v>G6/G7 — Evidence-based formal system demonstrated through authentic transfer</x:v>
      </x:c>
      <x:c r="O454" s="27" t="str">
        <x:v>Motor/sensory development; life science; measurement/data; SEL/self-management; communication, safety, and decision-making.</x:v>
      </x:c>
      <x:c r="P454" s="27" t="str">
        <x:v>Integrated self-management supports health continuity after school.</x:v>
      </x:c>
      <x:c r="Q454" s="27" t="str">
        <x:v>CULMINATION / CONTINUING STUDY</x:v>
      </x:c>
      <x:c r="R454" s="27" t="str">
        <x:v>Completes a personal adult-health plan and accurately resolves service, prevention, or emergency scenarios.</x:v>
      </x:c>
      <x:c r="S454" s="27" t="str">
        <x:v>SRC14; SRC15; SRC19</x:v>
      </x:c>
      <x:c r="T454" s="27" t="str">
        <x:v>Development varies; use observed performance and appropriate supports rather than age alone.</x:v>
      </x:c>
      <x:c r="U454" s="27" t="str"/>
      <x:c r="V454" s="27" t="str"/>
      <x:c r="W454" s="39" t="str"/>
      <x:c r="X454" s="39" t="str"/>
    </x:row>
    <x:row r="455">
      <x:c r="A455" s="27" t="str">
        <x:v>S24-COMP-01</x:v>
      </x:c>
      <x:c r="B455" s="37" t="n">
        <x:v>451</x:v>
      </x:c>
      <x:c r="C455" s="27" t="str">
        <x:v>S24</x:v>
      </x:c>
      <x:c r="D455" s="37" t="n">
        <x:v>24</x:v>
      </x:c>
      <x:c r="E455" s="27" t="str">
        <x:v>Grade 12</x:v>
      </x:c>
      <x:c r="F455" s="27" t="str">
        <x:v>12</x:v>
      </x:c>
      <x:c r="G455" s="27" t="str">
        <x:v>Advanced mathematics, government/economics, and synthesis</x:v>
      </x:c>
      <x:c r="H455" s="27" t="str">
        <x:v>Computing &amp; Media</x:v>
      </x:c>
      <x:c r="I455" s="27" t="str">
        <x:v>Capstone computing</x:v>
      </x:c>
      <x:c r="J455" s="27" t="str">
        <x:v>Human-centered system design and impact audit</x:v>
      </x:c>
      <x:c r="K455" s="27" t="str">
        <x:v>Defining a real user problem, designing/building/testing a computational solution, protecting data/security/accessibility, documenting limitations, and auditing social/environmental impacts.</x:v>
      </x:c>
      <x:c r="L455" s="27" t="str">
        <x:v>Grade 11 CS specialty, software engineering, ethics, and capstone research.</x:v>
      </x:c>
      <x:c r="M455" s="27" t="str">
        <x:v>S23-COMP-01</x:v>
      </x:c>
      <x:c r="N455" s="27" t="str">
        <x:v>G6/G7 — Evidence-based formal system demonstrated through authentic transfer</x:v>
      </x:c>
      <x:c r="O455" s="27" t="str">
        <x:v>Mathematics/logic/data; language and media evidence; science/engineering models; art/design; civics, privacy, finance, and ethics.</x:v>
      </x:c>
      <x:c r="P455" s="27" t="str">
        <x:v>A full lifecycle project demonstrates technical transfer and responsible deployment thinking.</x:v>
      </x:c>
      <x:c r="Q455" s="27" t="str">
        <x:v>S25-COMP-01</x:v>
      </x:c>
      <x:c r="R455" s="27" t="str">
        <x:v>Delivers a functioning prototype/system with user tests, threat/privacy/accessibility review, and impact audit.</x:v>
      </x:c>
      <x:c r="S455" s="27" t="str">
        <x:v>SRC16</x:v>
      </x:c>
      <x:c r="T455" s="27" t="str">
        <x:v>Development varies; use observed performance and appropriate supports rather than age alone.</x:v>
      </x:c>
      <x:c r="U455" s="27" t="str"/>
      <x:c r="V455" s="27" t="str"/>
      <x:c r="W455" s="39" t="str"/>
      <x:c r="X455" s="39" t="str"/>
    </x:row>
    <x:row r="456">
      <x:c r="A456" s="27" t="str">
        <x:v>S24-WLANG-01</x:v>
      </x:c>
      <x:c r="B456" s="37" t="n">
        <x:v>452</x:v>
      </x:c>
      <x:c r="C456" s="27" t="str">
        <x:v>S24</x:v>
      </x:c>
      <x:c r="D456" s="37" t="n">
        <x:v>24</x:v>
      </x:c>
      <x:c r="E456" s="27" t="str">
        <x:v>Grade 12</x:v>
      </x:c>
      <x:c r="F456" s="27" t="str">
        <x:v>12</x:v>
      </x:c>
      <x:c r="G456" s="27" t="str">
        <x:v>Advanced mathematics, government/economics, and synthesis</x:v>
      </x:c>
      <x:c r="H456" s="27" t="str">
        <x:v>World Languages</x:v>
      </x:c>
      <x:c r="I456" s="27" t="str">
        <x:v>Proficiency</x:v>
      </x:c>
      <x:c r="J456" s="27" t="str">
        <x:v>Advanced communication or sustained intermediate growth</x:v>
      </x:c>
      <x:c r="K456" s="27" t="str">
        <x:v>Using the language for authentic community/academic/work purposes, interpreting complex sources at current level, presenting supported ideas, and reflecting on intercultural effectiveness.</x:v>
      </x:c>
      <x:c r="L456" s="27" t="str">
        <x:v>Grade 11 advanced-low emerging skills and independent learning system.</x:v>
      </x:c>
      <x:c r="M456" s="27" t="str">
        <x:v>S23-WLANG-01</x:v>
      </x:c>
      <x:c r="N456" s="27" t="str">
        <x:v>G6/G7 — Evidence-based formal system demonstrated through authentic transfer</x:v>
      </x:c>
      <x:c r="O456" s="27" t="str">
        <x:v>Oral language, reading, and writing; memory/retrieval; social interaction; history/geography/arts; intercultural perspective.</x:v>
      </x:c>
      <x:c r="P456" s="27" t="str">
        <x:v>Purposeful real-world use sustains proficiency beyond course completion.</x:v>
      </x:c>
      <x:c r="Q456" s="27" t="str">
        <x:v>CULMINATION / CONTINUING STUDY</x:v>
      </x:c>
      <x:c r="R456" s="27" t="str">
        <x:v>Completes an authentic interaction/product and self-assesses effectiveness with evidence and next-step plan.</x:v>
      </x:c>
      <x:c r="S456" s="27" t="str">
        <x:v>SRC17</x:v>
      </x:c>
      <x:c r="T456" s="27" t="str">
        <x:v>Outcome level depends on instructional intensity, exposure, and use.</x:v>
      </x:c>
      <x:c r="U456" s="27" t="str"/>
      <x:c r="V456" s="27" t="str"/>
      <x:c r="W456" s="39" t="str"/>
      <x:c r="X456" s="39" t="str"/>
    </x:row>
    <x:row r="457">
      <x:c r="A457" s="27" t="str">
        <x:v>S24-LIFE-01</x:v>
      </x:c>
      <x:c r="B457" s="37" t="n">
        <x:v>453</x:v>
      </x:c>
      <x:c r="C457" s="27" t="str">
        <x:v>S24</x:v>
      </x:c>
      <x:c r="D457" s="37" t="n">
        <x:v>24</x:v>
      </x:c>
      <x:c r="E457" s="27" t="str">
        <x:v>Grade 12</x:v>
      </x:c>
      <x:c r="F457" s="27" t="str">
        <x:v>12</x:v>
      </x:c>
      <x:c r="G457" s="27" t="str">
        <x:v>Advanced mathematics, government/economics, and synthesis</x:v>
      </x:c>
      <x:c r="H457" s="27" t="str">
        <x:v>Life, Finance &amp; Career</x:v>
      </x:c>
      <x:c r="I457" s="27" t="str">
        <x:v>Launch planning</x:v>
      </x:c>
      <x:c r="J457" s="27" t="str">
        <x:v>Postsecondary/work decision, aid, taxes, benefits, housing, and legal records</x:v>
      </x:c>
      <x:c r="K457" s="27" t="str">
        <x:v>Comparing pathways and total cost/aid/debt, interpreting offers/benefits/paystubs/tax forms/leases, establishing records/security, and building emergency/transition plans.</x:v>
      </x:c>
      <x:c r="L457" s="27" t="str">
        <x:v>All prior finance, research, contract, budgeting, and systems-navigation skills.</x:v>
      </x:c>
      <x:c r="M457" s="27" t="str">
        <x:v>S23-LIFE-01</x:v>
      </x:c>
      <x:c r="N457" s="27" t="str">
        <x:v>G6/G7 — Evidence-based formal system demonstrated through authentic transfer</x:v>
      </x:c>
      <x:c r="O457" s="27" t="str">
        <x:v>Mathematics/percent/growth; economics/civics; reading contracts/sources; computing/privacy; SEL, planning, and risk decisions.</x:v>
      </x:c>
      <x:c r="P457" s="27" t="str">
        <x:v>Launch planning applies education to immediate adult systems with auditable decisions.</x:v>
      </x:c>
      <x:c r="Q457" s="27" t="str">
        <x:v>S25-LIFE-01</x:v>
      </x:c>
      <x:c r="R457" s="27" t="str">
        <x:v>Produces a documented transition plan with scenarios, deadlines, costs, records, risks, and fallback actions.</x:v>
      </x:c>
      <x:c r="S457" s="27" t="str">
        <x:v>SRC19</x:v>
      </x:c>
      <x:c r="T457" s="27" t="str">
        <x:v>Development varies; use observed performance and appropriate supports rather than age alone.</x:v>
      </x:c>
      <x:c r="U457" s="27" t="str"/>
      <x:c r="V457" s="27" t="str"/>
      <x:c r="W457" s="39" t="str"/>
      <x:c r="X457" s="39" t="str"/>
    </x:row>
    <x:row r="458">
      <x:c r="A458" s="27" t="str">
        <x:v>S25-LEARN-01</x:v>
      </x:c>
      <x:c r="B458" s="37" t="n">
        <x:v>454</x:v>
      </x:c>
      <x:c r="C458" s="27" t="str">
        <x:v>S25</x:v>
      </x:c>
      <x:c r="D458" s="37" t="n">
        <x:v>25</x:v>
      </x:c>
      <x:c r="E458" s="27" t="str">
        <x:v>Advanced bridge</x:v>
      </x:c>
      <x:c r="F458" s="27" t="str">
        <x:v>Postsecondary bridge</x:v>
      </x:c>
      <x:c r="G458" s="27" t="str">
        <x:v>Calculus, statistics, discrete reasoning, and specialized inquiry</x:v>
      </x:c>
      <x:c r="H458" s="27" t="str">
        <x:v>Learning Foundations</x:v>
      </x:c>
      <x:c r="I458" s="27" t="str">
        <x:v>Independent scholarship</x:v>
      </x:c>
      <x:c r="J458" s="27" t="str">
        <x:v>Knowledge graph maintenance</x:v>
      </x:c>
      <x:c r="K458" s="27" t="str">
        <x:v>Maintaining definitions, claims, evidence, prerequisites, counterexamples, uncertainty, and cross-domain links as an evolving structured knowledge base.</x:v>
      </x:c>
      <x:c r="L458" s="27" t="str">
        <x:v>Grade 12 independent learning system, research/citation, and schema building.</x:v>
      </x:c>
      <x:c r="M458" s="27" t="str">
        <x:v>S24-LEARN-01</x:v>
      </x:c>
      <x:c r="N458" s="27" t="str">
        <x:v>G6/G7 — Evidence-based formal system demonstrated through authentic transfer</x:v>
      </x:c>
      <x:c r="O458" s="27" t="str">
        <x:v>All domains: attention, memory, strategy choice, monitoring, retrieval, and transfer.</x:v>
      </x:c>
      <x:c r="P458" s="27" t="str">
        <x:v>A maintained graph preserves grounding while allowing new knowledge to attach without flattening distinctions.</x:v>
      </x:c>
      <x:c r="Q458" s="27" t="str">
        <x:v>CULMINATION / CONTINUING STUDY</x:v>
      </x:c>
      <x:c r="R458" s="27" t="str">
        <x:v>Adds a new topic with verified incoming/outgoing links, sources, test cases, and revision history.</x:v>
      </x:c>
      <x:c r="S458" s="27" t="str">
        <x:v>SRC29</x:v>
      </x:c>
      <x:c r="T458" s="27" t="str">
        <x:v>Development varies; use observed performance and appropriate supports rather than age alone.</x:v>
      </x:c>
      <x:c r="U458" s="27" t="str"/>
      <x:c r="V458" s="27" t="str"/>
      <x:c r="W458" s="39" t="str"/>
      <x:c r="X458" s="39" t="str"/>
    </x:row>
    <x:row r="459">
      <x:c r="A459" s="27" t="str">
        <x:v>S25-WRITE-01</x:v>
      </x:c>
      <x:c r="B459" s="37" t="n">
        <x:v>455</x:v>
      </x:c>
      <x:c r="C459" s="27" t="str">
        <x:v>S25</x:v>
      </x:c>
      <x:c r="D459" s="37" t="n">
        <x:v>25</x:v>
      </x:c>
      <x:c r="E459" s="27" t="str">
        <x:v>Advanced bridge</x:v>
      </x:c>
      <x:c r="F459" s="27" t="str">
        <x:v>Postsecondary bridge</x:v>
      </x:c>
      <x:c r="G459" s="27" t="str">
        <x:v>Calculus, statistics, discrete reasoning, and specialized inquiry</x:v>
      </x:c>
      <x:c r="H459" s="27" t="str">
        <x:v>Writing &amp; Language</x:v>
      </x:c>
      <x:c r="I459" s="27" t="str">
        <x:v>College writing</x:v>
      </x:c>
      <x:c r="J459" s="27" t="str">
        <x:v>Disciplinary argument and literature review</x:v>
      </x:c>
      <x:c r="K459" s="27" t="str">
        <x:v>Reading a field’s conversation, defining a gap/question, synthesizing literature by concepts/methods/findings, and contributing a warranted argument in the field’s citation/style conventions.</x:v>
      </x:c>
      <x:c r="L459" s="27" t="str">
        <x:v>Grade 12 complex synthesis/capstone and Grade 11 independent research.</x:v>
      </x:c>
      <x:c r="M459" s="27" t="str">
        <x:v>S24-WRITE-01</x:v>
      </x:c>
      <x:c r="N459" s="27" t="str">
        <x:v>G6/G7 — Evidence-based formal system demonstrated through authentic transfer</x:v>
      </x:c>
      <x:c r="O459" s="27" t="str">
        <x:v>Reading models; evidence from science/social studies; mathematical explanation; research, media, and presentation.</x:v>
      </x:c>
      <x:c r="P459" s="27" t="str">
        <x:v>Disciplinary conventions connect general reasoning to field-specific knowledge production.</x:v>
      </x:c>
      <x:c r="Q459" s="27" t="str">
        <x:v>CULMINATION / CONTINUING STUDY</x:v>
      </x:c>
      <x:c r="R459" s="27" t="str">
        <x:v>Produces a literature review and argument that accurately positions its contribution and limits.</x:v>
      </x:c>
      <x:c r="S459" s="27" t="str">
        <x:v>SRC10; SRC22; SRC29</x:v>
      </x:c>
      <x:c r="T459" s="27" t="str">
        <x:v>Development varies; use observed performance and appropriate supports rather than age alone.</x:v>
      </x:c>
      <x:c r="U459" s="27" t="str"/>
      <x:c r="V459" s="27" t="str"/>
      <x:c r="W459" s="39" t="str"/>
      <x:c r="X459" s="39" t="str"/>
    </x:row>
    <x:row r="460">
      <x:c r="A460" s="27" t="str">
        <x:v>S25-MATH-01</x:v>
      </x:c>
      <x:c r="B460" s="37" t="n">
        <x:v>456</x:v>
      </x:c>
      <x:c r="C460" s="27" t="str">
        <x:v>S25</x:v>
      </x:c>
      <x:c r="D460" s="37" t="n">
        <x:v>25</x:v>
      </x:c>
      <x:c r="E460" s="27" t="str">
        <x:v>Advanced bridge</x:v>
      </x:c>
      <x:c r="F460" s="27" t="str">
        <x:v>Postsecondary bridge</x:v>
      </x:c>
      <x:c r="G460" s="27" t="str">
        <x:v>Calculus, statistics, discrete reasoning, and specialized inquiry</x:v>
      </x:c>
      <x:c r="H460" s="27" t="str">
        <x:v>Mathematics</x:v>
      </x:c>
      <x:c r="I460" s="27" t="str">
        <x:v>Proof and logic</x:v>
      </x:c>
      <x:c r="J460" s="27" t="str">
        <x:v>Propositions, quantifiers, proof methods, and counterexamples</x:v>
      </x:c>
      <x:c r="K460" s="27" t="str">
        <x:v>Using formal logic, definitions, direct/contrapositive/contradiction/induction proofs, and counterexamples to establish or refute general mathematical statements.</x:v>
      </x:c>
      <x:c r="L460" s="27" t="str">
        <x:v>Geometry proof, algebraic structure, set language, and precise writing.</x:v>
      </x:c>
      <x:c r="M460" s="27" t="str">
        <x:v>S24-MATH-10</x:v>
      </x:c>
      <x:c r="N460" s="27" t="str">
        <x:v>G6/G7 — Evidence-based formal system demonstrated through authentic transfer</x:v>
      </x:c>
      <x:c r="O460" s="27" t="str">
        <x:v>Physical quantity and spatial action; science measurement/models; computing/algorithms; finance; music rhythm/pattern; geographic data.</x:v>
      </x:c>
      <x:c r="P460" s="27" t="str">
        <x:v>Proof is the grounding method for advanced mathematics and theoretical computing.</x:v>
      </x:c>
      <x:c r="Q460" s="27" t="str">
        <x:v>S25-MATH-02</x:v>
      </x:c>
      <x:c r="R460" s="27" t="str">
        <x:v>Writes a valid proof, identifies dependencies, and constructs a counterexample to a false variant.</x:v>
      </x:c>
      <x:c r="S460" s="27" t="str">
        <x:v>SRC09</x:v>
      </x:c>
      <x:c r="T460" s="27" t="str">
        <x:v>Development varies; use observed performance and appropriate supports rather than age alone.</x:v>
      </x:c>
      <x:c r="U460" s="27" t="str"/>
      <x:c r="V460" s="27" t="str"/>
      <x:c r="W460" s="39" t="str"/>
      <x:c r="X460" s="39" t="str"/>
    </x:row>
    <x:row r="461">
      <x:c r="A461" s="27" t="str">
        <x:v>S25-MATH-02</x:v>
      </x:c>
      <x:c r="B461" s="37" t="n">
        <x:v>457</x:v>
      </x:c>
      <x:c r="C461" s="27" t="str">
        <x:v>S25</x:v>
      </x:c>
      <x:c r="D461" s="37" t="n">
        <x:v>25</x:v>
      </x:c>
      <x:c r="E461" s="27" t="str">
        <x:v>Advanced bridge</x:v>
      </x:c>
      <x:c r="F461" s="27" t="str">
        <x:v>Postsecondary bridge</x:v>
      </x:c>
      <x:c r="G461" s="27" t="str">
        <x:v>Calculus, statistics, discrete reasoning, and specialized inquiry</x:v>
      </x:c>
      <x:c r="H461" s="27" t="str">
        <x:v>Mathematics</x:v>
      </x:c>
      <x:c r="I461" s="27" t="str">
        <x:v>Discrete mathematics</x:v>
      </x:c>
      <x:c r="J461" s="27" t="str">
        <x:v>Sets, relations, functions, and combinatorics</x:v>
      </x:c>
      <x:c r="K461" s="27" t="str">
        <x:v>Studying set operations, relations/equivalence, function properties, counting principles, permutations/combinations, pigeonhole reasoning, and inclusion-exclusion.</x:v>
      </x:c>
      <x:c r="L461" s="27" t="str">
        <x:v>Proof/logic, algebra functions, probability, and finite counting.</x:v>
      </x:c>
      <x:c r="M461" s="27" t="str">
        <x:v>S25-MATH-01</x:v>
      </x:c>
      <x:c r="N461" s="27" t="str">
        <x:v>G6/G7 — Evidence-based formal system demonstrated through authentic transfer</x:v>
      </x:c>
      <x:c r="O461" s="27" t="str">
        <x:v>Physical quantity and spatial action; science measurement/models; computing/algorithms; finance; music rhythm/pattern; geographic data.</x:v>
      </x:c>
      <x:c r="P461" s="27" t="str">
        <x:v>Discrete structures ground algorithms, databases, probability, and computer science.</x:v>
      </x:c>
      <x:c r="Q461" s="27" t="str">
        <x:v>S25-MATH-03</x:v>
      </x:c>
      <x:c r="R461" s="27" t="str">
        <x:v>Models and solves a counting/relation problem with a proof of completeness.</x:v>
      </x:c>
      <x:c r="S461" s="27" t="str">
        <x:v>SRC09</x:v>
      </x:c>
      <x:c r="T461" s="27" t="str">
        <x:v>Development varies; use observed performance and appropriate supports rather than age alone.</x:v>
      </x:c>
      <x:c r="U461" s="27" t="str"/>
      <x:c r="V461" s="27" t="str"/>
      <x:c r="W461" s="39" t="str"/>
      <x:c r="X461" s="39" t="str"/>
    </x:row>
    <x:row r="462">
      <x:c r="A462" s="27" t="str">
        <x:v>S25-MATH-03</x:v>
      </x:c>
      <x:c r="B462" s="37" t="n">
        <x:v>458</x:v>
      </x:c>
      <x:c r="C462" s="27" t="str">
        <x:v>S25</x:v>
      </x:c>
      <x:c r="D462" s="37" t="n">
        <x:v>25</x:v>
      </x:c>
      <x:c r="E462" s="27" t="str">
        <x:v>Advanced bridge</x:v>
      </x:c>
      <x:c r="F462" s="27" t="str">
        <x:v>Postsecondary bridge</x:v>
      </x:c>
      <x:c r="G462" s="27" t="str">
        <x:v>Calculus, statistics, discrete reasoning, and specialized inquiry</x:v>
      </x:c>
      <x:c r="H462" s="27" t="str">
        <x:v>Mathematics</x:v>
      </x:c>
      <x:c r="I462" s="27" t="str">
        <x:v>Discrete mathematics</x:v>
      </x:c>
      <x:c r="J462" s="27" t="str">
        <x:v>Graph theory, trees, and networks</x:v>
      </x:c>
      <x:c r="K462" s="27" t="str">
        <x:v>Analyzing vertices/edges, paths/cycles/connectivity, trees, traversals, matchings, coloring, and network optimization at introductory depth.</x:v>
      </x:c>
      <x:c r="L462" s="27" t="str">
        <x:v>Sets/relations, proof, algorithms, and networks.</x:v>
      </x:c>
      <x:c r="M462" s="27" t="str">
        <x:v>S25-MATH-02</x:v>
      </x:c>
      <x:c r="N462" s="27" t="str">
        <x:v>G6/G7 — Evidence-based formal system demonstrated through authentic transfer</x:v>
      </x:c>
      <x:c r="O462" s="27" t="str">
        <x:v>Physical quantity and spatial action; science measurement/models; computing/algorithms; finance; music rhythm/pattern; geographic data.</x:v>
      </x:c>
      <x:c r="P462" s="27" t="str">
        <x:v>Graphs provide a common model for routes, dependencies, social networks, circuits, and knowledge links.</x:v>
      </x:c>
      <x:c r="Q462" s="27" t="str">
        <x:v>S25-MATH-04</x:v>
      </x:c>
      <x:c r="R462" s="27" t="str">
        <x:v>Builds a graph model, applies an appropriate theorem/algorithm, and interprets limitations.</x:v>
      </x:c>
      <x:c r="S462" s="27" t="str">
        <x:v>SRC16</x:v>
      </x:c>
      <x:c r="T462" s="27" t="str">
        <x:v>Development varies; use observed performance and appropriate supports rather than age alone.</x:v>
      </x:c>
      <x:c r="U462" s="27" t="str"/>
      <x:c r="V462" s="27" t="str"/>
      <x:c r="W462" s="39" t="str"/>
      <x:c r="X462" s="39" t="str"/>
    </x:row>
    <x:row r="463">
      <x:c r="A463" s="27" t="str">
        <x:v>S25-MATH-04</x:v>
      </x:c>
      <x:c r="B463" s="37" t="n">
        <x:v>459</x:v>
      </x:c>
      <x:c r="C463" s="27" t="str">
        <x:v>S25</x:v>
      </x:c>
      <x:c r="D463" s="37" t="n">
        <x:v>25</x:v>
      </x:c>
      <x:c r="E463" s="27" t="str">
        <x:v>Advanced bridge</x:v>
      </x:c>
      <x:c r="F463" s="27" t="str">
        <x:v>Postsecondary bridge</x:v>
      </x:c>
      <x:c r="G463" s="27" t="str">
        <x:v>Calculus, statistics, discrete reasoning, and specialized inquiry</x:v>
      </x:c>
      <x:c r="H463" s="27" t="str">
        <x:v>Mathematics</x:v>
      </x:c>
      <x:c r="I463" s="27" t="str">
        <x:v>Discrete mathematics</x:v>
      </x:c>
      <x:c r="J463" s="27" t="str">
        <x:v>Recurrence, induction, and algorithm growth</x:v>
      </x:c>
      <x:c r="K463" s="27" t="str">
        <x:v>Defining sequences recursively, solving simple recurrences, proving properties by induction, and comparing algorithm growth with asymptotic notation.</x:v>
      </x:c>
      <x:c r="L463" s="27" t="str">
        <x:v>Algebra II sequences, proof/induction, exponent/log functions, and programming.</x:v>
      </x:c>
      <x:c r="M463" s="27" t="str">
        <x:v>S25-MATH-03</x:v>
      </x:c>
      <x:c r="N463" s="27" t="str">
        <x:v>G6/G7 — Evidence-based formal system demonstrated through authentic transfer</x:v>
      </x:c>
      <x:c r="O463" s="27" t="str">
        <x:v>Physical quantity and spatial action; science measurement/models; computing/algorithms; finance; music rhythm/pattern; geographic data.</x:v>
      </x:c>
      <x:c r="P463" s="27" t="str">
        <x:v>Recurrences model stepwise processes; growth analysis predicts scalability.</x:v>
      </x:c>
      <x:c r="Q463" s="27" t="str">
        <x:v>S25-MATH-05</x:v>
      </x:c>
      <x:c r="R463" s="27" t="str">
        <x:v>Derives/analyzes a recurrence and connects it to program behavior or a combinatorial structure.</x:v>
      </x:c>
      <x:c r="S463" s="27" t="str">
        <x:v>SRC16</x:v>
      </x:c>
      <x:c r="T463" s="27" t="str">
        <x:v>Development varies; use observed performance and appropriate supports rather than age alone.</x:v>
      </x:c>
      <x:c r="U463" s="27" t="str"/>
      <x:c r="V463" s="27" t="str"/>
      <x:c r="W463" s="39" t="str"/>
      <x:c r="X463" s="39" t="str"/>
    </x:row>
    <x:row r="464">
      <x:c r="A464" s="27" t="str">
        <x:v>S25-MATH-05</x:v>
      </x:c>
      <x:c r="B464" s="37" t="n">
        <x:v>460</x:v>
      </x:c>
      <x:c r="C464" s="27" t="str">
        <x:v>S25</x:v>
      </x:c>
      <x:c r="D464" s="37" t="n">
        <x:v>25</x:v>
      </x:c>
      <x:c r="E464" s="27" t="str">
        <x:v>Advanced bridge</x:v>
      </x:c>
      <x:c r="F464" s="27" t="str">
        <x:v>Postsecondary bridge</x:v>
      </x:c>
      <x:c r="G464" s="27" t="str">
        <x:v>Calculus, statistics, discrete reasoning, and specialized inquiry</x:v>
      </x:c>
      <x:c r="H464" s="27" t="str">
        <x:v>Mathematics</x:v>
      </x:c>
      <x:c r="I464" s="27" t="str">
        <x:v>Linear algebra</x:v>
      </x:c>
      <x:c r="J464" s="27" t="str">
        <x:v>Vectors, matrices, systems, and subspaces</x:v>
      </x:c>
      <x:c r="K464" s="27" t="str">
        <x:v>Solving linear systems, interpreting matrices as transformations, and studying span, independence, basis, dimension, and subspaces.</x:v>
      </x:c>
      <x:c r="L464" s="27" t="str">
        <x:v>Precalculus vectors/matrices, systems, coordinate geometry, and proof.</x:v>
      </x:c>
      <x:c r="M464" s="27" t="str">
        <x:v>S25-MATH-04</x:v>
      </x:c>
      <x:c r="N464" s="27" t="str">
        <x:v>G6/G7 — Evidence-based formal system demonstrated through authentic transfer</x:v>
      </x:c>
      <x:c r="O464" s="27" t="str">
        <x:v>Physical quantity and spatial action; science measurement/models; computing/algorithms; finance; music rhythm/pattern; geographic data.</x:v>
      </x:c>
      <x:c r="P464" s="27" t="str">
        <x:v>Linear algebra is the language of multivariable models, data science, graphics, physics, and machine learning.</x:v>
      </x:c>
      <x:c r="Q464" s="27" t="str">
        <x:v>S25-MATH-06</x:v>
      </x:c>
      <x:c r="R464" s="27" t="str">
        <x:v>Moves among equation, matrix, geometric, and subspace representations and explains solvability.</x:v>
      </x:c>
      <x:c r="S464" s="27" t="str">
        <x:v>SRC26</x:v>
      </x:c>
      <x:c r="T464" s="27" t="str">
        <x:v>Development varies; use observed performance and appropriate supports rather than age alone.</x:v>
      </x:c>
      <x:c r="U464" s="27" t="str"/>
      <x:c r="V464" s="27" t="str"/>
      <x:c r="W464" s="39" t="str"/>
      <x:c r="X464" s="39" t="str"/>
    </x:row>
    <x:row r="465">
      <x:c r="A465" s="27" t="str">
        <x:v>S25-MATH-06</x:v>
      </x:c>
      <x:c r="B465" s="37" t="n">
        <x:v>461</x:v>
      </x:c>
      <x:c r="C465" s="27" t="str">
        <x:v>S25</x:v>
      </x:c>
      <x:c r="D465" s="37" t="n">
        <x:v>25</x:v>
      </x:c>
      <x:c r="E465" s="27" t="str">
        <x:v>Advanced bridge</x:v>
      </x:c>
      <x:c r="F465" s="27" t="str">
        <x:v>Postsecondary bridge</x:v>
      </x:c>
      <x:c r="G465" s="27" t="str">
        <x:v>Calculus, statistics, discrete reasoning, and specialized inquiry</x:v>
      </x:c>
      <x:c r="H465" s="27" t="str">
        <x:v>Mathematics</x:v>
      </x:c>
      <x:c r="I465" s="27" t="str">
        <x:v>Linear algebra</x:v>
      </x:c>
      <x:c r="J465" s="27" t="str">
        <x:v>Determinants, eigenvalues, and eigenvectors</x:v>
      </x:c>
      <x:c r="K465" s="27" t="str">
        <x:v>Using determinants to analyze invertibility/volume/orientation and eigenpairs to identify invariant directions and long-term transformation behavior.</x:v>
      </x:c>
      <x:c r="L465" s="27" t="str">
        <x:v>Linear transformations, polynomial roots, and matrix operations.</x:v>
      </x:c>
      <x:c r="M465" s="27" t="str">
        <x:v>S25-MATH-05</x:v>
      </x:c>
      <x:c r="N465" s="27" t="str">
        <x:v>G6/G7 — Evidence-based formal system demonstrated through authentic transfer</x:v>
      </x:c>
      <x:c r="O465" s="27" t="str">
        <x:v>Physical quantity and spatial action; science measurement/models; computing/algorithms; finance; music rhythm/pattern; geographic data.</x:v>
      </x:c>
      <x:c r="P465" s="27" t="str">
        <x:v>Eigenstructure grounds stability, differential equations, dynamical systems, networks, and dimensional reduction.</x:v>
      </x:c>
      <x:c r="Q465" s="27" t="str">
        <x:v>S25-MATH-07</x:v>
      </x:c>
      <x:c r="R465" s="27" t="str">
        <x:v>Computes/interprets eigenstructure in a concrete transformation or dynamic model.</x:v>
      </x:c>
      <x:c r="S465" s="27" t="str">
        <x:v>SRC26</x:v>
      </x:c>
      <x:c r="T465" s="27" t="str">
        <x:v>Development varies; use observed performance and appropriate supports rather than age alone.</x:v>
      </x:c>
      <x:c r="U465" s="27" t="str"/>
      <x:c r="V465" s="27" t="str"/>
      <x:c r="W465" s="39" t="str"/>
      <x:c r="X465" s="39" t="str"/>
    </x:row>
    <x:row r="466">
      <x:c r="A466" s="27" t="str">
        <x:v>S25-MATH-07</x:v>
      </x:c>
      <x:c r="B466" s="37" t="n">
        <x:v>462</x:v>
      </x:c>
      <x:c r="C466" s="27" t="str">
        <x:v>S25</x:v>
      </x:c>
      <x:c r="D466" s="37" t="n">
        <x:v>25</x:v>
      </x:c>
      <x:c r="E466" s="27" t="str">
        <x:v>Advanced bridge</x:v>
      </x:c>
      <x:c r="F466" s="27" t="str">
        <x:v>Postsecondary bridge</x:v>
      </x:c>
      <x:c r="G466" s="27" t="str">
        <x:v>Calculus, statistics, discrete reasoning, and specialized inquiry</x:v>
      </x:c>
      <x:c r="H466" s="27" t="str">
        <x:v>Mathematics</x:v>
      </x:c>
      <x:c r="I466" s="27" t="str">
        <x:v>Calculus BC</x:v>
      </x:c>
      <x:c r="J466" s="27" t="str">
        <x:v>Parametric/polar/vector functions and infinite series</x:v>
      </x:c>
      <x:c r="K466" s="27" t="str">
        <x:v>Differentiating/integrating parametric/polar/vector-valued functions and analyzing sequences/series with convergence tests, power series, and Taylor approximation.</x:v>
      </x:c>
      <x:c r="L466" s="27" t="str">
        <x:v>Grade 12 calculus, precalculus advanced representations, and Algebra II series.</x:v>
      </x:c>
      <x:c r="M466" s="27" t="str">
        <x:v>S25-MATH-06</x:v>
      </x:c>
      <x:c r="N466" s="27" t="str">
        <x:v>G6/G7 — Evidence-based formal system demonstrated through authentic transfer</x:v>
      </x:c>
      <x:c r="O466" s="27" t="str">
        <x:v>Physical quantity and spatial action; science measurement/models; computing/algorithms; finance; music rhythm/pattern; geographic data.</x:v>
      </x:c>
      <x:c r="P466" s="27" t="str">
        <x:v>These tools extend calculus to curves, motion, and function approximation.</x:v>
      </x:c>
      <x:c r="Q466" s="27" t="str">
        <x:v>S25-MATH-08</x:v>
      </x:c>
      <x:c r="R466" s="27" t="str">
        <x:v>Solves an advanced representation/series problem and explains convergence or geometric meaning.</x:v>
      </x:c>
      <x:c r="S466" s="27" t="str">
        <x:v>SRC27</x:v>
      </x:c>
      <x:c r="T466" s="27" t="str">
        <x:v>Development varies; use observed performance and appropriate supports rather than age alone.</x:v>
      </x:c>
      <x:c r="U466" s="27" t="str"/>
      <x:c r="V466" s="27" t="str"/>
      <x:c r="W466" s="39" t="str"/>
      <x:c r="X466" s="39" t="str"/>
    </x:row>
    <x:row r="467">
      <x:c r="A467" s="27" t="str">
        <x:v>S25-MATH-08</x:v>
      </x:c>
      <x:c r="B467" s="37" t="n">
        <x:v>463</x:v>
      </x:c>
      <x:c r="C467" s="27" t="str">
        <x:v>S25</x:v>
      </x:c>
      <x:c r="D467" s="37" t="n">
        <x:v>25</x:v>
      </x:c>
      <x:c r="E467" s="27" t="str">
        <x:v>Advanced bridge</x:v>
      </x:c>
      <x:c r="F467" s="27" t="str">
        <x:v>Postsecondary bridge</x:v>
      </x:c>
      <x:c r="G467" s="27" t="str">
        <x:v>Calculus, statistics, discrete reasoning, and specialized inquiry</x:v>
      </x:c>
      <x:c r="H467" s="27" t="str">
        <x:v>Mathematics</x:v>
      </x:c>
      <x:c r="I467" s="27" t="str">
        <x:v>Multivariable calculus</x:v>
      </x:c>
      <x:c r="J467" s="27" t="str">
        <x:v>Partial derivatives, multiple integrals, and vector calculus</x:v>
      </x:c>
      <x:c r="K467" s="27" t="str">
        <x:v>Analyzing functions of several variables through gradients, optimization, multiple integration, vector fields, line/surface integrals, and major integral theorems at course depth.</x:v>
      </x:c>
      <x:c r="L467" s="27" t="str">
        <x:v>Single-variable calculus, vectors, linear algebra, and 3D geometry.</x:v>
      </x:c>
      <x:c r="M467" s="27" t="str">
        <x:v>S25-MATH-07</x:v>
      </x:c>
      <x:c r="N467" s="27" t="str">
        <x:v>G6/G7 — Evidence-based formal system demonstrated through authentic transfer</x:v>
      </x:c>
      <x:c r="O467" s="27" t="str">
        <x:v>Physical quantity and spatial action; science measurement/models; computing/algorithms; finance; music rhythm/pattern; geographic data.</x:v>
      </x:c>
      <x:c r="P467" s="27" t="str">
        <x:v>Multivariable calculus models interacting quantities and spatial fields.</x:v>
      </x:c>
      <x:c r="Q467" s="27" t="str">
        <x:v>S25-MATH-09</x:v>
      </x:c>
      <x:c r="R467" s="27" t="str">
        <x:v>Builds and interprets a multivariable rate, accumulation, optimization, or field model.</x:v>
      </x:c>
      <x:c r="S467" s="27" t="str">
        <x:v>SRC27</x:v>
      </x:c>
      <x:c r="T467" s="27" t="str">
        <x:v>Development varies; use observed performance and appropriate supports rather than age alone.</x:v>
      </x:c>
      <x:c r="U467" s="27" t="str"/>
      <x:c r="V467" s="27" t="str"/>
      <x:c r="W467" s="39" t="str"/>
      <x:c r="X467" s="39" t="str"/>
    </x:row>
    <x:row r="468">
      <x:c r="A468" s="27" t="str">
        <x:v>S25-MATH-09</x:v>
      </x:c>
      <x:c r="B468" s="37" t="n">
        <x:v>464</x:v>
      </x:c>
      <x:c r="C468" s="27" t="str">
        <x:v>S25</x:v>
      </x:c>
      <x:c r="D468" s="37" t="n">
        <x:v>25</x:v>
      </x:c>
      <x:c r="E468" s="27" t="str">
        <x:v>Advanced bridge</x:v>
      </x:c>
      <x:c r="F468" s="27" t="str">
        <x:v>Postsecondary bridge</x:v>
      </x:c>
      <x:c r="G468" s="27" t="str">
        <x:v>Calculus, statistics, discrete reasoning, and specialized inquiry</x:v>
      </x:c>
      <x:c r="H468" s="27" t="str">
        <x:v>Mathematics</x:v>
      </x:c>
      <x:c r="I468" s="27" t="str">
        <x:v>Differential equations</x:v>
      </x:c>
      <x:c r="J468" s="27" t="str">
        <x:v>First/second-order systems and qualitative dynamics</x:v>
      </x:c>
      <x:c r="K468" s="27" t="str">
        <x:v>Modeling change with separable/linear equations, second-order models, systems, equilibria, phase behavior, and numerical approximations.</x:v>
      </x:c>
      <x:c r="L468" s="27" t="str">
        <x:v>Calculus differential equations, linear algebra/eigenvalues, and modeling.</x:v>
      </x:c>
      <x:c r="M468" s="27" t="str">
        <x:v>S25-MATH-08</x:v>
      </x:c>
      <x:c r="N468" s="27" t="str">
        <x:v>G6/G7 — Evidence-based formal system demonstrated through authentic transfer</x:v>
      </x:c>
      <x:c r="O468" s="27" t="str">
        <x:v>Physical quantity and spatial action; science measurement/models; computing/algorithms; finance; music rhythm/pattern; geographic data.</x:v>
      </x:c>
      <x:c r="P468" s="27" t="str">
        <x:v>Differential equations connect local laws to system trajectories across science/engineering/economics.</x:v>
      </x:c>
      <x:c r="Q468" s="27" t="str">
        <x:v>S25-MATH-10</x:v>
      </x:c>
      <x:c r="R468" s="27" t="str">
        <x:v>Formulates, solves or approximates, and validates a dynamic model with initial/boundary conditions.</x:v>
      </x:c>
      <x:c r="S468" s="27" t="str">
        <x:v>SRC27</x:v>
      </x:c>
      <x:c r="T468" s="27" t="str">
        <x:v>Development varies; use observed performance and appropriate supports rather than age alone.</x:v>
      </x:c>
      <x:c r="U468" s="27" t="str"/>
      <x:c r="V468" s="27" t="str"/>
      <x:c r="W468" s="39" t="str"/>
      <x:c r="X468" s="39" t="str"/>
    </x:row>
    <x:row r="469">
      <x:c r="A469" s="27" t="str">
        <x:v>S25-MATH-10</x:v>
      </x:c>
      <x:c r="B469" s="37" t="n">
        <x:v>465</x:v>
      </x:c>
      <x:c r="C469" s="27" t="str">
        <x:v>S25</x:v>
      </x:c>
      <x:c r="D469" s="37" t="n">
        <x:v>25</x:v>
      </x:c>
      <x:c r="E469" s="27" t="str">
        <x:v>Advanced bridge</x:v>
      </x:c>
      <x:c r="F469" s="27" t="str">
        <x:v>Postsecondary bridge</x:v>
      </x:c>
      <x:c r="G469" s="27" t="str">
        <x:v>Calculus, statistics, discrete reasoning, and specialized inquiry</x:v>
      </x:c>
      <x:c r="H469" s="27" t="str">
        <x:v>Mathematics</x:v>
      </x:c>
      <x:c r="I469" s="27" t="str">
        <x:v>Probability</x:v>
      </x:c>
      <x:c r="J469" s="27" t="str">
        <x:v>Random variables, expectation, conditioning, and limit ideas</x:v>
      </x:c>
      <x:c r="K469" s="27" t="str">
        <x:v>Developing probability spaces, discrete/continuous distributions, expectation/variance, conditional probability/Bayes reasoning, joint distributions, and introductory law-of-large-numbers/central-limit ideas.</x:v>
      </x:c>
      <x:c r="L469" s="27" t="str">
        <x:v>AP Statistics probability, calculus integration, combinatorics, and functions.</x:v>
      </x:c>
      <x:c r="M469" s="27" t="str">
        <x:v>S25-MATH-09</x:v>
      </x:c>
      <x:c r="N469" s="27" t="str">
        <x:v>G6/G7 — Evidence-based formal system demonstrated through authentic transfer</x:v>
      </x:c>
      <x:c r="O469" s="27" t="str">
        <x:v>Physical quantity and spatial action; science measurement/models; computing/algorithms; finance; music rhythm/pattern; geographic data.</x:v>
      </x:c>
      <x:c r="P469" s="27" t="str">
        <x:v>Formal probability grounds statistical inference, risk, stochastic models, and machine learning.</x:v>
      </x:c>
      <x:c r="Q469" s="27" t="str">
        <x:v>S25-MATH-11</x:v>
      </x:c>
      <x:c r="R469" s="27" t="str">
        <x:v>Defines a probability model, derives a quantity, and validates assumptions against the process.</x:v>
      </x:c>
      <x:c r="S469" s="27" t="str">
        <x:v>SRC28</x:v>
      </x:c>
      <x:c r="T469" s="27" t="str">
        <x:v>Development varies; use observed performance and appropriate supports rather than age alone.</x:v>
      </x:c>
      <x:c r="U469" s="27" t="str"/>
      <x:c r="V469" s="27" t="str"/>
      <x:c r="W469" s="39" t="str"/>
      <x:c r="X469" s="39" t="str"/>
    </x:row>
    <x:row r="470">
      <x:c r="A470" s="27" t="str">
        <x:v>S25-MATH-11</x:v>
      </x:c>
      <x:c r="B470" s="37" t="n">
        <x:v>466</x:v>
      </x:c>
      <x:c r="C470" s="27" t="str">
        <x:v>S25</x:v>
      </x:c>
      <x:c r="D470" s="37" t="n">
        <x:v>25</x:v>
      </x:c>
      <x:c r="E470" s="27" t="str">
        <x:v>Advanced bridge</x:v>
      </x:c>
      <x:c r="F470" s="27" t="str">
        <x:v>Postsecondary bridge</x:v>
      </x:c>
      <x:c r="G470" s="27" t="str">
        <x:v>Calculus, statistics, discrete reasoning, and specialized inquiry</x:v>
      </x:c>
      <x:c r="H470" s="27" t="str">
        <x:v>Mathematics</x:v>
      </x:c>
      <x:c r="I470" s="27" t="str">
        <x:v>Mathematical statistics</x:v>
      </x:c>
      <x:c r="J470" s="27" t="str">
        <x:v>Estimation, likelihood, testing, and regression</x:v>
      </x:c>
      <x:c r="K470" s="27" t="str">
        <x:v>Studying estimators, sampling distributions, likelihood, confidence/testing theory, linear models, diagnostics, and robustness at introductory mathematical depth.</x:v>
      </x:c>
      <x:c r="L470" s="27" t="str">
        <x:v>Probability, calculus, linear algebra, and AP Statistics inference.</x:v>
      </x:c>
      <x:c r="M470" s="27" t="str">
        <x:v>S25-MATH-10</x:v>
      </x:c>
      <x:c r="N470" s="27" t="str">
        <x:v>G6/G7 — Evidence-based formal system demonstrated through authentic transfer</x:v>
      </x:c>
      <x:c r="O470" s="27" t="str">
        <x:v>Physical quantity and spatial action; science measurement/models; computing/algorithms; finance; music rhythm/pattern; geographic data.</x:v>
      </x:c>
      <x:c r="P470" s="27" t="str">
        <x:v>Mathematical statistics explains why inference procedures work and when they fail.</x:v>
      </x:c>
      <x:c r="Q470" s="27" t="str">
        <x:v>S25-MATH-12</x:v>
      </x:c>
      <x:c r="R470" s="27" t="str">
        <x:v>Derives or justifies an estimator/test/model and audits assumptions, diagnostics, and uncertainty.</x:v>
      </x:c>
      <x:c r="S470" s="27" t="str">
        <x:v>SRC28</x:v>
      </x:c>
      <x:c r="T470" s="27" t="str">
        <x:v>Development varies; use observed performance and appropriate supports rather than age alone.</x:v>
      </x:c>
      <x:c r="U470" s="27" t="str"/>
      <x:c r="V470" s="27" t="str"/>
      <x:c r="W470" s="39" t="str"/>
      <x:c r="X470" s="39" t="str"/>
    </x:row>
    <x:row r="471">
      <x:c r="A471" s="27" t="str">
        <x:v>S25-MATH-12</x:v>
      </x:c>
      <x:c r="B471" s="37" t="n">
        <x:v>467</x:v>
      </x:c>
      <x:c r="C471" s="27" t="str">
        <x:v>S25</x:v>
      </x:c>
      <x:c r="D471" s="37" t="n">
        <x:v>25</x:v>
      </x:c>
      <x:c r="E471" s="27" t="str">
        <x:v>Advanced bridge</x:v>
      </x:c>
      <x:c r="F471" s="27" t="str">
        <x:v>Postsecondary bridge</x:v>
      </x:c>
      <x:c r="G471" s="27" t="str">
        <x:v>Calculus, statistics, discrete reasoning, and specialized inquiry</x:v>
      </x:c>
      <x:c r="H471" s="27" t="str">
        <x:v>Mathematics</x:v>
      </x:c>
      <x:c r="I471" s="27" t="str">
        <x:v>Optimization</x:v>
      </x:c>
      <x:c r="J471" s="27" t="str">
        <x:v>Linear, constrained, and numerical optimization</x:v>
      </x:c>
      <x:c r="K471" s="27" t="str">
        <x:v>Formulating objectives/constraints, solving linear programs, applying derivative/Lagrange methods where suitable, and using numerical search while examining sensitivity/tradeoffs.</x:v>
      </x:c>
      <x:c r="L471" s="27" t="str">
        <x:v>Algebra systems/inequalities, calculus, linear algebra, and modeling.</x:v>
      </x:c>
      <x:c r="M471" s="27" t="str">
        <x:v>S25-MATH-11</x:v>
      </x:c>
      <x:c r="N471" s="27" t="str">
        <x:v>G6/G7 — Evidence-based formal system demonstrated through authentic transfer</x:v>
      </x:c>
      <x:c r="O471" s="27" t="str">
        <x:v>Physical quantity and spatial action; science measurement/models; computing/algorithms; finance; music rhythm/pattern; geographic data.</x:v>
      </x:c>
      <x:c r="P471" s="27" t="str">
        <x:v>Optimization turns competing criteria into explicit decision models used across engineering, economics, logistics, and AI.</x:v>
      </x:c>
      <x:c r="Q471" s="27" t="str">
        <x:v>S25-MATH-13</x:v>
      </x:c>
      <x:c r="R471" s="27" t="str">
        <x:v>Formulates and solves an optimization problem and interprets sensitivity and omitted constraints.</x:v>
      </x:c>
      <x:c r="S471" s="27" t="str">
        <x:v>SRC26; SRC27</x:v>
      </x:c>
      <x:c r="T471" s="27" t="str">
        <x:v>Development varies; use observed performance and appropriate supports rather than age alone.</x:v>
      </x:c>
      <x:c r="U471" s="27" t="str"/>
      <x:c r="V471" s="27" t="str"/>
      <x:c r="W471" s="39" t="str"/>
      <x:c r="X471" s="39" t="str"/>
    </x:row>
    <x:row r="472">
      <x:c r="A472" s="27" t="str">
        <x:v>S25-MATH-13</x:v>
      </x:c>
      <x:c r="B472" s="37" t="n">
        <x:v>468</x:v>
      </x:c>
      <x:c r="C472" s="27" t="str">
        <x:v>S25</x:v>
      </x:c>
      <x:c r="D472" s="37" t="n">
        <x:v>25</x:v>
      </x:c>
      <x:c r="E472" s="27" t="str">
        <x:v>Advanced bridge</x:v>
      </x:c>
      <x:c r="F472" s="27" t="str">
        <x:v>Postsecondary bridge</x:v>
      </x:c>
      <x:c r="G472" s="27" t="str">
        <x:v>Calculus, statistics, discrete reasoning, and specialized inquiry</x:v>
      </x:c>
      <x:c r="H472" s="27" t="str">
        <x:v>Mathematics</x:v>
      </x:c>
      <x:c r="I472" s="27" t="str">
        <x:v>Numerical methods</x:v>
      </x:c>
      <x:c r="J472" s="27" t="str">
        <x:v>Approximation, error, stability, and computation</x:v>
      </x:c>
      <x:c r="K472" s="27" t="str">
        <x:v>Using numerical root finding, interpolation, integration, differential-equation solvers, and linear-system methods while tracking truncation/rounding error and stability.</x:v>
      </x:c>
      <x:c r="L472" s="27" t="str">
        <x:v>Calculus, linear algebra, programming, and error/uncertainty analysis.</x:v>
      </x:c>
      <x:c r="M472" s="27" t="str">
        <x:v>S25-MATH-12</x:v>
      </x:c>
      <x:c r="N472" s="27" t="str">
        <x:v>G6/G7 — Evidence-based formal system demonstrated through authentic transfer</x:v>
      </x:c>
      <x:c r="O472" s="27" t="str">
        <x:v>Physical quantity and spatial action; science measurement/models; computing/algorithms; finance; music rhythm/pattern; geographic data.</x:v>
      </x:c>
      <x:c r="P472" s="27" t="str">
        <x:v>Numerical methods make mathematically defined solutions computable when closed forms are unavailable.</x:v>
      </x:c>
      <x:c r="Q472" s="27" t="str">
        <x:v>S25-MATH-14</x:v>
      </x:c>
      <x:c r="R472" s="27" t="str">
        <x:v>Implements a method, tests convergence/error, and explains when the result is trustworthy.</x:v>
      </x:c>
      <x:c r="S472" s="27" t="str">
        <x:v>SRC16; SRC27</x:v>
      </x:c>
      <x:c r="T472" s="27" t="str">
        <x:v>Development varies; use observed performance and appropriate supports rather than age alone.</x:v>
      </x:c>
      <x:c r="U472" s="27" t="str"/>
      <x:c r="V472" s="27" t="str"/>
      <x:c r="W472" s="39" t="str"/>
      <x:c r="X472" s="39" t="str"/>
    </x:row>
    <x:row r="473">
      <x:c r="A473" s="27" t="str">
        <x:v>S25-MATH-14</x:v>
      </x:c>
      <x:c r="B473" s="37" t="n">
        <x:v>469</x:v>
      </x:c>
      <x:c r="C473" s="27" t="str">
        <x:v>S25</x:v>
      </x:c>
      <x:c r="D473" s="37" t="n">
        <x:v>25</x:v>
      </x:c>
      <x:c r="E473" s="27" t="str">
        <x:v>Advanced bridge</x:v>
      </x:c>
      <x:c r="F473" s="27" t="str">
        <x:v>Postsecondary bridge</x:v>
      </x:c>
      <x:c r="G473" s="27" t="str">
        <x:v>Calculus, statistics, discrete reasoning, and specialized inquiry</x:v>
      </x:c>
      <x:c r="H473" s="27" t="str">
        <x:v>Mathematics</x:v>
      </x:c>
      <x:c r="I473" s="27" t="str">
        <x:v>Real analysis introduction</x:v>
      </x:c>
      <x:c r="J473" s="27" t="str">
        <x:v>Limits, continuity, differentiation, and integration with rigor</x:v>
      </x:c>
      <x:c r="K473" s="27" t="str">
        <x:v>Rebuilding calculus from precise definitions of sequences, convergence, continuity, derivative, and integral and proving central theorems.</x:v>
      </x:c>
      <x:c r="L473" s="27" t="str">
        <x:v>Proof/logic, Calculus BC, and real-number structure.</x:v>
      </x:c>
      <x:c r="M473" s="27" t="str">
        <x:v>S25-MATH-13</x:v>
      </x:c>
      <x:c r="N473" s="27" t="str">
        <x:v>G6/G7 — Evidence-based formal system demonstrated through authentic transfer</x:v>
      </x:c>
      <x:c r="O473" s="27" t="str">
        <x:v>Physical quantity and spatial action; science measurement/models; computing/algorithms; finance; music rhythm/pattern; geographic data.</x:v>
      </x:c>
      <x:c r="P473" s="27" t="str">
        <x:v>Analysis grounds the assumptions and guarantees behind calculus.</x:v>
      </x:c>
      <x:c r="Q473" s="27" t="str">
        <x:v>S25-MATH-15</x:v>
      </x:c>
      <x:c r="R473" s="27" t="str">
        <x:v>Proves a foundational result from definitions and identifies why each condition matters.</x:v>
      </x:c>
      <x:c r="S473" s="27" t="str">
        <x:v>SRC27</x:v>
      </x:c>
      <x:c r="T473" s="27" t="str">
        <x:v>Development varies; use observed performance and appropriate supports rather than age alone.</x:v>
      </x:c>
      <x:c r="U473" s="27" t="str"/>
      <x:c r="V473" s="27" t="str"/>
      <x:c r="W473" s="39" t="str"/>
      <x:c r="X473" s="39" t="str"/>
    </x:row>
    <x:row r="474">
      <x:c r="A474" s="27" t="str">
        <x:v>S25-MATH-15</x:v>
      </x:c>
      <x:c r="B474" s="37" t="n">
        <x:v>470</x:v>
      </x:c>
      <x:c r="C474" s="27" t="str">
        <x:v>S25</x:v>
      </x:c>
      <x:c r="D474" s="37" t="n">
        <x:v>25</x:v>
      </x:c>
      <x:c r="E474" s="27" t="str">
        <x:v>Advanced bridge</x:v>
      </x:c>
      <x:c r="F474" s="27" t="str">
        <x:v>Postsecondary bridge</x:v>
      </x:c>
      <x:c r="G474" s="27" t="str">
        <x:v>Calculus, statistics, discrete reasoning, and specialized inquiry</x:v>
      </x:c>
      <x:c r="H474" s="27" t="str">
        <x:v>Mathematics</x:v>
      </x:c>
      <x:c r="I474" s="27" t="str">
        <x:v>Abstract algebra introduction</x:v>
      </x:c>
      <x:c r="J474" s="27" t="str">
        <x:v>Groups, rings, fields, and structure-preserving maps</x:v>
      </x:c>
      <x:c r="K474" s="27" t="str">
        <x:v>Studying algebraic structures through operations, axioms, substructures, homomorphisms, quotient ideas, and examples such as symmetry/permutations/modular arithmetic.</x:v>
      </x:c>
      <x:c r="L474" s="27" t="str">
        <x:v>Proof/logic, discrete relations, polynomial/number structure, and transformations.</x:v>
      </x:c>
      <x:c r="M474" s="27" t="str">
        <x:v>S25-MATH-14</x:v>
      </x:c>
      <x:c r="N474" s="27" t="str">
        <x:v>G6/G7 — Evidence-based formal system demonstrated through authentic transfer</x:v>
      </x:c>
      <x:c r="O474" s="27" t="str">
        <x:v>Physical quantity and spatial action; science measurement/models; computing/algorithms; finance; music rhythm/pattern; geographic data.</x:v>
      </x:c>
      <x:c r="P474" s="27" t="str">
        <x:v>Abstract algebra identifies invariant structure across seemingly different systems.</x:v>
      </x:c>
      <x:c r="Q474" s="27" t="str">
        <x:v>CULMINATION / CONTINUING STUDY</x:v>
      </x:c>
      <x:c r="R474" s="27" t="str">
        <x:v>Verifies a structure, proves a property, and maps two examples through a structure-preserving relationship.</x:v>
      </x:c>
      <x:c r="S474" s="27" t="str">
        <x:v>SRC09</x:v>
      </x:c>
      <x:c r="T474" s="27" t="str">
        <x:v>Development varies; use observed performance and appropriate supports rather than age alone.</x:v>
      </x:c>
      <x:c r="U474" s="27" t="str"/>
      <x:c r="V474" s="27" t="str"/>
      <x:c r="W474" s="39" t="str"/>
      <x:c r="X474" s="39" t="str"/>
    </x:row>
    <x:row r="475">
      <x:c r="A475" s="27" t="str">
        <x:v>S25-SCI-01</x:v>
      </x:c>
      <x:c r="B475" s="37" t="n">
        <x:v>471</x:v>
      </x:c>
      <x:c r="C475" s="27" t="str">
        <x:v>S25</x:v>
      </x:c>
      <x:c r="D475" s="37" t="n">
        <x:v>25</x:v>
      </x:c>
      <x:c r="E475" s="27" t="str">
        <x:v>Advanced bridge</x:v>
      </x:c>
      <x:c r="F475" s="27" t="str">
        <x:v>Postsecondary bridge</x:v>
      </x:c>
      <x:c r="G475" s="27" t="str">
        <x:v>Calculus, statistics, discrete reasoning, and specialized inquiry</x:v>
      </x:c>
      <x:c r="H475" s="27" t="str">
        <x:v>Science &amp; Engineering</x:v>
      </x:c>
      <x:c r="I475" s="27" t="str">
        <x:v>Research laboratory</x:v>
      </x:c>
      <x:c r="J475" s="27" t="str">
        <x:v>Literature, protocol, data, analysis, and reproducibility</x:v>
      </x:c>
      <x:c r="K475" s="27" t="str">
        <x:v>Formulating a novel bounded question, reviewing literature, designing an ethical/safe protocol, collecting traceable data, analyzing uncertainty, and sharing methods/results for replication.</x:v>
      </x:c>
      <x:c r="L475" s="27" t="str">
        <x:v>High-school lab methods, statistics, capstone, and disciplinary writing.</x:v>
      </x:c>
      <x:c r="M475" s="27" t="str">
        <x:v>S24-SCI-01</x:v>
      </x:c>
      <x:c r="N475" s="27" t="str">
        <x:v>G6/G7 — Evidence-based formal system demonstrated through authentic transfer</x:v>
      </x:c>
      <x:c r="O475" s="27" t="str">
        <x:v>Sensory observation and action; mathematics/data; reading/writing evidence; computing/models; health and environmental/civic decisions.</x:v>
      </x:c>
      <x:c r="P475" s="27" t="str">
        <x:v>Reproducible research is the advanced grounding cycle for empirical knowledge.</x:v>
      </x:c>
      <x:c r="Q475" s="27" t="str">
        <x:v>CULMINATION / CONTINUING STUDY</x:v>
      </x:c>
      <x:c r="R475" s="27" t="str">
        <x:v>Submits preregistered or prospectively documented methods, raw/processed data trace, analysis, and limitation-aware report.</x:v>
      </x:c>
      <x:c r="S475" s="27" t="str">
        <x:v>SRC11; SRC29</x:v>
      </x:c>
      <x:c r="T475" s="27" t="str">
        <x:v>Development varies; use observed performance and appropriate supports rather than age alone.</x:v>
      </x:c>
      <x:c r="U475" s="27" t="str"/>
      <x:c r="V475" s="27" t="str"/>
      <x:c r="W475" s="39" t="str"/>
      <x:c r="X475" s="39" t="str"/>
    </x:row>
    <x:row r="476">
      <x:c r="A476" s="27" t="str">
        <x:v>S25-SST-01</x:v>
      </x:c>
      <x:c r="B476" s="37" t="n">
        <x:v>472</x:v>
      </x:c>
      <x:c r="C476" s="27" t="str">
        <x:v>S25</x:v>
      </x:c>
      <x:c r="D476" s="37" t="n">
        <x:v>25</x:v>
      </x:c>
      <x:c r="E476" s="27" t="str">
        <x:v>Advanced bridge</x:v>
      </x:c>
      <x:c r="F476" s="27" t="str">
        <x:v>Postsecondary bridge</x:v>
      </x:c>
      <x:c r="G476" s="27" t="str">
        <x:v>Calculus, statistics, discrete reasoning, and specialized inquiry</x:v>
      </x:c>
      <x:c r="H476" s="27" t="str">
        <x:v>Social Studies</x:v>
      </x:c>
      <x:c r="I476" s="27" t="str">
        <x:v>Behavioral and social sciences</x:v>
      </x:c>
      <x:c r="J476" s="27" t="str">
        <x:v>Psychology, sociology, anthropology, and research design</x:v>
      </x:c>
      <x:c r="K476" s="27" t="str">
        <x:v>Studying behavior, cognition, development, groups, institutions, culture, inequality, and social change using ethical observational, experimental, survey, qualitative, and mixed methods.</x:v>
      </x:c>
      <x:c r="L476" s="27" t="str">
        <x:v>K–12 social inquiry, biology, statistics, ethics, and source methods.</x:v>
      </x:c>
      <x:c r="M476" s="27" t="str">
        <x:v>S24-SST-02</x:v>
      </x:c>
      <x:c r="N476" s="27" t="str">
        <x:v>G6/G7 — Evidence-based formal system demonstrated through authentic transfer</x:v>
      </x:c>
      <x:c r="O476" s="27" t="str">
        <x:v>Language/literacy and source evidence; maps/data/economics; ethics/SEL; media literacy; arts/culture; civic action.</x:v>
      </x:c>
      <x:c r="P476" s="27" t="str">
        <x:v>Behavioral/social sciences extend historical/civic understanding with testable and interpretive models of human systems.</x:v>
      </x:c>
      <x:c r="Q476" s="27" t="str">
        <x:v>CULMINATION / CONTINUING STUDY</x:v>
      </x:c>
      <x:c r="R476" s="27" t="str">
        <x:v>Evaluates or conducts a study with operational definitions, method fit, evidence, context, ethics, and limits.</x:v>
      </x:c>
      <x:c r="S476" s="27" t="str">
        <x:v>SRC12; SRC29</x:v>
      </x:c>
      <x:c r="T476" s="27" t="str">
        <x:v>Development varies; use observed performance and appropriate supports rather than age alone.</x:v>
      </x:c>
      <x:c r="U476" s="27" t="str"/>
      <x:c r="V476" s="27" t="str"/>
      <x:c r="W476" s="39" t="str"/>
      <x:c r="X476" s="39" t="str"/>
    </x:row>
    <x:row r="477">
      <x:c r="A477" s="27" t="str">
        <x:v>S25-COMP-01</x:v>
      </x:c>
      <x:c r="B477" s="37" t="n">
        <x:v>473</x:v>
      </x:c>
      <x:c r="C477" s="27" t="str">
        <x:v>S25</x:v>
      </x:c>
      <x:c r="D477" s="37" t="n">
        <x:v>25</x:v>
      </x:c>
      <x:c r="E477" s="27" t="str">
        <x:v>Advanced bridge</x:v>
      </x:c>
      <x:c r="F477" s="27" t="str">
        <x:v>Postsecondary bridge</x:v>
      </x:c>
      <x:c r="G477" s="27" t="str">
        <x:v>Calculus, statistics, discrete reasoning, and specialized inquiry</x:v>
      </x:c>
      <x:c r="H477" s="27" t="str">
        <x:v>Computing &amp; Media</x:v>
      </x:c>
      <x:c r="I477" s="27" t="str">
        <x:v>Algorithms and data structures</x:v>
      </x:c>
      <x:c r="J477" s="27" t="str">
        <x:v>Complexity, recursion, trees, graphs, hashing, and algorithm design</x:v>
      </x:c>
      <x:c r="K477" s="27" t="str">
        <x:v>Selecting/implementing data structures, designing recursive/iterative algorithms, proving correctness, and analyzing time/space tradeoffs.</x:v>
      </x:c>
      <x:c r="L477" s="27" t="str">
        <x:v>High-school programming, discrete math, graph theory, and asymptotic growth.</x:v>
      </x:c>
      <x:c r="M477" s="27" t="str">
        <x:v>S24-COMP-01</x:v>
      </x:c>
      <x:c r="N477" s="27" t="str">
        <x:v>G6/G7 — Evidence-based formal system demonstrated through authentic transfer</x:v>
      </x:c>
      <x:c r="O477" s="27" t="str">
        <x:v>Mathematics/logic/data; language and media evidence; science/engineering models; art/design; civics, privacy, finance, and ethics.</x:v>
      </x:c>
      <x:c r="P477" s="27" t="str">
        <x:v>Algorithm/data-structure fit determines correctness and scalability.</x:v>
      </x:c>
      <x:c r="Q477" s="27" t="str">
        <x:v>S25-COMP-02</x:v>
      </x:c>
      <x:c r="R477" s="27" t="str">
        <x:v>Implements and tests a solution, proves key correctness, and compares complexity/tradeoffs.</x:v>
      </x:c>
      <x:c r="S477" s="27" t="str">
        <x:v>SRC16</x:v>
      </x:c>
      <x:c r="T477" s="27" t="str">
        <x:v>Development varies; use observed performance and appropriate supports rather than age alone.</x:v>
      </x:c>
      <x:c r="U477" s="27" t="str"/>
      <x:c r="V477" s="27" t="str"/>
      <x:c r="W477" s="39" t="str"/>
      <x:c r="X477" s="39" t="str"/>
    </x:row>
    <x:row r="478">
      <x:c r="A478" s="27" t="str">
        <x:v>S25-COMP-02</x:v>
      </x:c>
      <x:c r="B478" s="37" t="n">
        <x:v>474</x:v>
      </x:c>
      <x:c r="C478" s="27" t="str">
        <x:v>S25</x:v>
      </x:c>
      <x:c r="D478" s="37" t="n">
        <x:v>25</x:v>
      </x:c>
      <x:c r="E478" s="27" t="str">
        <x:v>Advanced bridge</x:v>
      </x:c>
      <x:c r="F478" s="27" t="str">
        <x:v>Postsecondary bridge</x:v>
      </x:c>
      <x:c r="G478" s="27" t="str">
        <x:v>Calculus, statistics, discrete reasoning, and specialized inquiry</x:v>
      </x:c>
      <x:c r="H478" s="27" t="str">
        <x:v>Computing &amp; Media</x:v>
      </x:c>
      <x:c r="I478" s="27" t="str">
        <x:v>Data science and machine learning</x:v>
      </x:c>
      <x:c r="J478" s="27" t="str">
        <x:v>Data pipeline, models, validation, and responsible use</x:v>
      </x:c>
      <x:c r="K478" s="27" t="str">
        <x:v>Formulating questions, acquiring/cleaning data, exploring/visualizing, fitting statistical/ML models, validating performance, interpreting errors, and auditing bias/privacy/impact.</x:v>
      </x:c>
      <x:c r="L478" s="27" t="str">
        <x:v>Statistics, linear algebra, probability, programming, and media/data ethics.</x:v>
      </x:c>
      <x:c r="M478" s="27" t="str">
        <x:v>S25-COMP-01</x:v>
      </x:c>
      <x:c r="N478" s="27" t="str">
        <x:v>G6/G7 — Evidence-based formal system demonstrated through authentic transfer</x:v>
      </x:c>
      <x:c r="O478" s="27" t="str">
        <x:v>Mathematics/logic/data; language and media evidence; science/engineering models; art/design; civics, privacy, finance, and ethics.</x:v>
      </x:c>
      <x:c r="P478" s="27" t="str">
        <x:v>A full evidence pipeline grounds model outputs in data provenance, assumptions, and consequences.</x:v>
      </x:c>
      <x:c r="Q478" s="27" t="str">
        <x:v>CULMINATION / CONTINUING STUDY</x:v>
      </x:c>
      <x:c r="R478" s="27" t="str">
        <x:v>Produces a reproducible analysis/model card with validation, error analysis, limitations, and impact controls.</x:v>
      </x:c>
      <x:c r="S478" s="27" t="str">
        <x:v>SRC16; SRC28</x:v>
      </x:c>
      <x:c r="T478" s="27" t="str">
        <x:v>Development varies; use observed performance and appropriate supports rather than age alone.</x:v>
      </x:c>
      <x:c r="U478" s="27" t="str"/>
      <x:c r="V478" s="27" t="str"/>
      <x:c r="W478" s="39" t="str"/>
      <x:c r="X478" s="39" t="str"/>
    </x:row>
    <x:row r="479">
      <x:c r="A479" s="27" t="str">
        <x:v>S25-LIFE-01</x:v>
      </x:c>
      <x:c r="B479" s="37" t="n">
        <x:v>475</x:v>
      </x:c>
      <x:c r="C479" s="27" t="str">
        <x:v>S25</x:v>
      </x:c>
      <x:c r="D479" s="37" t="n">
        <x:v>25</x:v>
      </x:c>
      <x:c r="E479" s="27" t="str">
        <x:v>Advanced bridge</x:v>
      </x:c>
      <x:c r="F479" s="27" t="str">
        <x:v>Postsecondary bridge</x:v>
      </x:c>
      <x:c r="G479" s="27" t="str">
        <x:v>Calculus, statistics, discrete reasoning, and specialized inquiry</x:v>
      </x:c>
      <x:c r="H479" s="27" t="str">
        <x:v>Life, Finance &amp; Career</x:v>
      </x:c>
      <x:c r="I479" s="27" t="str">
        <x:v>Professional practice</x:v>
      </x:c>
      <x:c r="J479" s="27" t="str">
        <x:v>Portfolio, standards, project management, and continuous learning</x:v>
      </x:c>
      <x:c r="K479" s="27" t="str">
        <x:v>Defining scope/deliverables, applying field standards/ethics, managing versioned work and stakeholders, presenting portfolio evidence, and maintaining a continuing-learning plan.</x:v>
      </x:c>
      <x:c r="L479" s="27" t="str">
        <x:v>Grade 12 capstone, launch planning, negotiation, and independent learning system.</x:v>
      </x:c>
      <x:c r="M479" s="27" t="str">
        <x:v>S24-LIFE-01</x:v>
      </x:c>
      <x:c r="N479" s="27" t="str">
        <x:v>G6/G7 — Evidence-based formal system demonstrated through authentic transfer</x:v>
      </x:c>
      <x:c r="O479" s="27" t="str">
        <x:v>Mathematics/percent/growth; economics/civics; reading contracts/sources; computing/privacy; SEL, planning, and risk decisions.</x:v>
      </x:c>
      <x:c r="P479" s="27" t="str">
        <x:v>Professional practice integrates knowledge, accountability, communication, and repeatable improvement.</x:v>
      </x:c>
      <x:c r="Q479" s="27" t="str">
        <x:v>CULMINATION / CONTINUING STUDY</x:v>
      </x:c>
      <x:c r="R479" s="27" t="str">
        <x:v>Completes a standards-aligned project/portfolio and a measurable next-learning plan with review dates.</x:v>
      </x:c>
      <x:c r="S479" s="27" t="str">
        <x:v>SRC18; SRC19; SRC29</x:v>
      </x:c>
      <x:c r="T479" s="27" t="str">
        <x:v>Development varies; use observed performance and appropriate supports rather than age alone.</x:v>
      </x:c>
      <x:c r="U479" s="27" t="str"/>
      <x:c r="V479" s="27" t="str"/>
      <x:c r="W479" s="39" t="str"/>
      <x:c r="X479" s="39" t="str"/>
    </x:row>
  </x:sheetData>
  <x:mergeCells>
    <x:mergeCell ref="A1:X1"/>
    <x:mergeCell ref="A2:X2"/>
  </x:mergeCells>
  <x:conditionalFormatting sqref="U5:U479">
    <x:cfRule type="containsText" dxfId="0" priority="1" operator="containsText" text="Not Started"/>
    <x:cfRule type="containsText" dxfId="1" priority="2" operator="containsText" text="Exploring"/>
    <x:cfRule type="containsText" dxfId="2" priority="3" operator="containsText" text="Practicing"/>
    <x:cfRule type="containsText" dxfId="3" priority="4" operator="containsText" text="Applying"/>
    <x:cfRule type="containsText" dxfId="4" priority="5" operator="containsText" text="Mastered"/>
  </x:conditionalFormatting>
  <x:dataValidations count="1">
    <x:dataValidation type="list" sqref="U5:U479">
      <x:formula1>"Not Started,Exploring,Practicing,Applying,Mastered"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6cc2e7cede4c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8" hidden="0" customWidth="1"/>
    <x:col min="5" max="5" width="15" hidden="0" customWidth="1"/>
    <x:col min="6" max="6" width="15" hidden="0" customWidth="1"/>
  </x:cols>
  <x:sheetData>
    <x:row r="1" ht="34" customHeight="1">
      <x:c r="A1" s="4" t="str">
        <x:v>LEARNING MAP DASHBOARD</x:v>
      </x:c>
      <x:c r="B1" s="4" t="str">
        <x:v>LEARNING MAP DASHBOARD</x:v>
      </x:c>
      <x:c r="C1" s="4" t="str">
        <x:v>LEARNING MAP DASHBOARD</x:v>
      </x:c>
      <x:c r="D1" s="4" t="str">
        <x:v>LEARNING MAP DASHBOARD</x:v>
      </x:c>
      <x:c r="E1" s="4" t="str">
        <x:v>LEARNING MAP DASHBOARD</x:v>
      </x:c>
      <x:c r="F1" s="4" t="str">
        <x:v>LEARNING MAP DASHBOARD</x:v>
      </x:c>
      <x:c r="G1" s="4" t="str">
        <x:v>LEARNING MAP DASHBOARD</x:v>
      </x:c>
      <x:c r="H1" s="4" t="str">
        <x:v>LEARNING MAP DASHBOARD</x:v>
      </x:c>
      <x:c r="I1" s="4" t="str">
        <x:v>LEARNING MAP DASHBOARD</x:v>
      </x:c>
      <x:c r="J1" s="4" t="str">
        <x:v>LEARNING MAP DASHBOARD</x:v>
      </x:c>
    </x:row>
    <x:row r="2" ht="30" customHeight="1">
      <x:c r="A2" s="8" t="str">
        <x:v>Live formulas summarize the master table. Enter learner status/evidence in Master Sequence; the dashboard updates automatically.</x:v>
      </x:c>
      <x:c r="B2" s="8" t="str">
        <x:v>Live formulas summarize the master table. Enter learner status/evidence in Master Sequence; the dashboard updates automatically.</x:v>
      </x:c>
      <x:c r="C2" s="8" t="str">
        <x:v>Live formulas summarize the master table. Enter learner status/evidence in Master Sequence; the dashboard updates automatically.</x:v>
      </x:c>
      <x:c r="D2" s="8" t="str">
        <x:v>Live formulas summarize the master table. Enter learner status/evidence in Master Sequence; the dashboard updates automatically.</x:v>
      </x:c>
      <x:c r="E2" s="8" t="str">
        <x:v>Live formulas summarize the master table. Enter learner status/evidence in Master Sequence; the dashboard updates automatically.</x:v>
      </x:c>
      <x:c r="F2" s="8" t="str">
        <x:v>Live formulas summarize the master table. Enter learner status/evidence in Master Sequence; the dashboard updates automatically.</x:v>
      </x:c>
      <x:c r="G2" s="8" t="str">
        <x:v>Live formulas summarize the master table. Enter learner status/evidence in Master Sequence; the dashboard updates automatically.</x:v>
      </x:c>
      <x:c r="H2" s="8" t="str">
        <x:v>Live formulas summarize the master table. Enter learner status/evidence in Master Sequence; the dashboard updates automatically.</x:v>
      </x:c>
      <x:c r="I2" s="8" t="str">
        <x:v>Live formulas summarize the master table. Enter learner status/evidence in Master Sequence; the dashboard updates automatically.</x:v>
      </x:c>
      <x:c r="J2" s="8" t="str">
        <x:v>Live formulas summarize the master table. Enter learner status/evidence in Master Sequence; the dashboard updates automatically.</x:v>
      </x:c>
    </x:row>
    <x:row r="4" ht="32" customHeight="1">
      <x:c r="A4" s="17" t="str">
        <x:v>METRIC</x:v>
      </x:c>
      <x:c r="B4" s="18" t="str">
        <x:v>VALUE</x:v>
      </x:c>
      <x:c r="D4" s="17" t="str">
        <x:v>LEARNER STATUS</x:v>
      </x:c>
      <x:c r="E4" s="35" t="str">
        <x:v>TOPICS</x:v>
      </x:c>
      <x:c r="F4" s="18" t="str">
        <x:v>% OF TOTAL</x:v>
      </x:c>
    </x:row>
    <x:row r="5">
      <x:c r="A5" s="30" t="str">
        <x:v>Total topic nodes</x:v>
      </x:c>
      <x:c r="B5" s="48" t="n">
        <x:f>COUNTA('Master Sequence'!A5:A479)</x:f>
        <x:v>475</x:v>
      </x:c>
      <x:c r="D5" s="26" t="str">
        <x:v>Not Started</x:v>
      </x:c>
      <x:c r="E5" s="26" t="n">
        <x:f>COUNTIF('Master Sequence'!$U$5:$U$479,D5)</x:f>
        <x:v>0</x:v>
      </x:c>
      <x:c r="F5" s="50" t="n">
        <x:f>IF($B$5=0,0,E5/$B$5)</x:f>
        <x:v>0</x:v>
      </x:c>
    </x:row>
    <x:row r="6">
      <x:c r="A6" s="31" t="str">
        <x:v>Development stages</x:v>
      </x:c>
      <x:c r="B6" s="49" t="n">
        <x:f>COUNTA('Stage Map'!A5:A29)</x:f>
        <x:v>25</x:v>
      </x:c>
      <x:c r="D6" s="27" t="str">
        <x:v>Exploring</x:v>
      </x:c>
      <x:c r="E6" s="27" t="n">
        <x:f>COUNTIF('Master Sequence'!$U$5:$U$479,D6)</x:f>
        <x:v>0</x:v>
      </x:c>
      <x:c r="F6" s="51" t="n">
        <x:f>IF($B$5=0,0,E6/$B$5)</x:f>
        <x:v>0</x:v>
      </x:c>
    </x:row>
    <x:row r="7">
      <x:c r="A7" s="31" t="str">
        <x:v>Domains</x:v>
      </x:c>
      <x:c r="B7" s="49" t="n">
        <x:f>COUNTA('Domain Paths'!A5:A17)</x:f>
        <x:v>13</x:v>
      </x:c>
      <x:c r="D7" s="27" t="str">
        <x:v>Practicing</x:v>
      </x:c>
      <x:c r="E7" s="27" t="n">
        <x:f>COUNTIF('Master Sequence'!$U$5:$U$479,D7)</x:f>
        <x:v>0</x:v>
      </x:c>
      <x:c r="F7" s="51" t="n">
        <x:f>IF($B$5=0,0,E7/$B$5)</x:f>
        <x:v>0</x:v>
      </x:c>
    </x:row>
    <x:row r="8">
      <x:c r="A8" s="31" t="str">
        <x:v>Authoritative source records</x:v>
      </x:c>
      <x:c r="B8" s="49" t="n">
        <x:f>COUNTA(Sources!A5:A38)</x:f>
        <x:v>34</x:v>
      </x:c>
      <x:c r="D8" s="27" t="str">
        <x:v>Applying</x:v>
      </x:c>
      <x:c r="E8" s="27" t="n">
        <x:f>COUNTIF('Master Sequence'!$U$5:$U$479,D8)</x:f>
        <x:v>0</x:v>
      </x:c>
      <x:c r="F8" s="51" t="n">
        <x:f>IF($B$5=0,0,E8/$B$5)</x:f>
        <x:v>0</x:v>
      </x:c>
    </x:row>
    <x:row r="9">
      <x:c r="A9" s="31" t="str">
        <x:v>Memory architecture steps</x:v>
      </x:c>
      <x:c r="B9" s="49" t="n">
        <x:f>COUNTA('Memory Architecture'!A5:A17)</x:f>
        <x:v>13</x:v>
      </x:c>
      <x:c r="D9" s="27" t="str">
        <x:v>Mastered</x:v>
      </x:c>
      <x:c r="E9" s="27" t="n">
        <x:f>COUNTIF('Master Sequence'!$U$5:$U$479,D9)</x:f>
        <x:v>0</x:v>
      </x:c>
      <x:c r="F9" s="51" t="n">
        <x:f>IF($B$5=0,0,E9/$B$5)</x:f>
        <x:v>0</x:v>
      </x:c>
    </x:row>
    <x:row r="12" ht="32" customHeight="1">
      <x:c r="A12" s="17" t="str">
        <x:v>DOMAIN</x:v>
      </x:c>
      <x:c r="B12" s="35" t="str">
        <x:v>TOPIC NODES</x:v>
      </x:c>
      <x:c r="C12" s="35" t="str">
        <x:v>MASTERED</x:v>
      </x:c>
      <x:c r="D12" s="18" t="str">
        <x:v>COMPLETION</x:v>
      </x:c>
    </x:row>
    <x:row r="13">
      <x:c r="A13" s="26" t="str">
        <x:v>Learning Foundations</x:v>
      </x:c>
      <x:c r="B13" s="26" t="n">
        <x:f>COUNTIF('Master Sequence'!$H$5:$H$479,A13)</x:f>
        <x:v>37</x:v>
      </x:c>
      <x:c r="C13" s="26" t="n">
        <x:f>COUNTIFS('Master Sequence'!$H$5:$H$479,A13,'Master Sequence'!$U$5:$U$479,"Mastered")</x:f>
        <x:v>0</x:v>
      </x:c>
      <x:c r="D13" s="50" t="n">
        <x:f>IF(B13=0,0,C13/B13)</x:f>
        <x:v>0</x:v>
      </x:c>
    </x:row>
    <x:row r="14">
      <x:c r="A14" s="27" t="str">
        <x:v>Social-Emotional</x:v>
      </x:c>
      <x:c r="B14" s="27" t="n">
        <x:f>COUNTIF('Master Sequence'!$H$5:$H$479,A14)</x:f>
        <x:v>29</x:v>
      </x:c>
      <x:c r="C14" s="27" t="n">
        <x:f>COUNTIFS('Master Sequence'!$H$5:$H$479,A14,'Master Sequence'!$U$5:$U$479,"Mastered")</x:f>
        <x:v>0</x:v>
      </x:c>
      <x:c r="D14" s="51" t="n">
        <x:f>IF(B14=0,0,C14/B14)</x:f>
        <x:v>0</x:v>
      </x:c>
    </x:row>
    <x:row r="15">
      <x:c r="A15" s="27" t="str">
        <x:v>Language &amp; Communication</x:v>
      </x:c>
      <x:c r="B15" s="27" t="n">
        <x:f>COUNTIF('Master Sequence'!$H$5:$H$479,A15)</x:f>
        <x:v>24</x:v>
      </x:c>
      <x:c r="C15" s="27" t="n">
        <x:f>COUNTIFS('Master Sequence'!$H$5:$H$479,A15,'Master Sequence'!$U$5:$U$479,"Mastered")</x:f>
        <x:v>0</x:v>
      </x:c>
      <x:c r="D15" s="51" t="n">
        <x:f>IF(B15=0,0,C15/B15)</x:f>
        <x:v>0</x:v>
      </x:c>
    </x:row>
    <x:row r="16">
      <x:c r="A16" s="27" t="str">
        <x:v>Reading</x:v>
      </x:c>
      <x:c r="B16" s="27" t="n">
        <x:f>COUNTIF('Master Sequence'!$H$5:$H$479,A16)</x:f>
        <x:v>49</x:v>
      </x:c>
      <x:c r="C16" s="27" t="n">
        <x:f>COUNTIFS('Master Sequence'!$H$5:$H$479,A16,'Master Sequence'!$U$5:$U$479,"Mastered")</x:f>
        <x:v>0</x:v>
      </x:c>
      <x:c r="D16" s="51" t="n">
        <x:f>IF(B16=0,0,C16/B16)</x:f>
        <x:v>0</x:v>
      </x:c>
    </x:row>
    <x:row r="17">
      <x:c r="A17" s="27" t="str">
        <x:v>Writing &amp; Language</x:v>
      </x:c>
      <x:c r="B17" s="27" t="n">
        <x:f>COUNTIF('Master Sequence'!$H$5:$H$479,A17)</x:f>
        <x:v>40</x:v>
      </x:c>
      <x:c r="C17" s="27" t="n">
        <x:f>COUNTIFS('Master Sequence'!$H$5:$H$479,A17,'Master Sequence'!$U$5:$U$479,"Mastered")</x:f>
        <x:v>0</x:v>
      </x:c>
      <x:c r="D17" s="51" t="n">
        <x:f>IF(B17=0,0,C17/B17)</x:f>
        <x:v>0</x:v>
      </x:c>
    </x:row>
    <x:row r="18">
      <x:c r="A18" s="27" t="str">
        <x:v>Mathematics</x:v>
      </x:c>
      <x:c r="B18" s="27" t="n">
        <x:f>COUNTIF('Master Sequence'!$H$5:$H$479,A18)</x:f>
        <x:v>127</x:v>
      </x:c>
      <x:c r="C18" s="27" t="n">
        <x:f>COUNTIFS('Master Sequence'!$H$5:$H$479,A18,'Master Sequence'!$U$5:$U$479,"Mastered")</x:f>
        <x:v>0</x:v>
      </x:c>
      <x:c r="D18" s="51" t="n">
        <x:f>IF(B18=0,0,C18/B18)</x:f>
        <x:v>0</x:v>
      </x:c>
    </x:row>
    <x:row r="19">
      <x:c r="A19" s="27" t="str">
        <x:v>Science &amp; Engineering</x:v>
      </x:c>
      <x:c r="B19" s="27" t="n">
        <x:f>COUNTIF('Master Sequence'!$H$5:$H$479,A19)</x:f>
        <x:v>56</x:v>
      </x:c>
      <x:c r="C19" s="27" t="n">
        <x:f>COUNTIFS('Master Sequence'!$H$5:$H$479,A19,'Master Sequence'!$U$5:$U$479,"Mastered")</x:f>
        <x:v>0</x:v>
      </x:c>
      <x:c r="D19" s="51" t="n">
        <x:f>IF(B19=0,0,C19/B19)</x:f>
        <x:v>0</x:v>
      </x:c>
    </x:row>
    <x:row r="20">
      <x:c r="A20" s="27" t="str">
        <x:v>Social Studies</x:v>
      </x:c>
      <x:c r="B20" s="27" t="n">
        <x:f>COUNTIF('Master Sequence'!$H$5:$H$479,A20)</x:f>
        <x:v>22</x:v>
      </x:c>
      <x:c r="C20" s="27" t="n">
        <x:f>COUNTIFS('Master Sequence'!$H$5:$H$479,A20,'Master Sequence'!$U$5:$U$479,"Mastered")</x:f>
        <x:v>0</x:v>
      </x:c>
      <x:c r="D20" s="51" t="n">
        <x:f>IF(B20=0,0,C20/B20)</x:f>
        <x:v>0</x:v>
      </x:c>
    </x:row>
    <x:row r="21">
      <x:c r="A21" s="27" t="str">
        <x:v>Music &amp; Arts</x:v>
      </x:c>
      <x:c r="B21" s="27" t="n">
        <x:f>COUNTIF('Master Sequence'!$H$5:$H$479,A21)</x:f>
        <x:v>23</x:v>
      </x:c>
      <x:c r="C21" s="27" t="n">
        <x:f>COUNTIFS('Master Sequence'!$H$5:$H$479,A21,'Master Sequence'!$U$5:$U$479,"Mastered")</x:f>
        <x:v>0</x:v>
      </x:c>
      <x:c r="D21" s="51" t="n">
        <x:f>IF(B21=0,0,C21/B21)</x:f>
        <x:v>0</x:v>
      </x:c>
    </x:row>
    <x:row r="22">
      <x:c r="A22" s="27" t="str">
        <x:v>Physical &amp; Health</x:v>
      </x:c>
      <x:c r="B22" s="27" t="n">
        <x:f>COUNTIF('Master Sequence'!$H$5:$H$479,A22)</x:f>
        <x:v>24</x:v>
      </x:c>
      <x:c r="C22" s="27" t="n">
        <x:f>COUNTIFS('Master Sequence'!$H$5:$H$479,A22,'Master Sequence'!$U$5:$U$479,"Mastered")</x:f>
        <x:v>0</x:v>
      </x:c>
      <x:c r="D22" s="51" t="n">
        <x:f>IF(B22=0,0,C22/B22)</x:f>
        <x:v>0</x:v>
      </x:c>
    </x:row>
    <x:row r="23">
      <x:c r="A23" s="27" t="str">
        <x:v>Computing &amp; Media</x:v>
      </x:c>
      <x:c r="B23" s="27" t="n">
        <x:f>COUNTIF('Master Sequence'!$H$5:$H$479,A23)</x:f>
        <x:v>23</x:v>
      </x:c>
      <x:c r="C23" s="27" t="n">
        <x:f>COUNTIFS('Master Sequence'!$H$5:$H$479,A23,'Master Sequence'!$U$5:$U$479,"Mastered")</x:f>
        <x:v>0</x:v>
      </x:c>
      <x:c r="D23" s="51" t="n">
        <x:f>IF(B23=0,0,C23/B23)</x:f>
        <x:v>0</x:v>
      </x:c>
    </x:row>
    <x:row r="24">
      <x:c r="A24" s="27" t="str">
        <x:v>World Languages</x:v>
      </x:c>
      <x:c r="B24" s="27" t="n">
        <x:f>COUNTIF('Master Sequence'!$H$5:$H$479,A24)</x:f>
        <x:v>8</x:v>
      </x:c>
      <x:c r="C24" s="27" t="n">
        <x:f>COUNTIFS('Master Sequence'!$H$5:$H$479,A24,'Master Sequence'!$U$5:$U$479,"Mastered")</x:f>
        <x:v>0</x:v>
      </x:c>
      <x:c r="D24" s="51" t="n">
        <x:f>IF(B24=0,0,C24/B24)</x:f>
        <x:v>0</x:v>
      </x:c>
    </x:row>
    <x:row r="25">
      <x:c r="A25" s="27" t="str">
        <x:v>Life, Finance &amp; Career</x:v>
      </x:c>
      <x:c r="B25" s="27" t="n">
        <x:f>COUNTIF('Master Sequence'!$H$5:$H$479,A25)</x:f>
        <x:v>13</x:v>
      </x:c>
      <x:c r="C25" s="27" t="n">
        <x:f>COUNTIFS('Master Sequence'!$H$5:$H$479,A25,'Master Sequence'!$U$5:$U$479,"Mastered")</x:f>
        <x:v>0</x:v>
      </x:c>
      <x:c r="D25" s="51" t="n">
        <x:f>IF(B25=0,0,C25/B25)</x:f>
        <x:v>0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72" hidden="0" customWidth="1"/>
    <x:col min="4" max="4" width="55" hidden="0" customWidth="1"/>
  </x:cols>
  <x:sheetData>
    <x:row r="1" ht="34" customHeight="1">
      <x:c r="A1" s="4" t="str">
        <x:v>MEMORY ARCHITECTURE</x:v>
      </x:c>
      <x:c r="B1" s="4" t="str">
        <x:v>MEMORY ARCHITECTURE</x:v>
      </x:c>
      <x:c r="C1" s="4" t="str">
        <x:v>MEMORY ARCHITECTURE</x:v>
      </x:c>
      <x:c r="D1" s="4" t="str">
        <x:v>MEMORY ARCHITECTURE</x:v>
      </x:c>
      <x:c r="E1" s="4" t="str">
        <x:v>MEMORY ARCHITECTURE</x:v>
      </x:c>
      <x:c r="F1" s="4" t="str">
        <x:v>MEMORY ARCHITECTURE</x:v>
      </x:c>
      <x:c r="G1" s="4" t="str">
        <x:v>MEMORY ARCHITECTURE</x:v>
      </x:c>
      <x:c r="H1" s="4" t="str">
        <x:v>MEMORY ARCHITECTURE</x:v>
      </x:c>
    </x:row>
    <x:row r="2" ht="30" customHeight="1">
      <x:c r="A2" s="8" t="str">
        <x:v>Quality + timing + grounding: a 13-step cycle from regulated attention to transferable knowledge, followed by seven levels of grounding.</x:v>
      </x:c>
      <x:c r="B2" s="8" t="str">
        <x:v>Quality + timing + grounding: a 13-step cycle from regulated attention to transferable knowledge, followed by seven levels of grounding.</x:v>
      </x:c>
      <x:c r="C2" s="8" t="str">
        <x:v>Quality + timing + grounding: a 13-step cycle from regulated attention to transferable knowledge, followed by seven levels of grounding.</x:v>
      </x:c>
      <x:c r="D2" s="8" t="str">
        <x:v>Quality + timing + grounding: a 13-step cycle from regulated attention to transferable knowledge, followed by seven levels of grounding.</x:v>
      </x:c>
      <x:c r="E2" s="8" t="str">
        <x:v>Quality + timing + grounding: a 13-step cycle from regulated attention to transferable knowledge, followed by seven levels of grounding.</x:v>
      </x:c>
      <x:c r="F2" s="8" t="str">
        <x:v>Quality + timing + grounding: a 13-step cycle from regulated attention to transferable knowledge, followed by seven levels of grounding.</x:v>
      </x:c>
      <x:c r="G2" s="8" t="str">
        <x:v>Quality + timing + grounding: a 13-step cycle from regulated attention to transferable knowledge, followed by seven levels of grounding.</x:v>
      </x:c>
      <x:c r="H2" s="8" t="str">
        <x:v>Quality + timing + grounding: a 13-step cycle from regulated attention to transferable knowledge, followed by seven levels of grounding.</x:v>
      </x:c>
    </x:row>
    <x:row r="4" ht="32" customHeight="1">
      <x:c r="A4" s="17" t="str">
        <x:v>Step</x:v>
      </x:c>
      <x:c r="B4" s="35" t="str">
        <x:v>Process</x:v>
      </x:c>
      <x:c r="C4" s="35" t="str">
        <x:v>What Happens</x:v>
      </x:c>
      <x:c r="D4" s="18" t="str">
        <x:v>Required Evidence</x:v>
      </x:c>
    </x:row>
    <x:row r="5">
      <x:c r="A5" s="56" t="n">
        <x:v>1</x:v>
      </x:c>
      <x:c r="B5" s="26" t="str">
        <x:v>Regulate and orient</x:v>
      </x:c>
      <x:c r="C5" s="26" t="str">
        <x:v>Establish physiological/emotional readiness and direct attention to the relevant signal.</x:v>
      </x:c>
      <x:c r="D5" s="26" t="str">
        <x:v>Learner can notice and engage with the target without competing demands dominating.</x:v>
      </x:c>
    </x:row>
    <x:row r="6">
      <x:c r="A6" s="57" t="n">
        <x:v>2</x:v>
      </x:c>
      <x:c r="B6" s="27" t="str">
        <x:v>Activate prior structure</x:v>
      </x:c>
      <x:c r="C6" s="27" t="str">
        <x:v>Recall the directly relevant concept, sensory pattern, vocabulary, or procedure already known.</x:v>
      </x:c>
      <x:c r="D6" s="27" t="str">
        <x:v>Learner states, demonstrates, or retrieves the prerequisite before new content is added.</x:v>
      </x:c>
    </x:row>
    <x:row r="7">
      <x:c r="A7" s="57" t="n">
        <x:v>3</x:v>
      </x:c>
      <x:c r="B7" s="27" t="str">
        <x:v>Create a meaningful prediction</x:v>
      </x:c>
      <x:c r="C7" s="27" t="str">
        <x:v>Ask the learner to anticipate an outcome, relation, word, next step, or solution.</x:v>
      </x:c>
      <x:c r="D7" s="27" t="str">
        <x:v>The prediction gives incoming information a question-shaped place in memory.</x:v>
      </x:c>
    </x:row>
    <x:row r="8">
      <x:c r="A8" s="57" t="n">
        <x:v>4</x:v>
      </x:c>
      <x:c r="B8" s="27" t="str">
        <x:v>Encode one relationship</x:v>
      </x:c>
      <x:c r="C8" s="27" t="str">
        <x:v>Present a small, coherent relationship—cause/effect, part/whole, sound/symbol, step/result, or claim/evidence.</x:v>
      </x:c>
      <x:c r="D8" s="27" t="str">
        <x:v>Learner can name the relationship rather than repeat disconnected items.</x:v>
      </x:c>
    </x:row>
    <x:row r="9">
      <x:c r="A9" s="57" t="n">
        <x:v>5</x:v>
      </x:c>
      <x:c r="B9" s="27" t="str">
        <x:v>Coordinate congruent senses</x:v>
      </x:c>
      <x:c r="C9" s="27" t="str">
        <x:v>Align spoken language, visual representation, movement/action, touch, rhythm, and emotion when each channel carries the same structure.</x:v>
      </x:c>
      <x:c r="D9" s="27" t="str">
        <x:v>Learner maps the representations to one another and identifies the invariant concept.</x:v>
      </x:c>
    </x:row>
    <x:row r="10">
      <x:c r="A10" s="57" t="n">
        <x:v>6</x:v>
      </x:c>
      <x:c r="B10" s="27" t="str">
        <x:v>Generate and explain</x:v>
      </x:c>
      <x:c r="C10" s="27" t="str">
        <x:v>Have the learner construct, imitate with variation, solve, teach, draw, model, gesture, or explain the idea.</x:v>
      </x:c>
      <x:c r="D10" s="27" t="str">
        <x:v>Production reveals the learner’s internal model and strengthens meaning-based retrieval routes.</x:v>
      </x:c>
    </x:row>
    <x:row r="11">
      <x:c r="A11" s="57" t="n">
        <x:v>7</x:v>
      </x:c>
      <x:c r="B11" s="27" t="str">
        <x:v>Retrieve before review</x:v>
      </x:c>
      <x:c r="C11" s="27" t="str">
        <x:v>After a short delay, cue recall or reconstruction before showing the model again.</x:v>
      </x:c>
      <x:c r="D11" s="27" t="str">
        <x:v>Learner produces what is available, making both strength and missing pieces observable.</x:v>
      </x:c>
    </x:row>
    <x:row r="12">
      <x:c r="A12" s="57" t="n">
        <x:v>8</x:v>
      </x:c>
      <x:c r="B12" s="27" t="str">
        <x:v>Give precise corrective feedback</x:v>
      </x:c>
      <x:c r="C12" s="27" t="str">
        <x:v>Confirm accurate structure, identify the exact mismatch, and immediately practice the corrected relation.</x:v>
      </x:c>
      <x:c r="D12" s="27" t="str">
        <x:v>Error information updates the model instead of merely marking success/failure.</x:v>
      </x:c>
    </x:row>
    <x:row r="13">
      <x:c r="A13" s="57" t="n">
        <x:v>9</x:v>
      </x:c>
      <x:c r="B13" s="27" t="str">
        <x:v>Space and consolidate</x:v>
      </x:c>
      <x:c r="C13" s="27" t="str">
        <x:v>Return after increasing or task-appropriate intervals, including opportunities for sleep and offline consolidation.</x:v>
      </x:c>
      <x:c r="D13" s="27" t="str">
        <x:v>Performance remains available after time has passed.</x:v>
      </x:c>
    </x:row>
    <x:row r="14">
      <x:c r="A14" s="57" t="n">
        <x:v>10</x:v>
      </x:c>
      <x:c r="B14" s="27" t="str">
        <x:v>Vary surface features</x:v>
      </x:c>
      <x:c r="C14" s="27" t="str">
        <x:v>Change examples, materials, sensory entry point, wording, or context while preserving the governing relationship.</x:v>
      </x:c>
      <x:c r="D14" s="27" t="str">
        <x:v>Learner discriminates the deep structure from incidental features.</x:v>
      </x:c>
    </x:row>
    <x:row r="15">
      <x:c r="A15" s="57" t="n">
        <x:v>11</x:v>
      </x:c>
      <x:c r="B15" s="27" t="str">
        <x:v>Interleave decisions</x:v>
      </x:c>
      <x:c r="C15" s="27" t="str">
        <x:v>Mix related topics so the learner chooses which concept or strategy applies.</x:v>
      </x:c>
      <x:c r="D15" s="27" t="str">
        <x:v>Learner identifies the problem type and justifies the selected tool.</x:v>
      </x:c>
    </x:row>
    <x:row r="16">
      <x:c r="A16" s="57" t="n">
        <x:v>12</x:v>
      </x:c>
      <x:c r="B16" s="27" t="str">
        <x:v>Demonstrate transfer</x:v>
      </x:c>
      <x:c r="C16" s="27" t="str">
        <x:v>Apply the knowledge independently to a new, authentic problem or create a new representation and explain why it works.</x:v>
      </x:c>
      <x:c r="D16" s="27" t="str">
        <x:v>Performance shows usable understanding beyond recognition or practiced repetition.</x:v>
      </x:c>
    </x:row>
    <x:row r="17">
      <x:c r="A17" s="57" t="n">
        <x:v>13</x:v>
      </x:c>
      <x:c r="B17" s="27" t="str">
        <x:v>Reflect and schedule next retrieval</x:v>
      </x:c>
      <x:c r="C17" s="27" t="str">
        <x:v>Estimate confidence, compare it with performance, and schedule review based on actual evidence.</x:v>
      </x:c>
      <x:c r="D17" s="27" t="str">
        <x:v>Metacognitive judgment becomes calibrated to demonstrated recall and transfer.</x:v>
      </x:c>
    </x:row>
    <x:row r="21" ht="32" customHeight="1">
      <x:c r="A21" s="17" t="str">
        <x:v>Level</x:v>
      </x:c>
      <x:c r="B21" s="35" t="str">
        <x:v>Grounding Form</x:v>
      </x:c>
      <x:c r="C21" s="35" t="str">
        <x:v>Definition</x:v>
      </x:c>
      <x:c r="D21" s="18" t="str">
        <x:v>Primary Stages</x:v>
      </x:c>
    </x:row>
    <x:row r="22">
      <x:c r="A22" s="26" t="str">
        <x:v>G1</x:v>
      </x:c>
      <x:c r="B22" s="26" t="str">
        <x:v>Regulated sensory event</x:v>
      </x:c>
      <x:c r="C22" s="26" t="str">
        <x:v>A change is directly seen, heard, touched, moved through, or felt while attention and safety are supported.</x:v>
      </x:c>
      <x:c r="D22" s="26" t="str">
        <x:v>S01–S03</x:v>
      </x:c>
    </x:row>
    <x:row r="23">
      <x:c r="A23" s="27" t="str">
        <x:v>G2</x:v>
      </x:c>
      <x:c r="B23" s="27" t="str">
        <x:v>Intentional action–result</x:v>
      </x:c>
      <x:c r="C23" s="27" t="str">
        <x:v>The learner acts, observes the result, repeats or varies the action, and begins predicting.</x:v>
      </x:c>
      <x:c r="D23" s="27" t="str">
        <x:v>S03–S06</x:v>
      </x:c>
    </x:row>
    <x:row r="24">
      <x:c r="A24" s="27" t="str">
        <x:v>G3</x:v>
      </x:c>
      <x:c r="B24" s="27" t="str">
        <x:v>Shared reference and symbol</x:v>
      </x:c>
      <x:c r="C24" s="27" t="str">
        <x:v>A person, word, gesture, picture, object, sound, or mark consistently refers to an experience or relationship.</x:v>
      </x:c>
      <x:c r="D24" s="27" t="str">
        <x:v>S04–S11</x:v>
      </x:c>
    </x:row>
    <x:row r="25">
      <x:c r="A25" s="27" t="str">
        <x:v>G4</x:v>
      </x:c>
      <x:c r="B25" s="27" t="str">
        <x:v>Concrete model and language</x:v>
      </x:c>
      <x:c r="C25" s="27" t="str">
        <x:v>Objects, drawings, movement, stories, and precise vocabulary make an academic relationship explicit.</x:v>
      </x:c>
      <x:c r="D25" s="27" t="str">
        <x:v>S09–S17</x:v>
      </x:c>
    </x:row>
    <x:row r="26">
      <x:c r="A26" s="27" t="str">
        <x:v>G5</x:v>
      </x:c>
      <x:c r="B26" s="27" t="str">
        <x:v>Coordinated representations</x:v>
      </x:c>
      <x:c r="C26" s="27" t="str">
        <x:v>The same relationship is mapped among verbal, visual, symbolic, quantitative, physical, and computational forms.</x:v>
      </x:c>
      <x:c r="D26" s="27" t="str">
        <x:v>S12–S20</x:v>
      </x:c>
    </x:row>
    <x:row r="27">
      <x:c r="A27" s="27" t="str">
        <x:v>G6</x:v>
      </x:c>
      <x:c r="B27" s="27" t="str">
        <x:v>Evidence-based formal system</x:v>
      </x:c>
      <x:c r="C27" s="27" t="str">
        <x:v>Definitions, rules, proofs, models, source methods, and disciplinary conventions organize and test relationships.</x:v>
      </x:c>
      <x:c r="D27" s="27" t="str">
        <x:v>S18–S25</x:v>
      </x:c>
    </x:row>
    <x:row r="28">
      <x:c r="A28" s="27" t="str">
        <x:v>G7</x:v>
      </x:c>
      <x:c r="B28" s="27" t="str">
        <x:v>Authentic transfer and creation</x:v>
      </x:c>
      <x:c r="C28" s="27" t="str">
        <x:v>The learner selects, combines, adapts, and defends knowledge in a new consequential problem or original work.</x:v>
      </x:c>
      <x:c r="D28" s="27" t="str">
        <x:v>S15–S25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" hidden="0" customWidth="1"/>
    <x:col min="3" max="3" width="18" hidden="0" customWidth="1"/>
    <x:col min="4" max="4" width="14" hidden="0" customWidth="1"/>
    <x:col min="5" max="5" width="31" hidden="0" customWidth="1"/>
    <x:col min="6" max="6" width="58" hidden="0" customWidth="1"/>
    <x:col min="7" max="7" width="12" hidden="0" customWidth="1"/>
    <x:col min="8" max="8" width="18" hidden="0" customWidth="1"/>
    <x:col min="9" max="9" width="58" hidden="0" customWidth="1"/>
  </x:cols>
  <x:sheetData>
    <x:row r="1" ht="34" customHeight="1">
      <x:c r="A1" s="4" t="str">
        <x:v>STAGE MAP</x:v>
      </x:c>
      <x:c r="B1" s="4" t="str">
        <x:v>STAGE MAP</x:v>
      </x:c>
      <x:c r="C1" s="4" t="str">
        <x:v>STAGE MAP</x:v>
      </x:c>
      <x:c r="D1" s="4" t="str">
        <x:v>STAGE MAP</x:v>
      </x:c>
      <x:c r="E1" s="4" t="str">
        <x:v>STAGE MAP</x:v>
      </x:c>
      <x:c r="F1" s="4" t="str">
        <x:v>STAGE MAP</x:v>
      </x:c>
      <x:c r="G1" s="4" t="str">
        <x:v>STAGE MAP</x:v>
      </x:c>
      <x:c r="H1" s="4" t="str">
        <x:v>STAGE MAP</x:v>
      </x:c>
      <x:c r="I1" s="4" t="str">
        <x:v>STAGE MAP</x:v>
      </x:c>
    </x:row>
    <x:row r="2" ht="30" customHeight="1">
      <x:c r="A2" s="8" t="str">
        <x:v>Developmental order and typical school sequence. Stage placement is guided by evidence of readiness and mastery, with accommodations and variation expected.</x:v>
      </x:c>
      <x:c r="B2" s="8" t="str">
        <x:v>Developmental order and typical school sequence. Stage placement is guided by evidence of readiness and mastery, with accommodations and variation expected.</x:v>
      </x:c>
      <x:c r="C2" s="8" t="str">
        <x:v>Developmental order and typical school sequence. Stage placement is guided by evidence of readiness and mastery, with accommodations and variation expected.</x:v>
      </x:c>
      <x:c r="D2" s="8" t="str">
        <x:v>Developmental order and typical school sequence. Stage placement is guided by evidence of readiness and mastery, with accommodations and variation expected.</x:v>
      </x:c>
      <x:c r="E2" s="8" t="str">
        <x:v>Developmental order and typical school sequence. Stage placement is guided by evidence of readiness and mastery, with accommodations and variation expected.</x:v>
      </x:c>
      <x:c r="F2" s="8" t="str">
        <x:v>Developmental order and typical school sequence. Stage placement is guided by evidence of readiness and mastery, with accommodations and variation expected.</x:v>
      </x:c>
      <x:c r="G2" s="8" t="str">
        <x:v>Developmental order and typical school sequence. Stage placement is guided by evidence of readiness and mastery, with accommodations and variation expected.</x:v>
      </x:c>
      <x:c r="H2" s="8" t="str">
        <x:v>Developmental order and typical school sequence. Stage placement is guided by evidence of readiness and mastery, with accommodations and variation expected.</x:v>
      </x:c>
      <x:c r="I2" s="8" t="str">
        <x:v>Developmental order and typical school sequence. Stage placement is guided by evidence of readiness and mastery, with accommodations and variation expected.</x:v>
      </x:c>
    </x:row>
    <x:row r="4" ht="32" customHeight="1">
      <x:c r="A4" s="17" t="str">
        <x:v>Stage ID</x:v>
      </x:c>
      <x:c r="B4" s="35" t="str">
        <x:v>Order</x:v>
      </x:c>
      <x:c r="C4" s="35" t="str">
        <x:v>Age / Level</x:v>
      </x:c>
      <x:c r="D4" s="35" t="str">
        <x:v>Grade / Course</x:v>
      </x:c>
      <x:c r="E4" s="35" t="str">
        <x:v>Stage Title</x:v>
      </x:c>
      <x:c r="F4" s="35" t="str">
        <x:v>Purpose / Readiness Focus</x:v>
      </x:c>
      <x:c r="G4" s="35" t="str">
        <x:v>Topic Nodes</x:v>
      </x:c>
      <x:c r="H4" s="35" t="str">
        <x:v>Next Stage</x:v>
      </x:c>
      <x:c r="I4" s="18" t="str">
        <x:v>Next Gate</x:v>
      </x:c>
    </x:row>
    <x:row r="5">
      <x:c r="A5" s="26" t="str">
        <x:v>S01</x:v>
      </x:c>
      <x:c r="B5" s="26" t="n">
        <x:v>1</x:v>
      </x:c>
      <x:c r="C5" s="26" t="str">
        <x:v>Birth–2 months</x:v>
      </x:c>
      <x:c r="D5" s="26" t="str">
        <x:v>Infant</x:v>
      </x:c>
      <x:c r="E5" s="26" t="str">
        <x:v>Regulation and sensory orientation</x:v>
      </x:c>
      <x:c r="F5" s="26" t="str">
        <x:v>Stable alert states and responsive relationships make attention possible.</x:v>
      </x:c>
      <x:c r="G5" s="26" t="n">
        <x:f>COUNTIF('Master Sequence'!$C$5:$C$479,A5)</x:f>
        <x:v>10</x:v>
      </x:c>
      <x:c r="H5" s="26" t="str">
        <x:v>S02</x:v>
      </x:c>
      <x:c r="I5" s="26" t="str">
        <x:v>Repeated sights, sounds, movements, and responses become recognizable.</x:v>
      </x:c>
    </x:row>
    <x:row r="6">
      <x:c r="A6" s="27" t="str">
        <x:v>S02</x:v>
      </x:c>
      <x:c r="B6" s="27" t="n">
        <x:v>2</x:v>
      </x:c>
      <x:c r="C6" s="27" t="str">
        <x:v>2–4 months</x:v>
      </x:c>
      <x:c r="D6" s="27" t="str">
        <x:v>Infant</x:v>
      </x:c>
      <x:c r="E6" s="27" t="str">
        <x:v>Social attention and repeated patterns</x:v>
      </x:c>
      <x:c r="F6" s="27" t="str">
        <x:v>Repeated sights, sounds, movements, and responses become recognizable.</x:v>
      </x:c>
      <x:c r="G6" s="27" t="n">
        <x:f>COUNTIF('Master Sequence'!$C$5:$C$479,A6)</x:f>
        <x:v>10</x:v>
      </x:c>
      <x:c r="H6" s="27" t="str">
        <x:v>S03</x:v>
      </x:c>
      <x:c r="I6" s="27" t="str">
        <x:v>Action begins to produce expected sensory results.</x:v>
      </x:c>
    </x:row>
    <x:row r="7">
      <x:c r="A7" s="27" t="str">
        <x:v>S03</x:v>
      </x:c>
      <x:c r="B7" s="27" t="n">
        <x:v>3</x:v>
      </x:c>
      <x:c r="C7" s="27" t="str">
        <x:v>4–6 months</x:v>
      </x:c>
      <x:c r="D7" s="27" t="str">
        <x:v>Infant</x:v>
      </x:c>
      <x:c r="E7" s="27" t="str">
        <x:v>Intentional reaching and cause–effect</x:v>
      </x:c>
      <x:c r="F7" s="27" t="str">
        <x:v>Action begins to produce expected sensory results.</x:v>
      </x:c>
      <x:c r="G7" s="27" t="n">
        <x:f>COUNTIF('Master Sequence'!$C$5:$C$479,A7)</x:f>
        <x:v>10</x:v>
      </x:c>
      <x:c r="H7" s="27" t="str">
        <x:v>S04</x:v>
      </x:c>
      <x:c r="I7" s="27" t="str">
        <x:v>Coordinated looking, handling, and shared attention support reference and memory.</x:v>
      </x:c>
    </x:row>
    <x:row r="8">
      <x:c r="A8" s="27" t="str">
        <x:v>S04</x:v>
      </x:c>
      <x:c r="B8" s="27" t="n">
        <x:v>4</x:v>
      </x:c>
      <x:c r="C8" s="27" t="str">
        <x:v>6–9 months</x:v>
      </x:c>
      <x:c r="D8" s="27" t="str">
        <x:v>Infant</x:v>
      </x:c>
      <x:c r="E8" s="27" t="str">
        <x:v>Object exploration and joint attention</x:v>
      </x:c>
      <x:c r="F8" s="27" t="str">
        <x:v>Coordinated looking, handling, and shared attention support reference and memory.</x:v>
      </x:c>
      <x:c r="G8" s="27" t="n">
        <x:f>COUNTIF('Master Sequence'!$C$5:$C$479,A8)</x:f>
        <x:v>10</x:v>
      </x:c>
      <x:c r="H8" s="27" t="str">
        <x:v>S05</x:v>
      </x:c>
      <x:c r="I8" s="27" t="str">
        <x:v>Mental representation strengthens beyond the immediate view.</x:v>
      </x:c>
    </x:row>
    <x:row r="9">
      <x:c r="A9" s="27" t="str">
        <x:v>S05</x:v>
      </x:c>
      <x:c r="B9" s="27" t="n">
        <x:v>5</x:v>
      </x:c>
      <x:c r="C9" s="27" t="str">
        <x:v>9–12 months</x:v>
      </x:c>
      <x:c r="D9" s="27" t="str">
        <x:v>Infant</x:v>
      </x:c>
      <x:c r="E9" s="27" t="str">
        <x:v>Gestures, imitation, and object permanence</x:v>
      </x:c>
      <x:c r="F9" s="27" t="str">
        <x:v>Mental representation strengthens beyond the immediate view.</x:v>
      </x:c>
      <x:c r="G9" s="27" t="n">
        <x:f>COUNTIF('Master Sequence'!$C$5:$C$479,A9)</x:f>
        <x:v>10</x:v>
      </x:c>
      <x:c r="H9" s="27" t="str">
        <x:v>S06</x:v>
      </x:c>
      <x:c r="I9" s="27" t="str">
        <x:v>Words, gestures, pictures, and objects begin to stand for stable meanings.</x:v>
      </x:c>
    </x:row>
    <x:row r="10">
      <x:c r="A10" s="27" t="str">
        <x:v>S06</x:v>
      </x:c>
      <x:c r="B10" s="27" t="n">
        <x:v>6</x:v>
      </x:c>
      <x:c r="C10" s="27" t="str">
        <x:v>12–18 months</x:v>
      </x:c>
      <x:c r="D10" s="27" t="str">
        <x:v>Toddler</x:v>
      </x:c>
      <x:c r="E10" s="27" t="str">
        <x:v>First symbols, words, and functional categories</x:v>
      </x:c>
      <x:c r="F10" s="27" t="str">
        <x:v>Words, gestures, pictures, and objects begin to stand for stable meanings.</x:v>
      </x:c>
      <x:c r="G10" s="27" t="n">
        <x:f>COUNTIF('Master Sequence'!$C$5:$C$479,A10)</x:f>
        <x:v>11</x:v>
      </x:c>
      <x:c r="H10" s="27" t="str">
        <x:v>S07</x:v>
      </x:c>
      <x:c r="I10" s="27" t="str">
        <x:v>Children combine symbols to express actors, actions, possession, and location.</x:v>
      </x:c>
    </x:row>
    <x:row r="11">
      <x:c r="A11" s="27" t="str">
        <x:v>S07</x:v>
      </x:c>
      <x:c r="B11" s="27" t="n">
        <x:v>7</x:v>
      </x:c>
      <x:c r="C11" s="27" t="str">
        <x:v>18–24 months</x:v>
      </x:c>
      <x:c r="D11" s="27" t="str">
        <x:v>Toddler</x:v>
      </x:c>
      <x:c r="E11" s="27" t="str">
        <x:v>Two-word relations and pretend representation</x:v>
      </x:c>
      <x:c r="F11" s="27" t="str">
        <x:v>Children combine symbols to express actors, actions, possession, and location.</x:v>
      </x:c>
      <x:c r="G11" s="27" t="n">
        <x:f>COUNTIF('Master Sequence'!$C$5:$C$479,A11)</x:f>
        <x:v>11</x:v>
      </x:c>
      <x:c r="H11" s="27" t="str">
        <x:v>S08</x:v>
      </x:c>
      <x:c r="I11" s="27" t="str">
        <x:v>Language and classification support explicit comparisons and sequences.</x:v>
      </x:c>
    </x:row>
    <x:row r="12">
      <x:c r="A12" s="27" t="str">
        <x:v>S08</x:v>
      </x:c>
      <x:c r="B12" s="27" t="n">
        <x:v>8</x:v>
      </x:c>
      <x:c r="C12" s="27" t="str">
        <x:v>24–30 months</x:v>
      </x:c>
      <x:c r="D12" s="27" t="str">
        <x:v>Toddler</x:v>
      </x:c>
      <x:c r="E12" s="27" t="str">
        <x:v>Short sentences, sorting, and small quantities</x:v>
      </x:c>
      <x:c r="F12" s="27" t="str">
        <x:v>Language and classification support explicit comparisons and sequences.</x:v>
      </x:c>
      <x:c r="G12" s="27" t="n">
        <x:f>COUNTIF('Master Sequence'!$C$5:$C$479,A12)</x:f>
        <x:v>11</x:v>
      </x:c>
      <x:c r="H12" s="27" t="str">
        <x:v>S09</x:v>
      </x:c>
      <x:c r="I12" s="27" t="str">
        <x:v>Children connect why/how questions, ordered events, and number words to sets.</x:v>
      </x:c>
    </x:row>
    <x:row r="13">
      <x:c r="A13" s="27" t="str">
        <x:v>S09</x:v>
      </x:c>
      <x:c r="B13" s="27" t="n">
        <x:v>9</x:v>
      </x:c>
      <x:c r="C13" s="27" t="str">
        <x:v>30–36 months</x:v>
      </x:c>
      <x:c r="D13" s="27" t="str">
        <x:v>Toddler</x:v>
      </x:c>
      <x:c r="E13" s="27" t="str">
        <x:v>Questions, event order, and counting principles</x:v>
      </x:c>
      <x:c r="F13" s="27" t="str">
        <x:v>Children connect why/how questions, ordered events, and number words to sets.</x:v>
      </x:c>
      <x:c r="G13" s="27" t="n">
        <x:f>COUNTIF('Master Sequence'!$C$5:$C$479,A13)</x:f>
        <x:v>12</x:v>
      </x:c>
      <x:c r="H13" s="27" t="str">
        <x:v>S10</x:v>
      </x:c>
      <x:c r="I13" s="27" t="str">
        <x:v>Play, talk, drawing, rhythm, and classification become coordinated systems.</x:v>
      </x:c>
    </x:row>
    <x:row r="14">
      <x:c r="A14" s="27" t="str">
        <x:v>S10</x:v>
      </x:c>
      <x:c r="B14" s="27" t="n">
        <x:v>10</x:v>
      </x:c>
      <x:c r="C14" s="27" t="str">
        <x:v>Age 3–4</x:v>
      </x:c>
      <x:c r="D14" s="27" t="str">
        <x:v>Preschool</x:v>
      </x:c>
      <x:c r="E14" s="27" t="str">
        <x:v>Concept networks and pre-academic systems</x:v>
      </x:c>
      <x:c r="F14" s="27" t="str">
        <x:v>Play, talk, drawing, rhythm, and classification become coordinated systems.</x:v>
      </x:c>
      <x:c r="G14" s="27" t="n">
        <x:f>COUNTIF('Master Sequence'!$C$5:$C$479,A14)</x:f>
        <x:v>16</x:v>
      </x:c>
      <x:c r="H14" s="27" t="str">
        <x:v>S11</x:v>
      </x:c>
      <x:c r="I14" s="27" t="str">
        <x:v>Print, sound, number, shape, and rule systems become explicit learning objects.</x:v>
      </x:c>
    </x:row>
    <x:row r="15">
      <x:c r="A15" s="27" t="str">
        <x:v>S11</x:v>
      </x:c>
      <x:c r="B15" s="27" t="n">
        <x:v>11</x:v>
      </x:c>
      <x:c r="C15" s="27" t="str">
        <x:v>Age 4–5</x:v>
      </x:c>
      <x:c r="D15" s="27" t="str">
        <x:v>Pre-K</x:v>
      </x:c>
      <x:c r="E15" s="27" t="str">
        <x:v>Symbol systems and kindergarten readiness</x:v>
      </x:c>
      <x:c r="F15" s="27" t="str">
        <x:v>Print, sound, number, shape, and rule systems become explicit learning objects.</x:v>
      </x:c>
      <x:c r="G15" s="27" t="n">
        <x:f>COUNTIF('Master Sequence'!$C$5:$C$479,A15)</x:f>
        <x:v>19</x:v>
      </x:c>
      <x:c r="H15" s="27" t="str">
        <x:v>S12</x:v>
      </x:c>
      <x:c r="I15" s="27" t="str">
        <x:v>Oral knowledge is connected systematically to written symbols and formal quantities.</x:v>
      </x:c>
    </x:row>
    <x:row r="16">
      <x:c r="A16" s="27" t="str">
        <x:v>S12</x:v>
      </x:c>
      <x:c r="B16" s="27" t="n">
        <x:v>12</x:v>
      </x:c>
      <x:c r="C16" s="27" t="str">
        <x:v>Kindergarten</x:v>
      </x:c>
      <x:c r="D16" s="27" t="str">
        <x:v>K</x:v>
      </x:c>
      <x:c r="E16" s="27" t="str">
        <x:v>Foundational decoding, number, and inquiry</x:v>
      </x:c>
      <x:c r="F16" s="27" t="str">
        <x:v>Oral knowledge is connected systematically to written symbols and formal quantities.</x:v>
      </x:c>
      <x:c r="G16" s="27" t="n">
        <x:f>COUNTIF('Master Sequence'!$C$5:$C$479,A16)</x:f>
        <x:v>25</x:v>
      </x:c>
      <x:c r="H16" s="27" t="str">
        <x:v>S13</x:v>
      </x:c>
      <x:c r="I16" s="27" t="str">
        <x:v>Reliable decoding and small-number operations free attention for meaning and strategy.</x:v>
      </x:c>
    </x:row>
    <x:row r="17">
      <x:c r="A17" s="27" t="str">
        <x:v>S13</x:v>
      </x:c>
      <x:c r="B17" s="27" t="n">
        <x:v>13</x:v>
      </x:c>
      <x:c r="C17" s="27" t="str">
        <x:v>Grade 1</x:v>
      </x:c>
      <x:c r="D17" s="27" t="str">
        <x:v>1</x:v>
      </x:c>
      <x:c r="E17" s="27" t="str">
        <x:v>Code fluency and whole-number structure</x:v>
      </x:c>
      <x:c r="F17" s="27" t="str">
        <x:v>Reliable decoding and small-number operations free attention for meaning and strategy.</x:v>
      </x:c>
      <x:c r="G17" s="27" t="n">
        <x:f>COUNTIF('Master Sequence'!$C$5:$C$479,A17)</x:f>
        <x:v>25</x:v>
      </x:c>
      <x:c r="H17" s="27" t="str">
        <x:v>S14</x:v>
      </x:c>
      <x:c r="I17" s="27" t="str">
        <x:v>Larger units are built from fluent foundational skills.</x:v>
      </x:c>
    </x:row>
    <x:row r="18">
      <x:c r="A18" s="27" t="str">
        <x:v>S14</x:v>
      </x:c>
      <x:c r="B18" s="27" t="n">
        <x:v>14</x:v>
      </x:c>
      <x:c r="C18" s="27" t="str">
        <x:v>Grade 2</x:v>
      </x:c>
      <x:c r="D18" s="27" t="str">
        <x:v>2</x:v>
      </x:c>
      <x:c r="E18" s="27" t="str">
        <x:v>Fluency, place value, and connected text</x:v>
      </x:c>
      <x:c r="F18" s="27" t="str">
        <x:v>Larger units are built from fluent foundational skills.</x:v>
      </x:c>
      <x:c r="G18" s="27" t="n">
        <x:f>COUNTIF('Master Sequence'!$C$5:$C$479,A18)</x:f>
        <x:v>25</x:v>
      </x:c>
      <x:c r="H18" s="27" t="str">
        <x:v>S15</x:v>
      </x:c>
      <x:c r="I18" s="27" t="str">
        <x:v>Students shift from learning basic tools toward using them across subjects.</x:v>
      </x:c>
    </x:row>
    <x:row r="19">
      <x:c r="A19" s="27" t="str">
        <x:v>S15</x:v>
      </x:c>
      <x:c r="B19" s="27" t="n">
        <x:v>15</x:v>
      </x:c>
      <x:c r="C19" s="27" t="str">
        <x:v>Grade 3</x:v>
      </x:c>
      <x:c r="D19" s="27" t="str">
        <x:v>3</x:v>
      </x:c>
      <x:c r="E19" s="27" t="str">
        <x:v>Multiplicative reasoning, fractions, and paragraphs</x:v>
      </x:c>
      <x:c r="F19" s="27" t="str">
        <x:v>Students shift from learning basic tools toward using them across subjects.</x:v>
      </x:c>
      <x:c r="G19" s="27" t="n">
        <x:f>COUNTIF('Master Sequence'!$C$5:$C$479,A19)</x:f>
        <x:v>25</x:v>
      </x:c>
      <x:c r="H19" s="27" t="str">
        <x:v>S16</x:v>
      </x:c>
      <x:c r="I19" s="27" t="str">
        <x:v>Students coordinate several representations, sources, and operations.</x:v>
      </x:c>
    </x:row>
    <x:row r="20">
      <x:c r="A20" s="27" t="str">
        <x:v>S16</x:v>
      </x:c>
      <x:c r="B20" s="27" t="n">
        <x:v>16</x:v>
      </x:c>
      <x:c r="C20" s="27" t="str">
        <x:v>Grade 4</x:v>
      </x:c>
      <x:c r="D20" s="27" t="str">
        <x:v>4</x:v>
      </x:c>
      <x:c r="E20" s="27" t="str">
        <x:v>Multi-step evidence and system relationships</x:v>
      </x:c>
      <x:c r="F20" s="27" t="str">
        <x:v>Students coordinate several representations, sources, and operations.</x:v>
      </x:c>
      <x:c r="G20" s="27" t="n">
        <x:f>COUNTIF('Master Sequence'!$C$5:$C$479,A20)</x:f>
        <x:v>25</x:v>
      </x:c>
      <x:c r="H20" s="27" t="str">
        <x:v>S17</x:v>
      </x:c>
      <x:c r="I20" s="27" t="str">
        <x:v>Elementary concepts are integrated into generalized procedures and explanations.</x:v>
      </x:c>
    </x:row>
    <x:row r="21">
      <x:c r="A21" s="27" t="str">
        <x:v>S17</x:v>
      </x:c>
      <x:c r="B21" s="27" t="n">
        <x:v>17</x:v>
      </x:c>
      <x:c r="C21" s="27" t="str">
        <x:v>Grade 5</x:v>
      </x:c>
      <x:c r="D21" s="27" t="str">
        <x:v>5</x:v>
      </x:c>
      <x:c r="E21" s="27" t="str">
        <x:v>Fraction operations, volume, and independent research</x:v>
      </x:c>
      <x:c r="F21" s="27" t="str">
        <x:v>Elementary concepts are integrated into generalized procedures and explanations.</x:v>
      </x:c>
      <x:c r="G21" s="27" t="n">
        <x:f>COUNTIF('Master Sequence'!$C$5:$C$479,A21)</x:f>
        <x:v>26</x:v>
      </x:c>
      <x:c r="H21" s="27" t="str">
        <x:v>S18</x:v>
      </x:c>
      <x:c r="I21" s="27" t="str">
        <x:v>Abstract relationships and subject-specific evidence become central.</x:v>
      </x:c>
    </x:row>
    <x:row r="22">
      <x:c r="A22" s="27" t="str">
        <x:v>S18</x:v>
      </x:c>
      <x:c r="B22" s="27" t="n">
        <x:v>18</x:v>
      </x:c>
      <x:c r="C22" s="27" t="str">
        <x:v>Grade 6</x:v>
      </x:c>
      <x:c r="D22" s="27" t="str">
        <x:v>6</x:v>
      </x:c>
      <x:c r="E22" s="27" t="str">
        <x:v>Ratios, negative numbers, and disciplinary literacy</x:v>
      </x:c>
      <x:c r="F22" s="27" t="str">
        <x:v>Abstract relationships and subject-specific evidence become central.</x:v>
      </x:c>
      <x:c r="G22" s="27" t="n">
        <x:f>COUNTIF('Master Sequence'!$C$5:$C$479,A22)</x:f>
        <x:v>25</x:v>
      </x:c>
      <x:c r="H22" s="27" t="str">
        <x:v>S19</x:v>
      </x:c>
      <x:c r="I22" s="27" t="str">
        <x:v>Students reason across equivalent representations and competing explanations.</x:v>
      </x:c>
    </x:row>
    <x:row r="23">
      <x:c r="A23" s="27" t="str">
        <x:v>S19</x:v>
      </x:c>
      <x:c r="B23" s="27" t="n">
        <x:v>19</x:v>
      </x:c>
      <x:c r="C23" s="27" t="str">
        <x:v>Grade 7</x:v>
      </x:c>
      <x:c r="D23" s="27" t="str">
        <x:v>7</x:v>
      </x:c>
      <x:c r="E23" s="27" t="str">
        <x:v>Proportional models, rational operations, and argument</x:v>
      </x:c>
      <x:c r="F23" s="27" t="str">
        <x:v>Students reason across equivalent representations and competing explanations.</x:v>
      </x:c>
      <x:c r="G23" s="27" t="n">
        <x:f>COUNTIF('Master Sequence'!$C$5:$C$479,A23)</x:f>
        <x:v>24</x:v>
      </x:c>
      <x:c r="H23" s="27" t="str">
        <x:v>S20</x:v>
      </x:c>
      <x:c r="I23" s="27" t="str">
        <x:v>Functions, models, and causal systems prepare students for course-based study.</x:v>
      </x:c>
    </x:row>
    <x:row r="24">
      <x:c r="A24" s="27" t="str">
        <x:v>S20</x:v>
      </x:c>
      <x:c r="B24" s="27" t="n">
        <x:v>20</x:v>
      </x:c>
      <x:c r="C24" s="27" t="str">
        <x:v>Grade 8</x:v>
      </x:c>
      <x:c r="D24" s="27" t="str">
        <x:v>8</x:v>
      </x:c>
      <x:c r="E24" s="27" t="str">
        <x:v>Linear systems and integrated scientific explanation</x:v>
      </x:c>
      <x:c r="F24" s="27" t="str">
        <x:v>Functions, models, and causal systems prepare students for course-based study.</x:v>
      </x:c>
      <x:c r="G24" s="27" t="n">
        <x:f>COUNTIF('Master Sequence'!$C$5:$C$479,A24)</x:f>
        <x:v>24</x:v>
      </x:c>
      <x:c r="H24" s="27" t="str">
        <x:v>S21</x:v>
      </x:c>
      <x:c r="I24" s="27" t="str">
        <x:v>High-school courses formalize models, evidence, and sustained analysis.</x:v>
      </x:c>
    </x:row>
    <x:row r="25">
      <x:c r="A25" s="27" t="str">
        <x:v>S21</x:v>
      </x:c>
      <x:c r="B25" s="27" t="n">
        <x:v>21</x:v>
      </x:c>
      <x:c r="C25" s="27" t="str">
        <x:v>Grade 9</x:v>
      </x:c>
      <x:c r="D25" s="27" t="str">
        <x:v>9</x:v>
      </x:c>
      <x:c r="E25" s="27" t="str">
        <x:v>Algebra I, biology, and analytical composition</x:v>
      </x:c>
      <x:c r="F25" s="27" t="str">
        <x:v>High-school courses formalize models, evidence, and sustained analysis.</x:v>
      </x:c>
      <x:c r="G25" s="27" t="n">
        <x:f>COUNTIF('Master Sequence'!$C$5:$C$479,A25)</x:f>
        <x:v>26</x:v>
      </x:c>
      <x:c r="H25" s="27" t="str">
        <x:v>S22</x:v>
      </x:c>
      <x:c r="I25" s="27" t="str">
        <x:v>Proof, structure, transformation, and historical causation become explicit.</x:v>
      </x:c>
    </x:row>
    <x:row r="26">
      <x:c r="A26" s="27" t="str">
        <x:v>S22</x:v>
      </x:c>
      <x:c r="B26" s="27" t="n">
        <x:v>22</x:v>
      </x:c>
      <x:c r="C26" s="27" t="str">
        <x:v>Grade 10</x:v>
      </x:c>
      <x:c r="D26" s="27" t="str">
        <x:v>10</x:v>
      </x:c>
      <x:c r="E26" s="27" t="str">
        <x:v>Geometry, chemistry, world history, and rhetoric</x:v>
      </x:c>
      <x:c r="F26" s="27" t="str">
        <x:v>Proof, structure, transformation, and historical causation become explicit.</x:v>
      </x:c>
      <x:c r="G26" s="27" t="n">
        <x:f>COUNTIF('Master Sequence'!$C$5:$C$479,A26)</x:f>
        <x:v>26</x:v>
      </x:c>
      <x:c r="H26" s="27" t="str">
        <x:v>S23</x:v>
      </x:c>
      <x:c r="I26" s="27" t="str">
        <x:v>Students model complex change and conduct increasingly independent inquiry.</x:v>
      </x:c>
    </x:row>
    <x:row r="27">
      <x:c r="A27" s="27" t="str">
        <x:v>S23</x:v>
      </x:c>
      <x:c r="B27" s="27" t="n">
        <x:v>23</x:v>
      </x:c>
      <x:c r="C27" s="27" t="str">
        <x:v>Grade 11</x:v>
      </x:c>
      <x:c r="D27" s="27" t="str">
        <x:v>11</x:v>
      </x:c>
      <x:c r="E27" s="27" t="str">
        <x:v>Algebra II, physics, U.S. history, and research</x:v>
      </x:c>
      <x:c r="F27" s="27" t="str">
        <x:v>Students model complex change and conduct increasingly independent inquiry.</x:v>
      </x:c>
      <x:c r="G27" s="27" t="n">
        <x:f>COUNTIF('Master Sequence'!$C$5:$C$479,A27)</x:f>
        <x:v>25</x:v>
      </x:c>
      <x:c r="H27" s="27" t="str">
        <x:v>S24</x:v>
      </x:c>
      <x:c r="I27" s="27" t="str">
        <x:v>Students integrate knowledge into defensible decisions, projects, and postsecondary work.</x:v>
      </x:c>
    </x:row>
    <x:row r="28">
      <x:c r="A28" s="27" t="str">
        <x:v>S24</x:v>
      </x:c>
      <x:c r="B28" s="27" t="n">
        <x:v>24</x:v>
      </x:c>
      <x:c r="C28" s="27" t="str">
        <x:v>Grade 12</x:v>
      </x:c>
      <x:c r="D28" s="27" t="str">
        <x:v>12</x:v>
      </x:c>
      <x:c r="E28" s="27" t="str">
        <x:v>Advanced mathematics, government/economics, and synthesis</x:v>
      </x:c>
      <x:c r="F28" s="27" t="str">
        <x:v>Students integrate knowledge into defensible decisions, projects, and postsecondary work.</x:v>
      </x:c>
      <x:c r="G28" s="27" t="n">
        <x:f>COUNTIF('Master Sequence'!$C$5:$C$479,A28)</x:f>
        <x:v>22</x:v>
      </x:c>
      <x:c r="H28" s="27" t="str">
        <x:v>S25</x:v>
      </x:c>
      <x:c r="I28" s="27" t="str">
        <x:v>Optional pathways extend the common foundation into college-level methods.</x:v>
      </x:c>
    </x:row>
    <x:row r="29">
      <x:c r="A29" s="27" t="str">
        <x:v>S25</x:v>
      </x:c>
      <x:c r="B29" s="27" t="n">
        <x:v>25</x:v>
      </x:c>
      <x:c r="C29" s="27" t="str">
        <x:v>Advanced bridge</x:v>
      </x:c>
      <x:c r="D29" s="27" t="str">
        <x:v>Postsecondary bridge</x:v>
      </x:c>
      <x:c r="E29" s="27" t="str">
        <x:v>Calculus, statistics, discrete reasoning, and specialized inquiry</x:v>
      </x:c>
      <x:c r="F29" s="27" t="str">
        <x:v>Optional pathways extend the common foundation into college-level methods.</x:v>
      </x:c>
      <x:c r="G29" s="27" t="n">
        <x:f>COUNTIF('Master Sequence'!$C$5:$C$479,A29)</x:f>
        <x:v>22</x:v>
      </x:c>
      <x:c r="H29" s="27" t="str">
        <x:v>Continuing study</x:v>
      </x:c>
      <x:c r="I29" s="27" t="str">
        <x:v>Independent lifelong learning and creation.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5425b46196e4f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5" hidden="0" customWidth="1"/>
    <x:col min="3" max="3" width="12" hidden="0" customWidth="1"/>
    <x:col min="4" max="4" width="35" hidden="0" customWidth="1"/>
    <x:col min="5" max="5" width="35" hidden="0" customWidth="1"/>
    <x:col min="6" max="6" width="35" hidden="0" customWidth="1"/>
    <x:col min="7" max="7" width="65" hidden="0" customWidth="1"/>
    <x:col min="8" max="8" width="28" hidden="0" customWidth="1"/>
  </x:cols>
  <x:sheetData>
    <x:row r="1" ht="34" customHeight="1">
      <x:c r="A1" s="4" t="str">
        <x:v>DOMAIN PATHS</x:v>
      </x:c>
      <x:c r="B1" s="4" t="str">
        <x:v>DOMAIN PATHS</x:v>
      </x:c>
      <x:c r="C1" s="4" t="str">
        <x:v>DOMAIN PATHS</x:v>
      </x:c>
      <x:c r="D1" s="4" t="str">
        <x:v>DOMAIN PATHS</x:v>
      </x:c>
      <x:c r="E1" s="4" t="str">
        <x:v>DOMAIN PATHS</x:v>
      </x:c>
      <x:c r="F1" s="4" t="str">
        <x:v>DOMAIN PATHS</x:v>
      </x:c>
      <x:c r="G1" s="4" t="str">
        <x:v>DOMAIN PATHS</x:v>
      </x:c>
      <x:c r="H1" s="4" t="str">
        <x:v>DOMAIN PATHS</x:v>
      </x:c>
    </x:row>
    <x:row r="2" ht="30" customHeight="1">
      <x:c r="A2" s="8" t="str">
        <x:v>Parallel subject pathways share prerequisites and representations. Filter Master Sequence for the complete ordered topic ladder within any domain.</x:v>
      </x:c>
      <x:c r="B2" s="8" t="str">
        <x:v>Parallel subject pathways share prerequisites and representations. Filter Master Sequence for the complete ordered topic ladder within any domain.</x:v>
      </x:c>
      <x:c r="C2" s="8" t="str">
        <x:v>Parallel subject pathways share prerequisites and representations. Filter Master Sequence for the complete ordered topic ladder within any domain.</x:v>
      </x:c>
      <x:c r="D2" s="8" t="str">
        <x:v>Parallel subject pathways share prerequisites and representations. Filter Master Sequence for the complete ordered topic ladder within any domain.</x:v>
      </x:c>
      <x:c r="E2" s="8" t="str">
        <x:v>Parallel subject pathways share prerequisites and representations. Filter Master Sequence for the complete ordered topic ladder within any domain.</x:v>
      </x:c>
      <x:c r="F2" s="8" t="str">
        <x:v>Parallel subject pathways share prerequisites and representations. Filter Master Sequence for the complete ordered topic ladder within any domain.</x:v>
      </x:c>
      <x:c r="G2" s="8" t="str">
        <x:v>Parallel subject pathways share prerequisites and representations. Filter Master Sequence for the complete ordered topic ladder within any domain.</x:v>
      </x:c>
      <x:c r="H2" s="8" t="str">
        <x:v>Parallel subject pathways share prerequisites and representations. Filter Master Sequence for the complete ordered topic ladder within any domain.</x:v>
      </x:c>
    </x:row>
    <x:row r="4" ht="32" customHeight="1">
      <x:c r="A4" s="17" t="str">
        <x:v>Domain</x:v>
      </x:c>
      <x:c r="B4" s="35" t="str">
        <x:v>Definition</x:v>
      </x:c>
      <x:c r="C4" s="35" t="str">
        <x:v>Topic Nodes</x:v>
      </x:c>
      <x:c r="D4" s="35" t="str">
        <x:v>First Node</x:v>
      </x:c>
      <x:c r="E4" s="35" t="str">
        <x:v>Midpoint Node</x:v>
      </x:c>
      <x:c r="F4" s="35" t="str">
        <x:v>Culminating Node</x:v>
      </x:c>
      <x:c r="G4" s="35" t="str">
        <x:v>Cross-Domain Connections</x:v>
      </x:c>
      <x:c r="H4" s="18" t="str">
        <x:v>Framework Sources</x:v>
      </x:c>
    </x:row>
    <x:row r="5">
      <x:c r="A5" s="26" t="str">
        <x:v>Learning Foundations</x:v>
      </x:c>
      <x:c r="B5" s="26" t="str">
        <x:v>Attention, memory, executive function, curiosity, imitation, play, metacognition, and study habits that regulate learning across every subject.</x:v>
      </x:c>
      <x:c r="C5" s="26" t="n">
        <x:f>COUNTIF('Master Sequence'!$H$5:$H$479,A5)</x:f>
        <x:v>37</x:v>
      </x:c>
      <x:c r="D5" s="26" t="str">
        <x:v>S01-LEARN-01 — State regulation</x:v>
      </x:c>
      <x:c r="E5" s="26" t="str">
        <x:v>S10-LEARN-01 — Two-rule task switching</x:v>
      </x:c>
      <x:c r="F5" s="26" t="str">
        <x:v>S25-LEARN-01 — Knowledge graph maintenance</x:v>
      </x:c>
      <x:c r="G5" s="26" t="str">
        <x:v>All domains: attention, memory, strategy choice, monitoring, retrieval, and transfer.</x:v>
      </x:c>
      <x:c r="H5" s="26" t="str">
        <x:v>SRC02; SRC03; SRC04; SRC11; SRC05; SRC18; SRC07; SRC25; SRC06; SRC23; SRC29; SRC30; SRC31; SRC34; SRC32</x:v>
      </x:c>
    </x:row>
    <x:row r="6">
      <x:c r="A6" s="27" t="str">
        <x:v>Social-Emotional</x:v>
      </x:c>
      <x:c r="B6" s="27" t="str">
        <x:v>Self-awareness, self-management, social awareness, relationship skills, identity, empathy, cooperation, and responsible decision-making.</x:v>
      </x:c>
      <x:c r="C6" s="27" t="n">
        <x:f>COUNTIF('Master Sequence'!$H$5:$H$479,A6)</x:f>
        <x:v>29</x:v>
      </x:c>
      <x:c r="D6" s="27" t="str">
        <x:v>S01-SEL-01 — Co-regulation</x:v>
      </x:c>
      <x:c r="E6" s="27" t="str">
        <x:v>S10-SEL-02 — Cooperative play plan</x:v>
      </x:c>
      <x:c r="F6" s="27" t="str">
        <x:v>S24-SEL-01 — Adult systems navigation and support network</x:v>
      </x:c>
      <x:c r="G6" s="27" t="str">
        <x:v>Language and communication; health; collaboration in science, arts, civics, and projects; responsible digital/financial decisions.</x:v>
      </x:c>
      <x:c r="H6" s="27" t="str">
        <x:v>SRC02; SRC04; SRC05; SRC18; SRC03; SRC25</x:v>
      </x:c>
    </x:row>
    <x:row r="7">
      <x:c r="A7" s="27" t="str">
        <x:v>Language &amp; Communication</x:v>
      </x:c>
      <x:c r="B7" s="27" t="str">
        <x:v>Receptive and expressive spoken, signed, or augmentative language; conversation, vocabulary, grammar, narrative, and listening.</x:v>
      </x:c>
      <x:c r="C7" s="27" t="n">
        <x:f>COUNTIF('Master Sequence'!$H$5:$H$479,A7)</x:f>
        <x:v>24</x:v>
      </x:c>
      <x:c r="D7" s="27" t="str">
        <x:v>S01-LANG-01 — Speech-sound exposure</x:v>
      </x:c>
      <x:c r="E7" s="27" t="str">
        <x:v>S06-LANG-01 — Familiar word recognition</x:v>
      </x:c>
      <x:c r="F7" s="27" t="str">
        <x:v>S14-LANG-01 — Morphology and context introduction</x:v>
      </x:c>
      <x:c r="G7" s="27" t="str">
        <x:v>Reading and writing; vocabulary for math/science/social studies; discussion, music prosody, and world-language learning.</x:v>
      </x:c>
      <x:c r="H7" s="27" t="str">
        <x:v>SRC02; SRC03; SRC04; SRC10; SRC25</x:v>
      </x:c>
    </x:row>
    <x:row r="8">
      <x:c r="A8" s="27" t="str">
        <x:v>Reading</x:v>
      </x:c>
      <x:c r="B8" s="27" t="str">
        <x:v>Print concepts, phonological and phonemic awareness, phonics, word recognition, fluency, vocabulary, comprehension, analysis, and synthesis.</x:v>
      </x:c>
      <x:c r="C8" s="27" t="n">
        <x:f>COUNTIF('Master Sequence'!$H$5:$H$479,A8)</x:f>
        <x:v>49</x:v>
      </x:c>
      <x:c r="D8" s="27" t="str">
        <x:v>S08-READ-01 — Picture–meaning interpretation</x:v>
      </x:c>
      <x:c r="E8" s="27" t="str">
        <x:v>S15-READ-01 — Multisyllable decoding and derivational morphology</x:v>
      </x:c>
      <x:c r="F8" s="27" t="str">
        <x:v>S24-READ-01 — Independent complex-text synthesis</x:v>
      </x:c>
      <x:c r="G8" s="27" t="str">
        <x:v>Oral language and writing; evidence in science/social studies; mathematical and technical problem interpretation; media verification.</x:v>
      </x:c>
      <x:c r="H8" s="27" t="str">
        <x:v>SRC02; SRC10; SRC08; SRC25; SRC20; SRC12</x:v>
      </x:c>
    </x:row>
    <x:row r="9">
      <x:c r="A9" s="27" t="str">
        <x:v>Writing &amp; Language</x:v>
      </x:c>
      <x:c r="B9" s="27" t="str">
        <x:v>Handwriting or accessible text production, spelling, grammar, sentence and text construction, revision, research, and rhetoric.</x:v>
      </x:c>
      <x:c r="C9" s="27" t="n">
        <x:f>COUNTIF('Master Sequence'!$H$5:$H$479,A9)</x:f>
        <x:v>40</x:v>
      </x:c>
      <x:c r="D9" s="27" t="str">
        <x:v>S10-WRITE-01 — Meaningful drawing and letter-like forms</x:v>
      </x:c>
      <x:c r="E9" s="27" t="str">
        <x:v>S17-WRITE-01 — Thesis/claim, evidence, reasoning, and counterpoint introduction</x:v>
      </x:c>
      <x:c r="F9" s="27" t="str">
        <x:v>S25-WRITE-01 — Disciplinary argument and literature review</x:v>
      </x:c>
      <x:c r="G9" s="27" t="str">
        <x:v>Reading models; evidence from science/social studies; mathematical explanation; research, media, and presentation.</x:v>
      </x:c>
      <x:c r="H9" s="27" t="str">
        <x:v>SRC02; SRC10; SRC21; SRC08; SRC22; SRC20; SRC32; SRC29</x:v>
      </x:c>
    </x:row>
    <x:row r="10">
      <x:c r="A10" s="27" t="str">
        <x:v>Mathematics</x:v>
      </x:c>
      <x:c r="B10" s="27" t="str">
        <x:v>Quantity, number, operations, algebra, functions, geometry, measurement, data, probability, statistics, and calculus.</x:v>
      </x:c>
      <x:c r="C10" s="27" t="n">
        <x:f>COUNTIF('Master Sequence'!$H$5:$H$479,A10)</x:f>
        <x:v>127</x:v>
      </x:c>
      <x:c r="D10" s="27" t="str">
        <x:v>S01-MATH-01 — Temporal regularity</x:v>
      </x:c>
      <x:c r="E10" s="27" t="str">
        <x:v>S18-MATH-02 — Divide fractions and operate with decimals</x:v>
      </x:c>
      <x:c r="F10" s="27" t="str">
        <x:v>S25-MATH-15 — Groups, rings, fields, and structure-preserving maps</x:v>
      </x:c>
      <x:c r="G10" s="27" t="str">
        <x:v>Physical quantity and spatial action; science measurement/models; computing/algorithms; finance; music rhythm/pattern; geographic data.</x:v>
      </x:c>
      <x:c r="H10" s="27" t="str">
        <x:v>SRC02; SRC04; SRC07; SRC05; SRC09; SRC25; SRC26; SRC28; SRC27; SRC16</x:v>
      </x:c>
    </x:row>
    <x:row r="11">
      <x:c r="A11" s="27" t="str">
        <x:v>Science &amp; Engineering</x:v>
      </x:c>
      <x:c r="B11" s="27" t="str">
        <x:v>Scientific practices, physical science, life science, Earth and space science, crosscutting concepts, and engineering design.</x:v>
      </x:c>
      <x:c r="C11" s="27" t="n">
        <x:f>COUNTIF('Master Sequence'!$H$5:$H$479,A11)</x:f>
        <x:v>56</x:v>
      </x:c>
      <x:c r="D11" s="27" t="str">
        <x:v>S01-SCI-01 — Change detection</x:v>
      </x:c>
      <x:c r="E11" s="27" t="str">
        <x:v>S17-SCI-02 — Matter and energy in organisms/ecosystems</x:v>
      </x:c>
      <x:c r="F11" s="27" t="str">
        <x:v>S25-SCI-01 — Literature, protocol, data, analysis, and reproducibility</x:v>
      </x:c>
      <x:c r="G11" s="27" t="str">
        <x:v>Sensory observation and action; mathematics/data; reading/writing evidence; computing/models; health and environmental/civic decisions.</x:v>
      </x:c>
      <x:c r="H11" s="27" t="str">
        <x:v>SRC02; SRC04; SRC11; SRC25; SRC29</x:v>
      </x:c>
    </x:row>
    <x:row r="12">
      <x:c r="A12" s="27" t="str">
        <x:v>Social Studies</x:v>
      </x:c>
      <x:c r="B12" s="27" t="str">
        <x:v>Inquiry through civics, economics, geography, history, behavioral sciences, source evaluation, and informed action.</x:v>
      </x:c>
      <x:c r="C12" s="27" t="n">
        <x:f>COUNTIF('Master Sequence'!$H$5:$H$479,A12)</x:f>
        <x:v>22</x:v>
      </x:c>
      <x:c r="D12" s="27" t="str">
        <x:v>S11-SST-01 — Roles, rules, maps, and time</x:v>
      </x:c>
      <x:c r="E12" s="27" t="str">
        <x:v>S19-SST-02 — Rights, law, markets, and collective action</x:v>
      </x:c>
      <x:c r="F12" s="27" t="str">
        <x:v>S25-SST-01 — Psychology, sociology, anthropology, and research design</x:v>
      </x:c>
      <x:c r="G12" s="27" t="str">
        <x:v>Language/literacy and source evidence; maps/data/economics; ethics/SEL; media literacy; arts/culture; civic action.</x:v>
      </x:c>
      <x:c r="H12" s="27" t="str">
        <x:v>SRC02; SRC12; SRC25; SRC24; SRC20; SRC19; SRC29</x:v>
      </x:c>
    </x:row>
    <x:row r="13">
      <x:c r="A13" s="27" t="str">
        <x:v>Music &amp; Arts</x:v>
      </x:c>
      <x:c r="B13" s="27" t="str">
        <x:v>Creating, performing or presenting, responding, and connecting through music, visual art, theater, dance, and media arts.</x:v>
      </x:c>
      <x:c r="C13" s="27" t="n">
        <x:f>COUNTIF('Master Sequence'!$H$5:$H$479,A13)</x:f>
        <x:v>23</x:v>
      </x:c>
      <x:c r="D13" s="27" t="str">
        <x:v>S01-ARTS-01 — Sound contour</x:v>
      </x:c>
      <x:c r="E13" s="27" t="str">
        <x:v>S13-ARTS-01 — Rhythm/pitch patterns and performance choices</x:v>
      </x:c>
      <x:c r="F13" s="27" t="str">
        <x:v>S24-ARTS-01 — Advanced portfolio/performance and public defense</x:v>
      </x:c>
      <x:c r="G13" s="27" t="str">
        <x:v>Sensory discrimination; motor timing; language/prosody; mathematics/pattern; history/culture; emotion, design, and technology.</x:v>
      </x:c>
      <x:c r="H13" s="27" t="str">
        <x:v>SRC02; SRC13</x:v>
      </x:c>
    </x:row>
    <x:row r="14">
      <x:c r="A14" s="27" t="str">
        <x:v>Physical &amp; Health</x:v>
      </x:c>
      <x:c r="B14" s="27" t="str">
        <x:v>Motor competence, movement concepts, fitness, safety, nutrition, health literacy, self-care, and health-supporting decisions.</x:v>
      </x:c>
      <x:c r="C14" s="27" t="n">
        <x:f>COUNTIF('Master Sequence'!$H$5:$H$479,A14)</x:f>
        <x:v>24</x:v>
      </x:c>
      <x:c r="D14" s="27" t="str">
        <x:v>S01-HLTH-01 — Head and limb activation</x:v>
      </x:c>
      <x:c r="E14" s="27" t="str">
        <x:v>S12-HLTH-01 — Movement patterns, body signals, and safety</x:v>
      </x:c>
      <x:c r="F14" s="27" t="str">
        <x:v>S24-HLTH-01 — Lifetime activity, healthcare, prevention, and emergency readiness</x:v>
      </x:c>
      <x:c r="G14" s="27" t="str">
        <x:v>Motor/sensory development; life science; measurement/data; SEL/self-management; communication, safety, and decision-making.</x:v>
      </x:c>
      <x:c r="H14" s="27" t="str">
        <x:v>SRC02; SRC03; SRC14; SRC15; SRC25; SRC19</x:v>
      </x:c>
    </x:row>
    <x:row r="15">
      <x:c r="A15" s="27" t="str">
        <x:v>Computing &amp; Media</x:v>
      </x:c>
      <x:c r="B15" s="27" t="str">
        <x:v>Computing systems, networks, data, algorithms, programming, cybersecurity, digital citizenship, AI, and media literacy.</x:v>
      </x:c>
      <x:c r="C15" s="27" t="n">
        <x:f>COUNTIF('Master Sequence'!$H$5:$H$479,A15)</x:f>
        <x:v>23</x:v>
      </x:c>
      <x:c r="D15" s="27" t="str">
        <x:v>S11-COMP-01 — Ordered commands and debugging</x:v>
      </x:c>
      <x:c r="E15" s="27" t="str">
        <x:v>S18-COMP-01 — Algorithms, networks, cybersecurity, and data ethics</x:v>
      </x:c>
      <x:c r="F15" s="27" t="str">
        <x:v>S25-COMP-02 — Data pipeline, models, validation, and responsible use</x:v>
      </x:c>
      <x:c r="G15" s="27" t="str">
        <x:v>Mathematics/logic/data; language and media evidence; science/engineering models; art/design; civics, privacy, finance, and ethics.</x:v>
      </x:c>
      <x:c r="H15" s="27" t="str">
        <x:v>SRC16; SRC20; SRC28</x:v>
      </x:c>
    </x:row>
    <x:row r="16">
      <x:c r="A16" s="27" t="str">
        <x:v>World Languages</x:v>
      </x:c>
      <x:c r="B16" s="27" t="str">
        <x:v>Interpersonal, interpretive, and presentational communication joined with cultural understanding, connections, comparisons, and communities.</x:v>
      </x:c>
      <x:c r="C16" s="27" t="n">
        <x:f>COUNTIF('Master Sequence'!$H$5:$H$479,A16)</x:f>
        <x:v>8</x:v>
      </x:c>
      <x:c r="D16" s="27" t="str">
        <x:v>S17-WLANG-01 — Novice interpersonal/interpretive/presentational cycle</x:v>
      </x:c>
      <x:c r="E16" s="27" t="str">
        <x:v>S20-WLANG-01 — Intermediate-mid narration and interaction</x:v>
      </x:c>
      <x:c r="F16" s="27" t="str">
        <x:v>S24-WLANG-01 — Advanced communication or sustained intermediate growth</x:v>
      </x:c>
      <x:c r="G16" s="27" t="str">
        <x:v>Oral language, reading, and writing; memory/retrieval; social interaction; history/geography/arts; intercultural perspective.</x:v>
      </x:c>
      <x:c r="H16" s="27" t="str">
        <x:v>SRC17</x:v>
      </x:c>
    </x:row>
    <x:row r="17">
      <x:c r="A17" s="27" t="str">
        <x:v>Life, Finance &amp; Career</x:v>
      </x:c>
      <x:c r="B17" s="27" t="str">
        <x:v>Daily living, collaboration, planning, career exploration, earning, spending, saving, credit, risk, and long-term financial decisions.</x:v>
      </x:c>
      <x:c r="C17" s="27" t="n">
        <x:f>COUNTIF('Master Sequence'!$H$5:$H$479,A17)</x:f>
        <x:v>13</x:v>
      </x:c>
      <x:c r="D17" s="27" t="str">
        <x:v>S13-LIFE-01 — Needs, wants, earning, saving, and spending</x:v>
      </x:c>
      <x:c r="E17" s="27" t="str">
        <x:v>S19-LIFE-01 — Compound growth, credit, and consumer decisions</x:v>
      </x:c>
      <x:c r="F17" s="27" t="str">
        <x:v>S25-LIFE-01 — Portfolio, standards, project management, and continuous learning</x:v>
      </x:c>
      <x:c r="G17" s="27" t="str">
        <x:v>Mathematics/percent/growth; economics/civics; reading contracts/sources; computing/privacy; SEL, planning, and risk decisions.</x:v>
      </x:c>
      <x:c r="H17" s="27" t="str">
        <x:v>SRC12; SRC19; SRC18; SRC29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55" hidden="0" customWidth="1"/>
    <x:col min="4" max="4" width="20" hidden="0" customWidth="1"/>
    <x:col min="5" max="5" width="23" hidden="0" customWidth="1"/>
    <x:col min="6" max="6" width="55" hidden="0" customWidth="1"/>
    <x:col min="7" max="7" width="10" hidden="0" customWidth="1"/>
    <x:col min="8" max="8" width="22" hidden="0" customWidth="1"/>
    <x:col min="9" max="9" width="24" hidden="0" customWidth="1"/>
    <x:col min="10" max="10" width="45" hidden="0" customWidth="1"/>
  </x:cols>
  <x:sheetData>
    <x:row r="1" ht="34" customHeight="1">
      <x:c r="A1" s="4" t="str">
        <x:v>KNOWLEDGE GRAPH — EDGE REGISTER</x:v>
      </x:c>
      <x:c r="B1" s="4" t="str">
        <x:v>KNOWLEDGE GRAPH — EDGE REGISTER</x:v>
      </x:c>
      <x:c r="C1" s="4" t="str">
        <x:v>KNOWLEDGE GRAPH — EDGE REGISTER</x:v>
      </x:c>
      <x:c r="D1" s="4" t="str">
        <x:v>KNOWLEDGE GRAPH — EDGE REGISTER</x:v>
      </x:c>
      <x:c r="E1" s="4" t="str">
        <x:v>KNOWLEDGE GRAPH — EDGE REGISTER</x:v>
      </x:c>
      <x:c r="F1" s="4" t="str">
        <x:v>KNOWLEDGE GRAPH — EDGE REGISTER</x:v>
      </x:c>
      <x:c r="G1" s="4" t="str">
        <x:v>KNOWLEDGE GRAPH — EDGE REGISTER</x:v>
      </x:c>
      <x:c r="H1" s="4" t="str">
        <x:v>KNOWLEDGE GRAPH — EDGE REGISTER</x:v>
      </x:c>
      <x:c r="I1" s="4" t="str">
        <x:v>KNOWLEDGE GRAPH — EDGE REGISTER</x:v>
      </x:c>
      <x:c r="J1" s="4" t="str">
        <x:v>KNOWLEDGE GRAPH — EDGE REGISTER</x:v>
      </x:c>
    </x:row>
    <x:row r="2" ht="30" customHeight="1">
      <x:c r="A2" s="8" t="str">
        <x:v>Machine-readable links: topic-to-topic domain sequence plus prerequisites, grounding, cross-domain connections, unlocks, and mastery evidence.</x:v>
      </x:c>
      <x:c r="B2" s="8" t="str">
        <x:v>Machine-readable links: topic-to-topic domain sequence plus prerequisites, grounding, cross-domain connections, unlocks, and mastery evidence.</x:v>
      </x:c>
      <x:c r="C2" s="8" t="str">
        <x:v>Machine-readable links: topic-to-topic domain sequence plus prerequisites, grounding, cross-domain connections, unlocks, and mastery evidence.</x:v>
      </x:c>
      <x:c r="D2" s="8" t="str">
        <x:v>Machine-readable links: topic-to-topic domain sequence plus prerequisites, grounding, cross-domain connections, unlocks, and mastery evidence.</x:v>
      </x:c>
      <x:c r="E2" s="8" t="str">
        <x:v>Machine-readable links: topic-to-topic domain sequence plus prerequisites, grounding, cross-domain connections, unlocks, and mastery evidence.</x:v>
      </x:c>
      <x:c r="F2" s="8" t="str">
        <x:v>Machine-readable links: topic-to-topic domain sequence plus prerequisites, grounding, cross-domain connections, unlocks, and mastery evidence.</x:v>
      </x:c>
      <x:c r="G2" s="8" t="str">
        <x:v>Machine-readable links: topic-to-topic domain sequence plus prerequisites, grounding, cross-domain connections, unlocks, and mastery evidence.</x:v>
      </x:c>
      <x:c r="H2" s="8" t="str">
        <x:v>Machine-readable links: topic-to-topic domain sequence plus prerequisites, grounding, cross-domain connections, unlocks, and mastery evidence.</x:v>
      </x:c>
      <x:c r="I2" s="8" t="str">
        <x:v>Machine-readable links: topic-to-topic domain sequence plus prerequisites, grounding, cross-domain connections, unlocks, and mastery evidence.</x:v>
      </x:c>
      <x:c r="J2" s="8" t="str">
        <x:v>Machine-readable links: topic-to-topic domain sequence plus prerequisites, grounding, cross-domain connections, unlocks, and mastery evidence.</x:v>
      </x:c>
    </x:row>
    <x:row r="4" ht="32" customHeight="1">
      <x:c r="A4" s="17" t="str">
        <x:v>Edge ID</x:v>
      </x:c>
      <x:c r="B4" s="35" t="str">
        <x:v>Source Node ID</x:v>
      </x:c>
      <x:c r="C4" s="35" t="str">
        <x:v>Source Label</x:v>
      </x:c>
      <x:c r="D4" s="35" t="str">
        <x:v>Edge Type</x:v>
      </x:c>
      <x:c r="E4" s="35" t="str">
        <x:v>Target Node ID</x:v>
      </x:c>
      <x:c r="F4" s="35" t="str">
        <x:v>Target Label</x:v>
      </x:c>
      <x:c r="G4" s="35" t="str">
        <x:v>Stage ID</x:v>
      </x:c>
      <x:c r="H4" s="35" t="str">
        <x:v>Domain</x:v>
      </x:c>
      <x:c r="I4" s="35" t="str">
        <x:v>Topic Source IDs</x:v>
      </x:c>
      <x:c r="J4" s="18" t="str">
        <x:v>Notes</x:v>
      </x:c>
    </x:row>
    <x:row r="5">
      <x:c r="A5" s="26" t="str">
        <x:v>E00001</x:v>
      </x:c>
      <x:c r="B5" s="26" t="str">
        <x:v>S01-LEARN-01:PREREQ</x:v>
      </x:c>
      <x:c r="C5" s="26" t="str">
        <x:v>Basic physiological stability and responsive care.</x:v>
      </x:c>
      <x:c r="D5" s="26" t="str">
        <x:v>PREREQUISITE</x:v>
      </x:c>
      <x:c r="E5" s="26" t="str">
        <x:v>S01-LEARN-01</x:v>
      </x:c>
      <x:c r="F5" s="26" t="str">
        <x:v>State regulation</x:v>
      </x:c>
      <x:c r="G5" s="26" t="str">
        <x:v>S01</x:v>
      </x:c>
      <x:c r="H5" s="26" t="str">
        <x:v>Learning Foundations</x:v>
      </x:c>
      <x:c r="I5" s="26" t="str">
        <x:v>SRC02; SRC03; SRC04</x:v>
      </x:c>
      <x:c r="J5" s="26" t="str">
        <x:v>Incoming prerequisite relationship.</x:v>
      </x:c>
    </x:row>
    <x:row r="6">
      <x:c r="A6" s="27" t="str">
        <x:v>E00002</x:v>
      </x:c>
      <x:c r="B6" s="27" t="str">
        <x:v>S01-LEARN-01:GROUND</x:v>
      </x:c>
      <x:c r="C6" s="27" t="str">
        <x:v>G1 — Regulated sensory event</x:v>
      </x:c>
      <x:c r="D6" s="27" t="str">
        <x:v>GROUNDED_BY</x:v>
      </x:c>
      <x:c r="E6" s="27" t="str">
        <x:v>S01-LEARN-01</x:v>
      </x:c>
      <x:c r="F6" s="27" t="str">
        <x:v>State regulation</x:v>
      </x:c>
      <x:c r="G6" s="27" t="str">
        <x:v>S01</x:v>
      </x:c>
      <x:c r="H6" s="27" t="str">
        <x:v>Learning Foundations</x:v>
      </x:c>
      <x:c r="I6" s="27" t="str">
        <x:v>SRC02; SRC03; SRC04</x:v>
      </x:c>
      <x:c r="J6" s="27" t="str">
        <x:v>Grounding form used to preserve meaning.</x:v>
      </x:c>
    </x:row>
    <x:row r="7">
      <x:c r="A7" s="27" t="str">
        <x:v>E00003</x:v>
      </x:c>
      <x:c r="B7" s="27" t="str">
        <x:v>S01-LEARN-01</x:v>
      </x:c>
      <x:c r="C7" s="27" t="str">
        <x:v>State regulation</x:v>
      </x:c>
      <x:c r="D7" s="27" t="str">
        <x:v>CONNECTS_TO</x:v>
      </x:c>
      <x:c r="E7" s="27" t="str">
        <x:v>S01-LEARN-01:CROSS</x:v>
      </x:c>
      <x:c r="F7" s="27" t="str">
        <x:v>All domains: attention, memory, strategy choice, monitoring, retrieval, and transfer.</x:v>
      </x:c>
      <x:c r="G7" s="27" t="str">
        <x:v>S01</x:v>
      </x:c>
      <x:c r="H7" s="27" t="str">
        <x:v>Learning Foundations</x:v>
      </x:c>
      <x:c r="I7" s="27" t="str">
        <x:v>SRC02; SRC03; SRC04</x:v>
      </x:c>
      <x:c r="J7" s="27" t="str">
        <x:v>Parallel subject and representation links.</x:v>
      </x:c>
    </x:row>
    <x:row r="8">
      <x:c r="A8" s="27" t="str">
        <x:v>E00004</x:v>
      </x:c>
      <x:c r="B8" s="27" t="str">
        <x:v>S01-LEARN-01</x:v>
      </x:c>
      <x:c r="C8" s="27" t="str">
        <x:v>State regulation</x:v>
      </x:c>
      <x:c r="D8" s="27" t="str">
        <x:v>UNLOCKS</x:v>
      </x:c>
      <x:c r="E8" s="27" t="str">
        <x:v>S01-LEARN-01:NEXT</x:v>
      </x:c>
      <x:c r="F8" s="27" t="str">
        <x:v>Quiet-alert periods create the first usable windows for noticing, interaction, and memory.</x:v>
      </x:c>
      <x:c r="G8" s="27" t="str">
        <x:v>S01</x:v>
      </x:c>
      <x:c r="H8" s="27" t="str">
        <x:v>Learning Foundations</x:v>
      </x:c>
      <x:c r="I8" s="27" t="str">
        <x:v>SRC02; SRC03; SRC04</x:v>
      </x:c>
      <x:c r="J8" s="27" t="str">
        <x:v>Outgoing use and placement rationale.</x:v>
      </x:c>
    </x:row>
    <x:row r="9">
      <x:c r="A9" s="27" t="str">
        <x:v>E00005</x:v>
      </x:c>
      <x:c r="B9" s="27" t="str">
        <x:v>S01-LEARN-01</x:v>
      </x:c>
      <x:c r="C9" s="27" t="str">
        <x:v>State regulation</x:v>
      </x:c>
      <x:c r="D9" s="27" t="str">
        <x:v>VERIFIED_BY</x:v>
      </x:c>
      <x:c r="E9" s="27" t="str">
        <x:v>S01-LEARN-01:EVIDENCE</x:v>
      </x:c>
      <x:c r="F9" s="27" t="str">
        <x:v>Briefly becomes calm or alert with familiar holding, voice, feeding, or routine.</x:v>
      </x:c>
      <x:c r="G9" s="27" t="str">
        <x:v>S01</x:v>
      </x:c>
      <x:c r="H9" s="27" t="str">
        <x:v>Learning Foundations</x:v>
      </x:c>
      <x:c r="I9" s="27" t="str">
        <x:v>SRC02; SRC03; SRC04</x:v>
      </x:c>
      <x:c r="J9" s="27" t="str">
        <x:v>Observable evidence of usable learning.</x:v>
      </x:c>
    </x:row>
    <x:row r="10">
      <x:c r="A10" s="27" t="str">
        <x:v>E00006</x:v>
      </x:c>
      <x:c r="B10" s="27" t="str">
        <x:v>S01-LEARN-01</x:v>
      </x:c>
      <x:c r="C10" s="27" t="str">
        <x:v>Previous node in domain progression</x:v>
      </x:c>
      <x:c r="D10" s="27" t="str">
        <x:v>DOMAIN_SEQUENCE</x:v>
      </x:c>
      <x:c r="E10" s="27" t="str">
        <x:v>S01-LEARN-02</x:v>
      </x:c>
      <x:c r="F10" s="27" t="str">
        <x:v>Sensory orientation</x:v>
      </x:c>
      <x:c r="G10" s="27" t="str">
        <x:v>S01</x:v>
      </x:c>
      <x:c r="H10" s="27" t="str">
        <x:v>Learning Foundations</x:v>
      </x:c>
      <x:c r="I10" s="27" t="str">
        <x:v>SRC02; SRC03; SRC04</x:v>
      </x:c>
      <x:c r="J10" s="27" t="str">
        <x:v>Ordered spiral link; consult explicit prerequisites for logical dependency.</x:v>
      </x:c>
    </x:row>
    <x:row r="11">
      <x:c r="A11" s="27" t="str">
        <x:v>E00007</x:v>
      </x:c>
      <x:c r="B11" s="27" t="str">
        <x:v>S01-LEARN-02:PREREQ</x:v>
      </x:c>
      <x:c r="C11" s="27" t="str">
        <x:v>Wakeful state and functioning sensory pathways.</x:v>
      </x:c>
      <x:c r="D11" s="27" t="str">
        <x:v>PREREQUISITE</x:v>
      </x:c>
      <x:c r="E11" s="27" t="str">
        <x:v>S01-LEARN-02</x:v>
      </x:c>
      <x:c r="F11" s="27" t="str">
        <x:v>Sensory orientation</x:v>
      </x:c>
      <x:c r="G11" s="27" t="str">
        <x:v>S01</x:v>
      </x:c>
      <x:c r="H11" s="27" t="str">
        <x:v>Learning Foundations</x:v>
      </x:c>
      <x:c r="I11" s="27" t="str">
        <x:v>SRC02; SRC03; SRC04</x:v>
      </x:c>
      <x:c r="J11" s="27" t="str">
        <x:v>Incoming prerequisite relationship.</x:v>
      </x:c>
    </x:row>
    <x:row r="12">
      <x:c r="A12" s="27" t="str">
        <x:v>E00008</x:v>
      </x:c>
      <x:c r="B12" s="27" t="str">
        <x:v>S01-LEARN-02:GROUND</x:v>
      </x:c>
      <x:c r="C12" s="27" t="str">
        <x:v>G1 — Regulated sensory event</x:v>
      </x:c>
      <x:c r="D12" s="27" t="str">
        <x:v>GROUNDED_BY</x:v>
      </x:c>
      <x:c r="E12" s="27" t="str">
        <x:v>S01-LEARN-02</x:v>
      </x:c>
      <x:c r="F12" s="27" t="str">
        <x:v>Sensory orientation</x:v>
      </x:c>
      <x:c r="G12" s="27" t="str">
        <x:v>S01</x:v>
      </x:c>
      <x:c r="H12" s="27" t="str">
        <x:v>Learning Foundations</x:v>
      </x:c>
      <x:c r="I12" s="27" t="str">
        <x:v>SRC02; SRC03; SRC04</x:v>
      </x:c>
      <x:c r="J12" s="27" t="str">
        <x:v>Grounding form used to preserve meaning.</x:v>
      </x:c>
    </x:row>
    <x:row r="13">
      <x:c r="A13" s="27" t="str">
        <x:v>E00009</x:v>
      </x:c>
      <x:c r="B13" s="27" t="str">
        <x:v>S01-LEARN-02</x:v>
      </x:c>
      <x:c r="C13" s="27" t="str">
        <x:v>Sensory orientation</x:v>
      </x:c>
      <x:c r="D13" s="27" t="str">
        <x:v>CONNECTS_TO</x:v>
      </x:c>
      <x:c r="E13" s="27" t="str">
        <x:v>S01-LEARN-02:CROSS</x:v>
      </x:c>
      <x:c r="F13" s="27" t="str">
        <x:v>All domains: attention, memory, strategy choice, monitoring, retrieval, and transfer.</x:v>
      </x:c>
      <x:c r="G13" s="27" t="str">
        <x:v>S01</x:v>
      </x:c>
      <x:c r="H13" s="27" t="str">
        <x:v>Learning Foundations</x:v>
      </x:c>
      <x:c r="I13" s="27" t="str">
        <x:v>SRC02; SRC03; SRC04</x:v>
      </x:c>
      <x:c r="J13" s="27" t="str">
        <x:v>Parallel subject and representation links.</x:v>
      </x:c>
    </x:row>
    <x:row r="14">
      <x:c r="A14" s="27" t="str">
        <x:v>E00010</x:v>
      </x:c>
      <x:c r="B14" s="27" t="str">
        <x:v>S01-LEARN-02</x:v>
      </x:c>
      <x:c r="C14" s="27" t="str">
        <x:v>Sensory orientation</x:v>
      </x:c>
      <x:c r="D14" s="27" t="str">
        <x:v>UNLOCKS</x:v>
      </x:c>
      <x:c r="E14" s="27" t="str">
        <x:v>S01-LEARN-02:NEXT</x:v>
      </x:c>
      <x:c r="F14" s="27" t="str">
        <x:v>Orientation is the entry action for sustained attention and later discrimination.</x:v>
      </x:c>
      <x:c r="G14" s="27" t="str">
        <x:v>S01</x:v>
      </x:c>
      <x:c r="H14" s="27" t="str">
        <x:v>Learning Foundations</x:v>
      </x:c>
      <x:c r="I14" s="27" t="str">
        <x:v>SRC02; SRC03; SRC04</x:v>
      </x:c>
      <x:c r="J14" s="27" t="str">
        <x:v>Outgoing use and placement rationale.</x:v>
      </x:c>
    </x:row>
    <x:row r="15">
      <x:c r="A15" s="27" t="str">
        <x:v>E00011</x:v>
      </x:c>
      <x:c r="B15" s="27" t="str">
        <x:v>S01-LEARN-02</x:v>
      </x:c>
      <x:c r="C15" s="27" t="str">
        <x:v>Sensory orientation</x:v>
      </x:c>
      <x:c r="D15" s="27" t="str">
        <x:v>VERIFIED_BY</x:v>
      </x:c>
      <x:c r="E15" s="27" t="str">
        <x:v>S01-LEARN-02:EVIDENCE</x:v>
      </x:c>
      <x:c r="F15" s="27" t="str">
        <x:v>Pauses, stills, looks, or turns toward a noticeable stimulus.</x:v>
      </x:c>
      <x:c r="G15" s="27" t="str">
        <x:v>S01</x:v>
      </x:c>
      <x:c r="H15" s="27" t="str">
        <x:v>Learning Foundations</x:v>
      </x:c>
      <x:c r="I15" s="27" t="str">
        <x:v>SRC02; SRC03; SRC04</x:v>
      </x:c>
      <x:c r="J15" s="27" t="str">
        <x:v>Observable evidence of usable learning.</x:v>
      </x:c>
    </x:row>
    <x:row r="16">
      <x:c r="A16" s="27" t="str">
        <x:v>E00012</x:v>
      </x:c>
      <x:c r="B16" s="27" t="str">
        <x:v>S01-SEL-01:PREREQ</x:v>
      </x:c>
      <x:c r="C16" s="27" t="str">
        <x:v>Consistent, responsive interaction.</x:v>
      </x:c>
      <x:c r="D16" s="27" t="str">
        <x:v>PREREQUISITE</x:v>
      </x:c>
      <x:c r="E16" s="27" t="str">
        <x:v>S01-SEL-01</x:v>
      </x:c>
      <x:c r="F16" s="27" t="str">
        <x:v>Co-regulation</x:v>
      </x:c>
      <x:c r="G16" s="27" t="str">
        <x:v>S01</x:v>
      </x:c>
      <x:c r="H16" s="27" t="str">
        <x:v>Social-Emotional</x:v>
      </x:c>
      <x:c r="I16" s="27" t="str">
        <x:v>SRC02; SRC04; SRC05; SRC18</x:v>
      </x:c>
      <x:c r="J16" s="27" t="str">
        <x:v>Incoming prerequisite relationship.</x:v>
      </x:c>
    </x:row>
    <x:row r="17">
      <x:c r="A17" s="27" t="str">
        <x:v>E00013</x:v>
      </x:c>
      <x:c r="B17" s="27" t="str">
        <x:v>S01-SEL-01:GROUND</x:v>
      </x:c>
      <x:c r="C17" s="27" t="str">
        <x:v>G1 — Regulated sensory event</x:v>
      </x:c>
      <x:c r="D17" s="27" t="str">
        <x:v>GROUNDED_BY</x:v>
      </x:c>
      <x:c r="E17" s="27" t="str">
        <x:v>S01-SEL-01</x:v>
      </x:c>
      <x:c r="F17" s="27" t="str">
        <x:v>Co-regulation</x:v>
      </x:c>
      <x:c r="G17" s="27" t="str">
        <x:v>S01</x:v>
      </x:c>
      <x:c r="H17" s="27" t="str">
        <x:v>Social-Emotional</x:v>
      </x:c>
      <x:c r="I17" s="27" t="str">
        <x:v>SRC02; SRC04; SRC05; SRC18</x:v>
      </x:c>
      <x:c r="J17" s="27" t="str">
        <x:v>Grounding form used to preserve meaning.</x:v>
      </x:c>
    </x:row>
    <x:row r="18">
      <x:c r="A18" s="27" t="str">
        <x:v>E00014</x:v>
      </x:c>
      <x:c r="B18" s="27" t="str">
        <x:v>S01-SEL-01</x:v>
      </x:c>
      <x:c r="C18" s="27" t="str">
        <x:v>Co-regulation</x:v>
      </x:c>
      <x:c r="D18" s="27" t="str">
        <x:v>CONNECTS_TO</x:v>
      </x:c>
      <x:c r="E18" s="27" t="str">
        <x:v>S01-SEL-01:CROSS</x:v>
      </x:c>
      <x:c r="F18" s="27" t="str">
        <x:v>Language and communication; health; collaboration in science, arts, civics, and projects; responsible digital/financial decisions.</x:v>
      </x:c>
      <x:c r="G18" s="27" t="str">
        <x:v>S01</x:v>
      </x:c>
      <x:c r="H18" s="27" t="str">
        <x:v>Social-Emotional</x:v>
      </x:c>
      <x:c r="I18" s="27" t="str">
        <x:v>SRC02; SRC04; SRC05; SRC18</x:v>
      </x:c>
      <x:c r="J18" s="27" t="str">
        <x:v>Parallel subject and representation links.</x:v>
      </x:c>
    </x:row>
    <x:row r="19">
      <x:c r="A19" s="27" t="str">
        <x:v>E00015</x:v>
      </x:c>
      <x:c r="B19" s="27" t="str">
        <x:v>S01-SEL-01</x:v>
      </x:c>
      <x:c r="C19" s="27" t="str">
        <x:v>Co-regulation</x:v>
      </x:c>
      <x:c r="D19" s="27" t="str">
        <x:v>UNLOCKS</x:v>
      </x:c>
      <x:c r="E19" s="27" t="str">
        <x:v>S01-SEL-01:NEXT</x:v>
      </x:c>
      <x:c r="F19" s="27" t="str">
        <x:v>Repeated co-regulation supplies the pattern later used for self-regulation.</x:v>
      </x:c>
      <x:c r="G19" s="27" t="str">
        <x:v>S01</x:v>
      </x:c>
      <x:c r="H19" s="27" t="str">
        <x:v>Social-Emotional</x:v>
      </x:c>
      <x:c r="I19" s="27" t="str">
        <x:v>SRC02; SRC04; SRC05; SRC18</x:v>
      </x:c>
      <x:c r="J19" s="27" t="str">
        <x:v>Outgoing use and placement rationale.</x:v>
      </x:c>
    </x:row>
    <x:row r="20">
      <x:c r="A20" s="27" t="str">
        <x:v>E00016</x:v>
      </x:c>
      <x:c r="B20" s="27" t="str">
        <x:v>S01-SEL-01</x:v>
      </x:c>
      <x:c r="C20" s="27" t="str">
        <x:v>Co-regulation</x:v>
      </x:c>
      <x:c r="D20" s="27" t="str">
        <x:v>VERIFIED_BY</x:v>
      </x:c>
      <x:c r="E20" s="27" t="str">
        <x:v>S01-SEL-01:EVIDENCE</x:v>
      </x:c>
      <x:c r="F20" s="27" t="str">
        <x:v>Settles more readily during predictable, responsive care.</x:v>
      </x:c>
      <x:c r="G20" s="27" t="str">
        <x:v>S01</x:v>
      </x:c>
      <x:c r="H20" s="27" t="str">
        <x:v>Social-Emotional</x:v>
      </x:c>
      <x:c r="I20" s="27" t="str">
        <x:v>SRC02; SRC04; SRC05; SRC18</x:v>
      </x:c>
      <x:c r="J20" s="27" t="str">
        <x:v>Observable evidence of usable learning.</x:v>
      </x:c>
    </x:row>
    <x:row r="21">
      <x:c r="A21" s="27" t="str">
        <x:v>E00017</x:v>
      </x:c>
      <x:c r="B21" s="27" t="str">
        <x:v>S01-SEL-01</x:v>
      </x:c>
      <x:c r="C21" s="27" t="str">
        <x:v>Previous node in domain progression</x:v>
      </x:c>
      <x:c r="D21" s="27" t="str">
        <x:v>DOMAIN_SEQUENCE</x:v>
      </x:c>
      <x:c r="E21" s="27" t="str">
        <x:v>S01-SEL-02</x:v>
      </x:c>
      <x:c r="F21" s="27" t="str">
        <x:v>Face and voice preference</x:v>
      </x:c>
      <x:c r="G21" s="27" t="str">
        <x:v>S01</x:v>
      </x:c>
      <x:c r="H21" s="27" t="str">
        <x:v>Social-Emotional</x:v>
      </x:c>
      <x:c r="I21" s="27" t="str">
        <x:v>SRC02; SRC03</x:v>
      </x:c>
      <x:c r="J21" s="27" t="str">
        <x:v>Ordered spiral link; consult explicit prerequisites for logical dependency.</x:v>
      </x:c>
    </x:row>
    <x:row r="22">
      <x:c r="A22" s="27" t="str">
        <x:v>E00018</x:v>
      </x:c>
      <x:c r="B22" s="27" t="str">
        <x:v>S01-SEL-02:PREREQ</x:v>
      </x:c>
      <x:c r="C22" s="27" t="str">
        <x:v>Visual/auditory orientation and an alert state.</x:v>
      </x:c>
      <x:c r="D22" s="27" t="str">
        <x:v>PREREQUISITE</x:v>
      </x:c>
      <x:c r="E22" s="27" t="str">
        <x:v>S01-SEL-02</x:v>
      </x:c>
      <x:c r="F22" s="27" t="str">
        <x:v>Face and voice preference</x:v>
      </x:c>
      <x:c r="G22" s="27" t="str">
        <x:v>S01</x:v>
      </x:c>
      <x:c r="H22" s="27" t="str">
        <x:v>Social-Emotional</x:v>
      </x:c>
      <x:c r="I22" s="27" t="str">
        <x:v>SRC02; SRC03</x:v>
      </x:c>
      <x:c r="J22" s="27" t="str">
        <x:v>Incoming prerequisite relationship.</x:v>
      </x:c>
    </x:row>
    <x:row r="23">
      <x:c r="A23" s="27" t="str">
        <x:v>E00019</x:v>
      </x:c>
      <x:c r="B23" s="27" t="str">
        <x:v>S01-SEL-02:GROUND</x:v>
      </x:c>
      <x:c r="C23" s="27" t="str">
        <x:v>G1 — Regulated sensory event</x:v>
      </x:c>
      <x:c r="D23" s="27" t="str">
        <x:v>GROUNDED_BY</x:v>
      </x:c>
      <x:c r="E23" s="27" t="str">
        <x:v>S01-SEL-02</x:v>
      </x:c>
      <x:c r="F23" s="27" t="str">
        <x:v>Face and voice preference</x:v>
      </x:c>
      <x:c r="G23" s="27" t="str">
        <x:v>S01</x:v>
      </x:c>
      <x:c r="H23" s="27" t="str">
        <x:v>Social-Emotional</x:v>
      </x:c>
      <x:c r="I23" s="27" t="str">
        <x:v>SRC02; SRC03</x:v>
      </x:c>
      <x:c r="J23" s="27" t="str">
        <x:v>Grounding form used to preserve meaning.</x:v>
      </x:c>
    </x:row>
    <x:row r="24">
      <x:c r="A24" s="27" t="str">
        <x:v>E00020</x:v>
      </x:c>
      <x:c r="B24" s="27" t="str">
        <x:v>S01-SEL-02</x:v>
      </x:c>
      <x:c r="C24" s="27" t="str">
        <x:v>Face and voice preference</x:v>
      </x:c>
      <x:c r="D24" s="27" t="str">
        <x:v>CONNECTS_TO</x:v>
      </x:c>
      <x:c r="E24" s="27" t="str">
        <x:v>S01-SEL-02:CROSS</x:v>
      </x:c>
      <x:c r="F24" s="27" t="str">
        <x:v>Language and communication; health; collaboration in science, arts, civics, and projects; responsible digital/financial decisions.</x:v>
      </x:c>
      <x:c r="G24" s="27" t="str">
        <x:v>S01</x:v>
      </x:c>
      <x:c r="H24" s="27" t="str">
        <x:v>Social-Emotional</x:v>
      </x:c>
      <x:c r="I24" s="27" t="str">
        <x:v>SRC02; SRC03</x:v>
      </x:c>
      <x:c r="J24" s="27" t="str">
        <x:v>Parallel subject and representation links.</x:v>
      </x:c>
    </x:row>
    <x:row r="25">
      <x:c r="A25" s="27" t="str">
        <x:v>E00021</x:v>
      </x:c>
      <x:c r="B25" s="27" t="str">
        <x:v>S01-SEL-02</x:v>
      </x:c>
      <x:c r="C25" s="27" t="str">
        <x:v>Face and voice preference</x:v>
      </x:c>
      <x:c r="D25" s="27" t="str">
        <x:v>UNLOCKS</x:v>
      </x:c>
      <x:c r="E25" s="27" t="str">
        <x:v>S01-SEL-02:NEXT</x:v>
      </x:c>
      <x:c r="F25" s="27" t="str">
        <x:v>Social attention supports attachment, turn-taking, speech perception, and joint attention.</x:v>
      </x:c>
      <x:c r="G25" s="27" t="str">
        <x:v>S01</x:v>
      </x:c>
      <x:c r="H25" s="27" t="str">
        <x:v>Social-Emotional</x:v>
      </x:c>
      <x:c r="I25" s="27" t="str">
        <x:v>SRC02; SRC03</x:v>
      </x:c>
      <x:c r="J25" s="27" t="str">
        <x:v>Outgoing use and placement rationale.</x:v>
      </x:c>
    </x:row>
    <x:row r="26">
      <x:c r="A26" s="27" t="str">
        <x:v>E00022</x:v>
      </x:c>
      <x:c r="B26" s="27" t="str">
        <x:v>S01-SEL-02</x:v>
      </x:c>
      <x:c r="C26" s="27" t="str">
        <x:v>Face and voice preference</x:v>
      </x:c>
      <x:c r="D26" s="27" t="str">
        <x:v>VERIFIED_BY</x:v>
      </x:c>
      <x:c r="E26" s="27" t="str">
        <x:v>S01-SEL-02:EVIDENCE</x:v>
      </x:c>
      <x:c r="F26" s="27" t="str">
        <x:v>Looks at a caregiver’s face or quiets to a familiar voice for several seconds.</x:v>
      </x:c>
      <x:c r="G26" s="27" t="str">
        <x:v>S01</x:v>
      </x:c>
      <x:c r="H26" s="27" t="str">
        <x:v>Social-Emotional</x:v>
      </x:c>
      <x:c r="I26" s="27" t="str">
        <x:v>SRC02; SRC03</x:v>
      </x:c>
      <x:c r="J26" s="27" t="str">
        <x:v>Observable evidence of usable learning.</x:v>
      </x:c>
    </x:row>
    <x:row r="27">
      <x:c r="A27" s="27" t="str">
        <x:v>E00023</x:v>
      </x:c>
      <x:c r="B27" s="27" t="str">
        <x:v>S01-LANG-01:PREREQ</x:v>
      </x:c>
      <x:c r="C27" s="27" t="str">
        <x:v>Auditory access and responsive human speech.</x:v>
      </x:c>
      <x:c r="D27" s="27" t="str">
        <x:v>PREREQUISITE</x:v>
      </x:c>
      <x:c r="E27" s="27" t="str">
        <x:v>S01-LANG-01</x:v>
      </x:c>
      <x:c r="F27" s="27" t="str">
        <x:v>Speech-sound exposure</x:v>
      </x:c>
      <x:c r="G27" s="27" t="str">
        <x:v>S01</x:v>
      </x:c>
      <x:c r="H27" s="27" t="str">
        <x:v>Language &amp; Communication</x:v>
      </x:c>
      <x:c r="I27" s="27" t="str">
        <x:v>SRC02; SRC03; SRC04</x:v>
      </x:c>
      <x:c r="J27" s="27" t="str">
        <x:v>Incoming prerequisite relationship.</x:v>
      </x:c>
    </x:row>
    <x:row r="28">
      <x:c r="A28" s="27" t="str">
        <x:v>E00024</x:v>
      </x:c>
      <x:c r="B28" s="27" t="str">
        <x:v>S01-LANG-01:GROUND</x:v>
      </x:c>
      <x:c r="C28" s="27" t="str">
        <x:v>G1 — Regulated sensory event</x:v>
      </x:c>
      <x:c r="D28" s="27" t="str">
        <x:v>GROUNDED_BY</x:v>
      </x:c>
      <x:c r="E28" s="27" t="str">
        <x:v>S01-LANG-01</x:v>
      </x:c>
      <x:c r="F28" s="27" t="str">
        <x:v>Speech-sound exposure</x:v>
      </x:c>
      <x:c r="G28" s="27" t="str">
        <x:v>S01</x:v>
      </x:c>
      <x:c r="H28" s="27" t="str">
        <x:v>Language &amp; Communication</x:v>
      </x:c>
      <x:c r="I28" s="27" t="str">
        <x:v>SRC02; SRC03; SRC04</x:v>
      </x:c>
      <x:c r="J28" s="27" t="str">
        <x:v>Grounding form used to preserve meaning.</x:v>
      </x:c>
    </x:row>
    <x:row r="29">
      <x:c r="A29" s="27" t="str">
        <x:v>E00025</x:v>
      </x:c>
      <x:c r="B29" s="27" t="str">
        <x:v>S01-LANG-01</x:v>
      </x:c>
      <x:c r="C29" s="27" t="str">
        <x:v>Speech-sound exposure</x:v>
      </x:c>
      <x:c r="D29" s="27" t="str">
        <x:v>CONNECTS_TO</x:v>
      </x:c>
      <x:c r="E29" s="27" t="str">
        <x:v>S01-LANG-01:CROSS</x:v>
      </x:c>
      <x:c r="F29" s="27" t="str">
        <x:v>Reading and writing; vocabulary for math/science/social studies; discussion, music prosody, and world-language learning.</x:v>
      </x:c>
      <x:c r="G29" s="27" t="str">
        <x:v>S01</x:v>
      </x:c>
      <x:c r="H29" s="27" t="str">
        <x:v>Language &amp; Communication</x:v>
      </x:c>
      <x:c r="I29" s="27" t="str">
        <x:v>SRC02; SRC03; SRC04</x:v>
      </x:c>
      <x:c r="J29" s="27" t="str">
        <x:v>Parallel subject and representation links.</x:v>
      </x:c>
    </x:row>
    <x:row r="30">
      <x:c r="A30" s="27" t="str">
        <x:v>E00026</x:v>
      </x:c>
      <x:c r="B30" s="27" t="str">
        <x:v>S01-LANG-01</x:v>
      </x:c>
      <x:c r="C30" s="27" t="str">
        <x:v>Speech-sound exposure</x:v>
      </x:c>
      <x:c r="D30" s="27" t="str">
        <x:v>UNLOCKS</x:v>
      </x:c>
      <x:c r="E30" s="27" t="str">
        <x:v>S01-LANG-01:NEXT</x:v>
      </x:c>
      <x:c r="F30" s="27" t="str">
        <x:v>Repeated exposure builds the perceptual categories used in babbling, word recognition, and language learning.</x:v>
      </x:c>
      <x:c r="G30" s="27" t="str">
        <x:v>S01</x:v>
      </x:c>
      <x:c r="H30" s="27" t="str">
        <x:v>Language &amp; Communication</x:v>
      </x:c>
      <x:c r="I30" s="27" t="str">
        <x:v>SRC02; SRC03; SRC04</x:v>
      </x:c>
      <x:c r="J30" s="27" t="str">
        <x:v>Outgoing use and placement rationale.</x:v>
      </x:c>
    </x:row>
    <x:row r="31">
      <x:c r="A31" s="27" t="str">
        <x:v>E00027</x:v>
      </x:c>
      <x:c r="B31" s="27" t="str">
        <x:v>S01-LANG-01</x:v>
      </x:c>
      <x:c r="C31" s="27" t="str">
        <x:v>Speech-sound exposure</x:v>
      </x:c>
      <x:c r="D31" s="27" t="str">
        <x:v>VERIFIED_BY</x:v>
      </x:c>
      <x:c r="E31" s="27" t="str">
        <x:v>S01-LANG-01:EVIDENCE</x:v>
      </x:c>
      <x:c r="F31" s="27" t="str">
        <x:v>Changes movement or attention during speech and familiar vocal patterns.</x:v>
      </x:c>
      <x:c r="G31" s="27" t="str">
        <x:v>S01</x:v>
      </x:c>
      <x:c r="H31" s="27" t="str">
        <x:v>Language &amp; Communication</x:v>
      </x:c>
      <x:c r="I31" s="27" t="str">
        <x:v>SRC02; SRC03; SRC04</x:v>
      </x:c>
      <x:c r="J31" s="27" t="str">
        <x:v>Observable evidence of usable learning.</x:v>
      </x:c>
    </x:row>
    <x:row r="32">
      <x:c r="A32" s="27" t="str">
        <x:v>E00028</x:v>
      </x:c>
      <x:c r="B32" s="27" t="str">
        <x:v>S01-LANG-01</x:v>
      </x:c>
      <x:c r="C32" s="27" t="str">
        <x:v>Previous node in domain progression</x:v>
      </x:c>
      <x:c r="D32" s="27" t="str">
        <x:v>DOMAIN_SEQUENCE</x:v>
      </x:c>
      <x:c r="E32" s="27" t="str">
        <x:v>S01-LANG-02</x:v>
      </x:c>
      <x:c r="F32" s="27" t="str">
        <x:v>Reflexive vocal communication</x:v>
      </x:c>
      <x:c r="G32" s="27" t="str">
        <x:v>S01</x:v>
      </x:c>
      <x:c r="H32" s="27" t="str">
        <x:v>Language &amp; Communication</x:v>
      </x:c>
      <x:c r="I32" s="27" t="str">
        <x:v>SRC02; SRC03</x:v>
      </x:c>
      <x:c r="J32" s="27" t="str">
        <x:v>Ordered spiral link; consult explicit prerequisites for logical dependency.</x:v>
      </x:c>
    </x:row>
    <x:row r="33">
      <x:c r="A33" s="27" t="str">
        <x:v>E00029</x:v>
      </x:c>
      <x:c r="B33" s="27" t="str">
        <x:v>S01-LANG-02:PREREQ</x:v>
      </x:c>
      <x:c r="C33" s="27" t="str">
        <x:v>Breathing, voice production, and interaction.</x:v>
      </x:c>
      <x:c r="D33" s="27" t="str">
        <x:v>PREREQUISITE</x:v>
      </x:c>
      <x:c r="E33" s="27" t="str">
        <x:v>S01-LANG-02</x:v>
      </x:c>
      <x:c r="F33" s="27" t="str">
        <x:v>Reflexive vocal communication</x:v>
      </x:c>
      <x:c r="G33" s="27" t="str">
        <x:v>S01</x:v>
      </x:c>
      <x:c r="H33" s="27" t="str">
        <x:v>Language &amp; Communication</x:v>
      </x:c>
      <x:c r="I33" s="27" t="str">
        <x:v>SRC02; SRC03</x:v>
      </x:c>
      <x:c r="J33" s="27" t="str">
        <x:v>Incoming prerequisite relationship.</x:v>
      </x:c>
    </x:row>
    <x:row r="34">
      <x:c r="A34" s="27" t="str">
        <x:v>E00030</x:v>
      </x:c>
      <x:c r="B34" s="27" t="str">
        <x:v>S01-LANG-02:GROUND</x:v>
      </x:c>
      <x:c r="C34" s="27" t="str">
        <x:v>G1 — Regulated sensory event</x:v>
      </x:c>
      <x:c r="D34" s="27" t="str">
        <x:v>GROUNDED_BY</x:v>
      </x:c>
      <x:c r="E34" s="27" t="str">
        <x:v>S01-LANG-02</x:v>
      </x:c>
      <x:c r="F34" s="27" t="str">
        <x:v>Reflexive vocal communication</x:v>
      </x:c>
      <x:c r="G34" s="27" t="str">
        <x:v>S01</x:v>
      </x:c>
      <x:c r="H34" s="27" t="str">
        <x:v>Language &amp; Communication</x:v>
      </x:c>
      <x:c r="I34" s="27" t="str">
        <x:v>SRC02; SRC03</x:v>
      </x:c>
      <x:c r="J34" s="27" t="str">
        <x:v>Grounding form used to preserve meaning.</x:v>
      </x:c>
    </x:row>
    <x:row r="35">
      <x:c r="A35" s="27" t="str">
        <x:v>E00031</x:v>
      </x:c>
      <x:c r="B35" s="27" t="str">
        <x:v>S01-LANG-02</x:v>
      </x:c>
      <x:c r="C35" s="27" t="str">
        <x:v>Reflexive vocal communication</x:v>
      </x:c>
      <x:c r="D35" s="27" t="str">
        <x:v>CONNECTS_TO</x:v>
      </x:c>
      <x:c r="E35" s="27" t="str">
        <x:v>S01-LANG-02:CROSS</x:v>
      </x:c>
      <x:c r="F35" s="27" t="str">
        <x:v>Reading and writing; vocabulary for math/science/social studies; discussion, music prosody, and world-language learning.</x:v>
      </x:c>
      <x:c r="G35" s="27" t="str">
        <x:v>S01</x:v>
      </x:c>
      <x:c r="H35" s="27" t="str">
        <x:v>Language &amp; Communication</x:v>
      </x:c>
      <x:c r="I35" s="27" t="str">
        <x:v>SRC02; SRC03</x:v>
      </x:c>
      <x:c r="J35" s="27" t="str">
        <x:v>Parallel subject and representation links.</x:v>
      </x:c>
    </x:row>
    <x:row r="36">
      <x:c r="A36" s="27" t="str">
        <x:v>E00032</x:v>
      </x:c>
      <x:c r="B36" s="27" t="str">
        <x:v>S01-LANG-02</x:v>
      </x:c>
      <x:c r="C36" s="27" t="str">
        <x:v>Reflexive vocal communication</x:v>
      </x:c>
      <x:c r="D36" s="27" t="str">
        <x:v>UNLOCKS</x:v>
      </x:c>
      <x:c r="E36" s="27" t="str">
        <x:v>S01-LANG-02:NEXT</x:v>
      </x:c>
      <x:c r="F36" s="27" t="str">
        <x:v>Adult responses turn early sounds into reciprocal communication.</x:v>
      </x:c>
      <x:c r="G36" s="27" t="str">
        <x:v>S01</x:v>
      </x:c>
      <x:c r="H36" s="27" t="str">
        <x:v>Language &amp; Communication</x:v>
      </x:c>
      <x:c r="I36" s="27" t="str">
        <x:v>SRC02; SRC03</x:v>
      </x:c>
      <x:c r="J36" s="27" t="str">
        <x:v>Outgoing use and placement rationale.</x:v>
      </x:c>
    </x:row>
    <x:row r="37">
      <x:c r="A37" s="27" t="str">
        <x:v>E00033</x:v>
      </x:c>
      <x:c r="B37" s="27" t="str">
        <x:v>S01-LANG-02</x:v>
      </x:c>
      <x:c r="C37" s="27" t="str">
        <x:v>Reflexive vocal communication</x:v>
      </x:c>
      <x:c r="D37" s="27" t="str">
        <x:v>VERIFIED_BY</x:v>
      </x:c>
      <x:c r="E37" s="27" t="str">
        <x:v>S01-LANG-02:EVIDENCE</x:v>
      </x:c>
      <x:c r="F37" s="27" t="str">
        <x:v>Produces different vocal patterns across comfort, hunger, fatigue, or interaction.</x:v>
      </x:c>
      <x:c r="G37" s="27" t="str">
        <x:v>S01</x:v>
      </x:c>
      <x:c r="H37" s="27" t="str">
        <x:v>Language &amp; Communication</x:v>
      </x:c>
      <x:c r="I37" s="27" t="str">
        <x:v>SRC02; SRC03</x:v>
      </x:c>
      <x:c r="J37" s="27" t="str">
        <x:v>Observable evidence of usable learning.</x:v>
      </x:c>
    </x:row>
    <x:row r="38">
      <x:c r="A38" s="27" t="str">
        <x:v>E00034</x:v>
      </x:c>
      <x:c r="B38" s="27" t="str">
        <x:v>S01-MATH-01:PREREQ</x:v>
      </x:c>
      <x:c r="C38" s="27" t="str">
        <x:v>Sensory orientation and repeated experience.</x:v>
      </x:c>
      <x:c r="D38" s="27" t="str">
        <x:v>PREREQUISITE</x:v>
      </x:c>
      <x:c r="E38" s="27" t="str">
        <x:v>S01-MATH-01</x:v>
      </x:c>
      <x:c r="F38" s="27" t="str">
        <x:v>Temporal regularity</x:v>
      </x:c>
      <x:c r="G38" s="27" t="str">
        <x:v>S01</x:v>
      </x:c>
      <x:c r="H38" s="27" t="str">
        <x:v>Mathematics</x:v>
      </x:c>
      <x:c r="I38" s="27" t="str">
        <x:v>SRC02; SRC04; SRC07</x:v>
      </x:c>
      <x:c r="J38" s="27" t="str">
        <x:v>Incoming prerequisite relationship.</x:v>
      </x:c>
    </x:row>
    <x:row r="39">
      <x:c r="A39" s="27" t="str">
        <x:v>E00035</x:v>
      </x:c>
      <x:c r="B39" s="27" t="str">
        <x:v>S01-MATH-01:GROUND</x:v>
      </x:c>
      <x:c r="C39" s="27" t="str">
        <x:v>G1 — Regulated sensory event</x:v>
      </x:c>
      <x:c r="D39" s="27" t="str">
        <x:v>GROUNDED_BY</x:v>
      </x:c>
      <x:c r="E39" s="27" t="str">
        <x:v>S01-MATH-01</x:v>
      </x:c>
      <x:c r="F39" s="27" t="str">
        <x:v>Temporal regularity</x:v>
      </x:c>
      <x:c r="G39" s="27" t="str">
        <x:v>S01</x:v>
      </x:c>
      <x:c r="H39" s="27" t="str">
        <x:v>Mathematics</x:v>
      </x:c>
      <x:c r="I39" s="27" t="str">
        <x:v>SRC02; SRC04; SRC07</x:v>
      </x:c>
      <x:c r="J39" s="27" t="str">
        <x:v>Grounding form used to preserve meaning.</x:v>
      </x:c>
    </x:row>
    <x:row r="40">
      <x:c r="A40" s="27" t="str">
        <x:v>E00036</x:v>
      </x:c>
      <x:c r="B40" s="27" t="str">
        <x:v>S01-MATH-01</x:v>
      </x:c>
      <x:c r="C40" s="27" t="str">
        <x:v>Temporal regularity</x:v>
      </x:c>
      <x:c r="D40" s="27" t="str">
        <x:v>CONNECTS_TO</x:v>
      </x:c>
      <x:c r="E40" s="27" t="str">
        <x:v>S01-MATH-01:CROSS</x:v>
      </x:c>
      <x:c r="F40" s="27" t="str">
        <x:v>Physical quantity and spatial action; science measurement/models; computing/algorithms; finance; music rhythm/pattern; geographic data.</x:v>
      </x:c>
      <x:c r="G40" s="27" t="str">
        <x:v>S01</x:v>
      </x:c>
      <x:c r="H40" s="27" t="str">
        <x:v>Mathematics</x:v>
      </x:c>
      <x:c r="I40" s="27" t="str">
        <x:v>SRC02; SRC04; SRC07</x:v>
      </x:c>
      <x:c r="J40" s="27" t="str">
        <x:v>Parallel subject and representation links.</x:v>
      </x:c>
    </x:row>
    <x:row r="41">
      <x:c r="A41" s="27" t="str">
        <x:v>E00037</x:v>
      </x:c>
      <x:c r="B41" s="27" t="str">
        <x:v>S01-MATH-01</x:v>
      </x:c>
      <x:c r="C41" s="27" t="str">
        <x:v>Temporal regularity</x:v>
      </x:c>
      <x:c r="D41" s="27" t="str">
        <x:v>UNLOCKS</x:v>
      </x:c>
      <x:c r="E41" s="27" t="str">
        <x:v>S01-MATH-01:NEXT</x:v>
      </x:c>
      <x:c r="F41" s="27" t="str">
        <x:v>Prediction from repetition is a foundation for sequence, rhythm, and pattern recognition.</x:v>
      </x:c>
      <x:c r="G41" s="27" t="str">
        <x:v>S01</x:v>
      </x:c>
      <x:c r="H41" s="27" t="str">
        <x:v>Mathematics</x:v>
      </x:c>
      <x:c r="I41" s="27" t="str">
        <x:v>SRC02; SRC04; SRC07</x:v>
      </x:c>
      <x:c r="J41" s="27" t="str">
        <x:v>Outgoing use and placement rationale.</x:v>
      </x:c>
    </x:row>
    <x:row r="42">
      <x:c r="A42" s="27" t="str">
        <x:v>E00038</x:v>
      </x:c>
      <x:c r="B42" s="27" t="str">
        <x:v>S01-MATH-01</x:v>
      </x:c>
      <x:c r="C42" s="27" t="str">
        <x:v>Temporal regularity</x:v>
      </x:c>
      <x:c r="D42" s="27" t="str">
        <x:v>VERIFIED_BY</x:v>
      </x:c>
      <x:c r="E42" s="27" t="str">
        <x:v>S01-MATH-01:EVIDENCE</x:v>
      </x:c>
      <x:c r="F42" s="27" t="str">
        <x:v>Shows anticipation or settling during a familiar repeated routine.</x:v>
      </x:c>
      <x:c r="G42" s="27" t="str">
        <x:v>S01</x:v>
      </x:c>
      <x:c r="H42" s="27" t="str">
        <x:v>Mathematics</x:v>
      </x:c>
      <x:c r="I42" s="27" t="str">
        <x:v>SRC02; SRC04; SRC07</x:v>
      </x:c>
      <x:c r="J42" s="27" t="str">
        <x:v>Observable evidence of usable learning.</x:v>
      </x:c>
    </x:row>
    <x:row r="43">
      <x:c r="A43" s="27" t="str">
        <x:v>E00039</x:v>
      </x:c>
      <x:c r="B43" s="27" t="str">
        <x:v>S01-SCI-01:PREREQ</x:v>
      </x:c>
      <x:c r="C43" s="27" t="str">
        <x:v>Sensory orientation.</x:v>
      </x:c>
      <x:c r="D43" s="27" t="str">
        <x:v>PREREQUISITE</x:v>
      </x:c>
      <x:c r="E43" s="27" t="str">
        <x:v>S01-SCI-01</x:v>
      </x:c>
      <x:c r="F43" s="27" t="str">
        <x:v>Change detection</x:v>
      </x:c>
      <x:c r="G43" s="27" t="str">
        <x:v>S01</x:v>
      </x:c>
      <x:c r="H43" s="27" t="str">
        <x:v>Science &amp; Engineering</x:v>
      </x:c>
      <x:c r="I43" s="27" t="str">
        <x:v>SRC02; SRC04; SRC11</x:v>
      </x:c>
      <x:c r="J43" s="27" t="str">
        <x:v>Incoming prerequisite relationship.</x:v>
      </x:c>
    </x:row>
    <x:row r="44">
      <x:c r="A44" s="27" t="str">
        <x:v>E00040</x:v>
      </x:c>
      <x:c r="B44" s="27" t="str">
        <x:v>S01-SCI-01:GROUND</x:v>
      </x:c>
      <x:c r="C44" s="27" t="str">
        <x:v>G1 — Regulated sensory event</x:v>
      </x:c>
      <x:c r="D44" s="27" t="str">
        <x:v>GROUNDED_BY</x:v>
      </x:c>
      <x:c r="E44" s="27" t="str">
        <x:v>S01-SCI-01</x:v>
      </x:c>
      <x:c r="F44" s="27" t="str">
        <x:v>Change detection</x:v>
      </x:c>
      <x:c r="G44" s="27" t="str">
        <x:v>S01</x:v>
      </x:c>
      <x:c r="H44" s="27" t="str">
        <x:v>Science &amp; Engineering</x:v>
      </x:c>
      <x:c r="I44" s="27" t="str">
        <x:v>SRC02; SRC04; SRC11</x:v>
      </x:c>
      <x:c r="J44" s="27" t="str">
        <x:v>Grounding form used to preserve meaning.</x:v>
      </x:c>
    </x:row>
    <x:row r="45">
      <x:c r="A45" s="27" t="str">
        <x:v>E00041</x:v>
      </x:c>
      <x:c r="B45" s="27" t="str">
        <x:v>S01-SCI-01</x:v>
      </x:c>
      <x:c r="C45" s="27" t="str">
        <x:v>Change detection</x:v>
      </x:c>
      <x:c r="D45" s="27" t="str">
        <x:v>CONNECTS_TO</x:v>
      </x:c>
      <x:c r="E45" s="27" t="str">
        <x:v>S01-SCI-01:CROSS</x:v>
      </x:c>
      <x:c r="F45" s="27" t="str">
        <x:v>Sensory observation and action; mathematics/data; reading/writing evidence; computing/models; health and environmental/civic decisions.</x:v>
      </x:c>
      <x:c r="G45" s="27" t="str">
        <x:v>S01</x:v>
      </x:c>
      <x:c r="H45" s="27" t="str">
        <x:v>Science &amp; Engineering</x:v>
      </x:c>
      <x:c r="I45" s="27" t="str">
        <x:v>SRC02; SRC04; SRC11</x:v>
      </x:c>
      <x:c r="J45" s="27" t="str">
        <x:v>Parallel subject and representation links.</x:v>
      </x:c>
    </x:row>
    <x:row r="46">
      <x:c r="A46" s="27" t="str">
        <x:v>E00042</x:v>
      </x:c>
      <x:c r="B46" s="27" t="str">
        <x:v>S01-SCI-01</x:v>
      </x:c>
      <x:c r="C46" s="27" t="str">
        <x:v>Change detection</x:v>
      </x:c>
      <x:c r="D46" s="27" t="str">
        <x:v>UNLOCKS</x:v>
      </x:c>
      <x:c r="E46" s="27" t="str">
        <x:v>S01-SCI-01:NEXT</x:v>
      </x:c>
      <x:c r="F46" s="27" t="str">
        <x:v>Detecting change precedes comparison, cause–effect learning, and controlled observation.</x:v>
      </x:c>
      <x:c r="G46" s="27" t="str">
        <x:v>S01</x:v>
      </x:c>
      <x:c r="H46" s="27" t="str">
        <x:v>Science &amp; Engineering</x:v>
      </x:c>
      <x:c r="I46" s="27" t="str">
        <x:v>SRC02; SRC04; SRC11</x:v>
      </x:c>
      <x:c r="J46" s="27" t="str">
        <x:v>Outgoing use and placement rationale.</x:v>
      </x:c>
    </x:row>
    <x:row r="47">
      <x:c r="A47" s="27" t="str">
        <x:v>E00043</x:v>
      </x:c>
      <x:c r="B47" s="27" t="str">
        <x:v>S01-SCI-01</x:v>
      </x:c>
      <x:c r="C47" s="27" t="str">
        <x:v>Change detection</x:v>
      </x:c>
      <x:c r="D47" s="27" t="str">
        <x:v>VERIFIED_BY</x:v>
      </x:c>
      <x:c r="E47" s="27" t="str">
        <x:v>S01-SCI-01:EVIDENCE</x:v>
      </x:c>
      <x:c r="F47" s="27" t="str">
        <x:v>Changes gaze, movement, or arousal when a stimulus changes.</x:v>
      </x:c>
      <x:c r="G47" s="27" t="str">
        <x:v>S01</x:v>
      </x:c>
      <x:c r="H47" s="27" t="str">
        <x:v>Science &amp; Engineering</x:v>
      </x:c>
      <x:c r="I47" s="27" t="str">
        <x:v>SRC02; SRC04; SRC11</x:v>
      </x:c>
      <x:c r="J47" s="27" t="str">
        <x:v>Observable evidence of usable learning.</x:v>
      </x:c>
    </x:row>
    <x:row r="48">
      <x:c r="A48" s="27" t="str">
        <x:v>E00044</x:v>
      </x:c>
      <x:c r="B48" s="27" t="str">
        <x:v>S01-ARTS-01:PREREQ</x:v>
      </x:c>
      <x:c r="C48" s="27" t="str">
        <x:v>Auditory access and alertness.</x:v>
      </x:c>
      <x:c r="D48" s="27" t="str">
        <x:v>PREREQUISITE</x:v>
      </x:c>
      <x:c r="E48" s="27" t="str">
        <x:v>S01-ARTS-01</x:v>
      </x:c>
      <x:c r="F48" s="27" t="str">
        <x:v>Sound contour</x:v>
      </x:c>
      <x:c r="G48" s="27" t="str">
        <x:v>S01</x:v>
      </x:c>
      <x:c r="H48" s="27" t="str">
        <x:v>Music &amp; Arts</x:v>
      </x:c>
      <x:c r="I48" s="27" t="str">
        <x:v>SRC02; SRC13</x:v>
      </x:c>
      <x:c r="J48" s="27" t="str">
        <x:v>Incoming prerequisite relationship.</x:v>
      </x:c>
    </x:row>
    <x:row r="49">
      <x:c r="A49" s="27" t="str">
        <x:v>E00045</x:v>
      </x:c>
      <x:c r="B49" s="27" t="str">
        <x:v>S01-ARTS-01:GROUND</x:v>
      </x:c>
      <x:c r="C49" s="27" t="str">
        <x:v>G1 — Regulated sensory event</x:v>
      </x:c>
      <x:c r="D49" s="27" t="str">
        <x:v>GROUNDED_BY</x:v>
      </x:c>
      <x:c r="E49" s="27" t="str">
        <x:v>S01-ARTS-01</x:v>
      </x:c>
      <x:c r="F49" s="27" t="str">
        <x:v>Sound contour</x:v>
      </x:c>
      <x:c r="G49" s="27" t="str">
        <x:v>S01</x:v>
      </x:c>
      <x:c r="H49" s="27" t="str">
        <x:v>Music &amp; Arts</x:v>
      </x:c>
      <x:c r="I49" s="27" t="str">
        <x:v>SRC02; SRC13</x:v>
      </x:c>
      <x:c r="J49" s="27" t="str">
        <x:v>Grounding form used to preserve meaning.</x:v>
      </x:c>
    </x:row>
    <x:row r="50">
      <x:c r="A50" s="27" t="str">
        <x:v>E00046</x:v>
      </x:c>
      <x:c r="B50" s="27" t="str">
        <x:v>S01-ARTS-01</x:v>
      </x:c>
      <x:c r="C50" s="27" t="str">
        <x:v>Sound contour</x:v>
      </x:c>
      <x:c r="D50" s="27" t="str">
        <x:v>CONNECTS_TO</x:v>
      </x:c>
      <x:c r="E50" s="27" t="str">
        <x:v>S01-ARTS-01:CROSS</x:v>
      </x:c>
      <x:c r="F50" s="27" t="str">
        <x:v>Sensory discrimination; motor timing; language/prosody; mathematics/pattern; history/culture; emotion, design, and technology.</x:v>
      </x:c>
      <x:c r="G50" s="27" t="str">
        <x:v>S01</x:v>
      </x:c>
      <x:c r="H50" s="27" t="str">
        <x:v>Music &amp; Arts</x:v>
      </x:c>
      <x:c r="I50" s="27" t="str">
        <x:v>SRC02; SRC13</x:v>
      </x:c>
      <x:c r="J50" s="27" t="str">
        <x:v>Parallel subject and representation links.</x:v>
      </x:c>
    </x:row>
    <x:row r="51">
      <x:c r="A51" s="27" t="str">
        <x:v>E00047</x:v>
      </x:c>
      <x:c r="B51" s="27" t="str">
        <x:v>S01-ARTS-01</x:v>
      </x:c>
      <x:c r="C51" s="27" t="str">
        <x:v>Sound contour</x:v>
      </x:c>
      <x:c r="D51" s="27" t="str">
        <x:v>UNLOCKS</x:v>
      </x:c>
      <x:c r="E51" s="27" t="str">
        <x:v>S01-ARTS-01:NEXT</x:v>
      </x:c>
      <x:c r="F51" s="27" t="str">
        <x:v>Sound contours later support speech prosody, beat, melody, and musical response.</x:v>
      </x:c>
      <x:c r="G51" s="27" t="str">
        <x:v>S01</x:v>
      </x:c>
      <x:c r="H51" s="27" t="str">
        <x:v>Music &amp; Arts</x:v>
      </x:c>
      <x:c r="I51" s="27" t="str">
        <x:v>SRC02; SRC13</x:v>
      </x:c>
      <x:c r="J51" s="27" t="str">
        <x:v>Outgoing use and placement rationale.</x:v>
      </x:c>
    </x:row>
    <x:row r="52">
      <x:c r="A52" s="27" t="str">
        <x:v>E00048</x:v>
      </x:c>
      <x:c r="B52" s="27" t="str">
        <x:v>S01-ARTS-01</x:v>
      </x:c>
      <x:c r="C52" s="27" t="str">
        <x:v>Sound contour</x:v>
      </x:c>
      <x:c r="D52" s="27" t="str">
        <x:v>VERIFIED_BY</x:v>
      </x:c>
      <x:c r="E52" s="27" t="str">
        <x:v>S01-ARTS-01:EVIDENCE</x:v>
      </x:c>
      <x:c r="F52" s="27" t="str">
        <x:v>Stills, startles, relaxes, or moves differently to contrasting sounds.</x:v>
      </x:c>
      <x:c r="G52" s="27" t="str">
        <x:v>S01</x:v>
      </x:c>
      <x:c r="H52" s="27" t="str">
        <x:v>Music &amp; Arts</x:v>
      </x:c>
      <x:c r="I52" s="27" t="str">
        <x:v>SRC02; SRC13</x:v>
      </x:c>
      <x:c r="J52" s="27" t="str">
        <x:v>Observable evidence of usable learning.</x:v>
      </x:c>
    </x:row>
    <x:row r="53">
      <x:c r="A53" s="27" t="str">
        <x:v>E00049</x:v>
      </x:c>
      <x:c r="B53" s="27" t="str">
        <x:v>S01-HLTH-01:PREREQ</x:v>
      </x:c>
      <x:c r="C53" s="27" t="str">
        <x:v>Physiological stability and safe movement opportunity.</x:v>
      </x:c>
      <x:c r="D53" s="27" t="str">
        <x:v>PREREQUISITE</x:v>
      </x:c>
      <x:c r="E53" s="27" t="str">
        <x:v>S01-HLTH-01</x:v>
      </x:c>
      <x:c r="F53" s="27" t="str">
        <x:v>Head and limb activation</x:v>
      </x:c>
      <x:c r="G53" s="27" t="str">
        <x:v>S01</x:v>
      </x:c>
      <x:c r="H53" s="27" t="str">
        <x:v>Physical &amp; Health</x:v>
      </x:c>
      <x:c r="I53" s="27" t="str">
        <x:v>SRC02; SRC03; SRC14</x:v>
      </x:c>
      <x:c r="J53" s="27" t="str">
        <x:v>Incoming prerequisite relationship.</x:v>
      </x:c>
    </x:row>
    <x:row r="54">
      <x:c r="A54" s="27" t="str">
        <x:v>E00050</x:v>
      </x:c>
      <x:c r="B54" s="27" t="str">
        <x:v>S01-HLTH-01:GROUND</x:v>
      </x:c>
      <x:c r="C54" s="27" t="str">
        <x:v>G1 — Regulated sensory event</x:v>
      </x:c>
      <x:c r="D54" s="27" t="str">
        <x:v>GROUNDED_BY</x:v>
      </x:c>
      <x:c r="E54" s="27" t="str">
        <x:v>S01-HLTH-01</x:v>
      </x:c>
      <x:c r="F54" s="27" t="str">
        <x:v>Head and limb activation</x:v>
      </x:c>
      <x:c r="G54" s="27" t="str">
        <x:v>S01</x:v>
      </x:c>
      <x:c r="H54" s="27" t="str">
        <x:v>Physical &amp; Health</x:v>
      </x:c>
      <x:c r="I54" s="27" t="str">
        <x:v>SRC02; SRC03; SRC14</x:v>
      </x:c>
      <x:c r="J54" s="27" t="str">
        <x:v>Grounding form used to preserve meaning.</x:v>
      </x:c>
    </x:row>
    <x:row r="55">
      <x:c r="A55" s="27" t="str">
        <x:v>E00051</x:v>
      </x:c>
      <x:c r="B55" s="27" t="str">
        <x:v>S01-HLTH-01</x:v>
      </x:c>
      <x:c r="C55" s="27" t="str">
        <x:v>Head and limb activation</x:v>
      </x:c>
      <x:c r="D55" s="27" t="str">
        <x:v>CONNECTS_TO</x:v>
      </x:c>
      <x:c r="E55" s="27" t="str">
        <x:v>S01-HLTH-01:CROSS</x:v>
      </x:c>
      <x:c r="F55" s="27" t="str">
        <x:v>Motor/sensory development; life science; measurement/data; SEL/self-management; communication, safety, and decision-making.</x:v>
      </x:c>
      <x:c r="G55" s="27" t="str">
        <x:v>S01</x:v>
      </x:c>
      <x:c r="H55" s="27" t="str">
        <x:v>Physical &amp; Health</x:v>
      </x:c>
      <x:c r="I55" s="27" t="str">
        <x:v>SRC02; SRC03; SRC14</x:v>
      </x:c>
      <x:c r="J55" s="27" t="str">
        <x:v>Parallel subject and representation links.</x:v>
      </x:c>
    </x:row>
    <x:row r="56">
      <x:c r="A56" s="27" t="str">
        <x:v>E00052</x:v>
      </x:c>
      <x:c r="B56" s="27" t="str">
        <x:v>S01-HLTH-01</x:v>
      </x:c>
      <x:c r="C56" s="27" t="str">
        <x:v>Head and limb activation</x:v>
      </x:c>
      <x:c r="D56" s="27" t="str">
        <x:v>UNLOCKS</x:v>
      </x:c>
      <x:c r="E56" s="27" t="str">
        <x:v>S01-HLTH-01:NEXT</x:v>
      </x:c>
      <x:c r="F56" s="27" t="str">
        <x:v>Head control and symmetrical movement increase visual exploration and intentional reaching.</x:v>
      </x:c>
      <x:c r="G56" s="27" t="str">
        <x:v>S01</x:v>
      </x:c>
      <x:c r="H56" s="27" t="str">
        <x:v>Physical &amp; Health</x:v>
      </x:c>
      <x:c r="I56" s="27" t="str">
        <x:v>SRC02; SRC03; SRC14</x:v>
      </x:c>
      <x:c r="J56" s="27" t="str">
        <x:v>Outgoing use and placement rationale.</x:v>
      </x:c>
    </x:row>
    <x:row r="57">
      <x:c r="A57" s="27" t="str">
        <x:v>E00053</x:v>
      </x:c>
      <x:c r="B57" s="27" t="str">
        <x:v>S01-HLTH-01</x:v>
      </x:c>
      <x:c r="C57" s="27" t="str">
        <x:v>Head and limb activation</x:v>
      </x:c>
      <x:c r="D57" s="27" t="str">
        <x:v>VERIFIED_BY</x:v>
      </x:c>
      <x:c r="E57" s="27" t="str">
        <x:v>S01-HLTH-01:EVIDENCE</x:v>
      </x:c>
      <x:c r="F57" s="27" t="str">
        <x:v>Turns or briefly holds the head and moves limbs on both sides.</x:v>
      </x:c>
      <x:c r="G57" s="27" t="str">
        <x:v>S01</x:v>
      </x:c>
      <x:c r="H57" s="27" t="str">
        <x:v>Physical &amp; Health</x:v>
      </x:c>
      <x:c r="I57" s="27" t="str">
        <x:v>SRC02; SRC03; SRC14</x:v>
      </x:c>
      <x:c r="J57" s="27" t="str">
        <x:v>Observable evidence of usable learning.</x:v>
      </x:c>
    </x:row>
    <x:row r="58">
      <x:c r="A58" s="27" t="str">
        <x:v>E00054</x:v>
      </x:c>
      <x:c r="B58" s="27" t="str">
        <x:v>S01-LEARN-02</x:v>
      </x:c>
      <x:c r="C58" s="27" t="str">
        <x:v>Previous node in domain progression</x:v>
      </x:c>
      <x:c r="D58" s="27" t="str">
        <x:v>DOMAIN_SEQUENCE</x:v>
      </x:c>
      <x:c r="E58" s="27" t="str">
        <x:v>S02-LEARN-01</x:v>
      </x:c>
      <x:c r="F58" s="27" t="str">
        <x:v>Sustained visual tracking</x:v>
      </x:c>
      <x:c r="G58" s="27" t="str">
        <x:v>S02</x:v>
      </x:c>
      <x:c r="H58" s="27" t="str">
        <x:v>Learning Foundations</x:v>
      </x:c>
      <x:c r="I58" s="27" t="str">
        <x:v>SRC02; SRC03</x:v>
      </x:c>
      <x:c r="J58" s="27" t="str">
        <x:v>Ordered spiral link; consult explicit prerequisites for logical dependency.</x:v>
      </x:c>
    </x:row>
    <x:row r="59">
      <x:c r="A59" s="27" t="str">
        <x:v>E00055</x:v>
      </x:c>
      <x:c r="B59" s="27" t="str">
        <x:v>S02-LEARN-01:PREREQ</x:v>
      </x:c>
      <x:c r="C59" s="27" t="str">
        <x:v>Sensory orientation and improving head control.</x:v>
      </x:c>
      <x:c r="D59" s="27" t="str">
        <x:v>PREREQUISITE</x:v>
      </x:c>
      <x:c r="E59" s="27" t="str">
        <x:v>S02-LEARN-01</x:v>
      </x:c>
      <x:c r="F59" s="27" t="str">
        <x:v>Sustained visual tracking</x:v>
      </x:c>
      <x:c r="G59" s="27" t="str">
        <x:v>S02</x:v>
      </x:c>
      <x:c r="H59" s="27" t="str">
        <x:v>Learning Foundations</x:v>
      </x:c>
      <x:c r="I59" s="27" t="str">
        <x:v>SRC02; SRC03</x:v>
      </x:c>
      <x:c r="J59" s="27" t="str">
        <x:v>Incoming prerequisite relationship.</x:v>
      </x:c>
    </x:row>
    <x:row r="60">
      <x:c r="A60" s="27" t="str">
        <x:v>E00056</x:v>
      </x:c>
      <x:c r="B60" s="27" t="str">
        <x:v>S02-LEARN-01:GROUND</x:v>
      </x:c>
      <x:c r="C60" s="27" t="str">
        <x:v>G1 — Regulated sensory event</x:v>
      </x:c>
      <x:c r="D60" s="27" t="str">
        <x:v>GROUNDED_BY</x:v>
      </x:c>
      <x:c r="E60" s="27" t="str">
        <x:v>S02-LEARN-01</x:v>
      </x:c>
      <x:c r="F60" s="27" t="str">
        <x:v>Sustained visual tracking</x:v>
      </x:c>
      <x:c r="G60" s="27" t="str">
        <x:v>S02</x:v>
      </x:c>
      <x:c r="H60" s="27" t="str">
        <x:v>Learning Foundations</x:v>
      </x:c>
      <x:c r="I60" s="27" t="str">
        <x:v>SRC02; SRC03</x:v>
      </x:c>
      <x:c r="J60" s="27" t="str">
        <x:v>Grounding form used to preserve meaning.</x:v>
      </x:c>
    </x:row>
    <x:row r="61">
      <x:c r="A61" s="27" t="str">
        <x:v>E00057</x:v>
      </x:c>
      <x:c r="B61" s="27" t="str">
        <x:v>S02-LEARN-01</x:v>
      </x:c>
      <x:c r="C61" s="27" t="str">
        <x:v>Sustained visual tracking</x:v>
      </x:c>
      <x:c r="D61" s="27" t="str">
        <x:v>CONNECTS_TO</x:v>
      </x:c>
      <x:c r="E61" s="27" t="str">
        <x:v>S02-LEARN-01:CROSS</x:v>
      </x:c>
      <x:c r="F61" s="27" t="str">
        <x:v>All domains: attention, memory, strategy choice, monitoring, retrieval, and transfer.</x:v>
      </x:c>
      <x:c r="G61" s="27" t="str">
        <x:v>S02</x:v>
      </x:c>
      <x:c r="H61" s="27" t="str">
        <x:v>Learning Foundations</x:v>
      </x:c>
      <x:c r="I61" s="27" t="str">
        <x:v>SRC02; SRC03</x:v>
      </x:c>
      <x:c r="J61" s="27" t="str">
        <x:v>Parallel subject and representation links.</x:v>
      </x:c>
    </x:row>
    <x:row r="62">
      <x:c r="A62" s="27" t="str">
        <x:v>E00058</x:v>
      </x:c>
      <x:c r="B62" s="27" t="str">
        <x:v>S02-LEARN-01</x:v>
      </x:c>
      <x:c r="C62" s="27" t="str">
        <x:v>Sustained visual tracking</x:v>
      </x:c>
      <x:c r="D62" s="27" t="str">
        <x:v>UNLOCKS</x:v>
      </x:c>
      <x:c r="E62" s="27" t="str">
        <x:v>S02-LEARN-01:NEXT</x:v>
      </x:c>
      <x:c r="F62" s="27" t="str">
        <x:v>Tracking supports object continuity, reaching, shared attention, and visual scanning for reading.</x:v>
      </x:c>
      <x:c r="G62" s="27" t="str">
        <x:v>S02</x:v>
      </x:c>
      <x:c r="H62" s="27" t="str">
        <x:v>Learning Foundations</x:v>
      </x:c>
      <x:c r="I62" s="27" t="str">
        <x:v>SRC02; SRC03</x:v>
      </x:c>
      <x:c r="J62" s="27" t="str">
        <x:v>Outgoing use and placement rationale.</x:v>
      </x:c>
    </x:row>
    <x:row r="63">
      <x:c r="A63" s="27" t="str">
        <x:v>E00059</x:v>
      </x:c>
      <x:c r="B63" s="27" t="str">
        <x:v>S02-LEARN-01</x:v>
      </x:c>
      <x:c r="C63" s="27" t="str">
        <x:v>Sustained visual tracking</x:v>
      </x:c>
      <x:c r="D63" s="27" t="str">
        <x:v>VERIFIED_BY</x:v>
      </x:c>
      <x:c r="E63" s="27" t="str">
        <x:v>S02-LEARN-01:EVIDENCE</x:v>
      </x:c>
      <x:c r="F63" s="27" t="str">
        <x:v>Follows a face or object across part of the visual field.</x:v>
      </x:c>
      <x:c r="G63" s="27" t="str">
        <x:v>S02</x:v>
      </x:c>
      <x:c r="H63" s="27" t="str">
        <x:v>Learning Foundations</x:v>
      </x:c>
      <x:c r="I63" s="27" t="str">
        <x:v>SRC02; SRC03</x:v>
      </x:c>
      <x:c r="J63" s="27" t="str">
        <x:v>Observable evidence of usable learning.</x:v>
      </x:c>
    </x:row>
    <x:row r="64">
      <x:c r="A64" s="27" t="str">
        <x:v>E00060</x:v>
      </x:c>
      <x:c r="B64" s="27" t="str">
        <x:v>S02-LEARN-01</x:v>
      </x:c>
      <x:c r="C64" s="27" t="str">
        <x:v>Previous node in domain progression</x:v>
      </x:c>
      <x:c r="D64" s="27" t="str">
        <x:v>DOMAIN_SEQUENCE</x:v>
      </x:c>
      <x:c r="E64" s="27" t="str">
        <x:v>S02-LEARN-02</x:v>
      </x:c>
      <x:c r="F64" s="27" t="str">
        <x:v>Familiarity recognition</x:v>
      </x:c>
      <x:c r="G64" s="27" t="str">
        <x:v>S02</x:v>
      </x:c>
      <x:c r="H64" s="27" t="str">
        <x:v>Learning Foundations</x:v>
      </x:c>
      <x:c r="I64" s="27" t="str">
        <x:v>SRC02; SRC04</x:v>
      </x:c>
      <x:c r="J64" s="27" t="str">
        <x:v>Ordered spiral link; consult explicit prerequisites for logical dependency.</x:v>
      </x:c>
    </x:row>
    <x:row r="65">
      <x:c r="A65" s="27" t="str">
        <x:v>E00061</x:v>
      </x:c>
      <x:c r="B65" s="27" t="str">
        <x:v>S02-LEARN-02:PREREQ</x:v>
      </x:c>
      <x:c r="C65" s="27" t="str">
        <x:v>Repeated sensory exposure.</x:v>
      </x:c>
      <x:c r="D65" s="27" t="str">
        <x:v>PREREQUISITE</x:v>
      </x:c>
      <x:c r="E65" s="27" t="str">
        <x:v>S02-LEARN-02</x:v>
      </x:c>
      <x:c r="F65" s="27" t="str">
        <x:v>Familiarity recognition</x:v>
      </x:c>
      <x:c r="G65" s="27" t="str">
        <x:v>S02</x:v>
      </x:c>
      <x:c r="H65" s="27" t="str">
        <x:v>Learning Foundations</x:v>
      </x:c>
      <x:c r="I65" s="27" t="str">
        <x:v>SRC02; SRC04</x:v>
      </x:c>
      <x:c r="J65" s="27" t="str">
        <x:v>Incoming prerequisite relationship.</x:v>
      </x:c>
    </x:row>
    <x:row r="66">
      <x:c r="A66" s="27" t="str">
        <x:v>E00062</x:v>
      </x:c>
      <x:c r="B66" s="27" t="str">
        <x:v>S02-LEARN-02:GROUND</x:v>
      </x:c>
      <x:c r="C66" s="27" t="str">
        <x:v>G1 — Regulated sensory event</x:v>
      </x:c>
      <x:c r="D66" s="27" t="str">
        <x:v>GROUNDED_BY</x:v>
      </x:c>
      <x:c r="E66" s="27" t="str">
        <x:v>S02-LEARN-02</x:v>
      </x:c>
      <x:c r="F66" s="27" t="str">
        <x:v>Familiarity recognition</x:v>
      </x:c>
      <x:c r="G66" s="27" t="str">
        <x:v>S02</x:v>
      </x:c>
      <x:c r="H66" s="27" t="str">
        <x:v>Learning Foundations</x:v>
      </x:c>
      <x:c r="I66" s="27" t="str">
        <x:v>SRC02; SRC04</x:v>
      </x:c>
      <x:c r="J66" s="27" t="str">
        <x:v>Grounding form used to preserve meaning.</x:v>
      </x:c>
    </x:row>
    <x:row r="67">
      <x:c r="A67" s="27" t="str">
        <x:v>E00063</x:v>
      </x:c>
      <x:c r="B67" s="27" t="str">
        <x:v>S02-LEARN-02</x:v>
      </x:c>
      <x:c r="C67" s="27" t="str">
        <x:v>Familiarity recognition</x:v>
      </x:c>
      <x:c r="D67" s="27" t="str">
        <x:v>CONNECTS_TO</x:v>
      </x:c>
      <x:c r="E67" s="27" t="str">
        <x:v>S02-LEARN-02:CROSS</x:v>
      </x:c>
      <x:c r="F67" s="27" t="str">
        <x:v>All domains: attention, memory, strategy choice, monitoring, retrieval, and transfer.</x:v>
      </x:c>
      <x:c r="G67" s="27" t="str">
        <x:v>S02</x:v>
      </x:c>
      <x:c r="H67" s="27" t="str">
        <x:v>Learning Foundations</x:v>
      </x:c>
      <x:c r="I67" s="27" t="str">
        <x:v>SRC02; SRC04</x:v>
      </x:c>
      <x:c r="J67" s="27" t="str">
        <x:v>Parallel subject and representation links.</x:v>
      </x:c>
    </x:row>
    <x:row r="68">
      <x:c r="A68" s="27" t="str">
        <x:v>E00064</x:v>
      </x:c>
      <x:c r="B68" s="27" t="str">
        <x:v>S02-LEARN-02</x:v>
      </x:c>
      <x:c r="C68" s="27" t="str">
        <x:v>Familiarity recognition</x:v>
      </x:c>
      <x:c r="D68" s="27" t="str">
        <x:v>UNLOCKS</x:v>
      </x:c>
      <x:c r="E68" s="27" t="str">
        <x:v>S02-LEARN-02:NEXT</x:v>
      </x:c>
      <x:c r="F68" s="27" t="str">
        <x:v>Recognition memory supports prediction, category formation, and secure participation.</x:v>
      </x:c>
      <x:c r="G68" s="27" t="str">
        <x:v>S02</x:v>
      </x:c>
      <x:c r="H68" s="27" t="str">
        <x:v>Learning Foundations</x:v>
      </x:c>
      <x:c r="I68" s="27" t="str">
        <x:v>SRC02; SRC04</x:v>
      </x:c>
      <x:c r="J68" s="27" t="str">
        <x:v>Outgoing use and placement rationale.</x:v>
      </x:c>
    </x:row>
    <x:row r="69">
      <x:c r="A69" s="27" t="str">
        <x:v>E00065</x:v>
      </x:c>
      <x:c r="B69" s="27" t="str">
        <x:v>S02-LEARN-02</x:v>
      </x:c>
      <x:c r="C69" s="27" t="str">
        <x:v>Familiarity recognition</x:v>
      </x:c>
      <x:c r="D69" s="27" t="str">
        <x:v>VERIFIED_BY</x:v>
      </x:c>
      <x:c r="E69" s="27" t="str">
        <x:v>S02-LEARN-02:EVIDENCE</x:v>
      </x:c>
      <x:c r="F69" s="27" t="str">
        <x:v>Shows longer attention, calming, or anticipation with a familiar person or routine.</x:v>
      </x:c>
      <x:c r="G69" s="27" t="str">
        <x:v>S02</x:v>
      </x:c>
      <x:c r="H69" s="27" t="str">
        <x:v>Learning Foundations</x:v>
      </x:c>
      <x:c r="I69" s="27" t="str">
        <x:v>SRC02; SRC04</x:v>
      </x:c>
      <x:c r="J69" s="27" t="str">
        <x:v>Observable evidence of usable learning.</x:v>
      </x:c>
    </x:row>
    <x:row r="70">
      <x:c r="A70" s="27" t="str">
        <x:v>E00066</x:v>
      </x:c>
      <x:c r="B70" s="27" t="str">
        <x:v>S01-SEL-02</x:v>
      </x:c>
      <x:c r="C70" s="27" t="str">
        <x:v>Previous node in domain progression</x:v>
      </x:c>
      <x:c r="D70" s="27" t="str">
        <x:v>DOMAIN_SEQUENCE</x:v>
      </x:c>
      <x:c r="E70" s="27" t="str">
        <x:v>S02-SEL-01</x:v>
      </x:c>
      <x:c r="F70" s="27" t="str">
        <x:v>Social smiling</x:v>
      </x:c>
      <x:c r="G70" s="27" t="str">
        <x:v>S02</x:v>
      </x:c>
      <x:c r="H70" s="27" t="str">
        <x:v>Social-Emotional</x:v>
      </x:c>
      <x:c r="I70" s="27" t="str">
        <x:v>SRC02; SRC03; SRC18</x:v>
      </x:c>
      <x:c r="J70" s="27" t="str">
        <x:v>Ordered spiral link; consult explicit prerequisites for logical dependency.</x:v>
      </x:c>
    </x:row>
    <x:row r="71">
      <x:c r="A71" s="27" t="str">
        <x:v>E00067</x:v>
      </x:c>
      <x:c r="B71" s="27" t="str">
        <x:v>S02-SEL-01:PREREQ</x:v>
      </x:c>
      <x:c r="C71" s="27" t="str">
        <x:v>Social attention and regulated alertness.</x:v>
      </x:c>
      <x:c r="D71" s="27" t="str">
        <x:v>PREREQUISITE</x:v>
      </x:c>
      <x:c r="E71" s="27" t="str">
        <x:v>S02-SEL-01</x:v>
      </x:c>
      <x:c r="F71" s="27" t="str">
        <x:v>Social smiling</x:v>
      </x:c>
      <x:c r="G71" s="27" t="str">
        <x:v>S02</x:v>
      </x:c>
      <x:c r="H71" s="27" t="str">
        <x:v>Social-Emotional</x:v>
      </x:c>
      <x:c r="I71" s="27" t="str">
        <x:v>SRC02; SRC03; SRC18</x:v>
      </x:c>
      <x:c r="J71" s="27" t="str">
        <x:v>Incoming prerequisite relationship.</x:v>
      </x:c>
    </x:row>
    <x:row r="72">
      <x:c r="A72" s="27" t="str">
        <x:v>E00068</x:v>
      </x:c>
      <x:c r="B72" s="27" t="str">
        <x:v>S02-SEL-01:GROUND</x:v>
      </x:c>
      <x:c r="C72" s="27" t="str">
        <x:v>G1 — Regulated sensory event</x:v>
      </x:c>
      <x:c r="D72" s="27" t="str">
        <x:v>GROUNDED_BY</x:v>
      </x:c>
      <x:c r="E72" s="27" t="str">
        <x:v>S02-SEL-01</x:v>
      </x:c>
      <x:c r="F72" s="27" t="str">
        <x:v>Social smiling</x:v>
      </x:c>
      <x:c r="G72" s="27" t="str">
        <x:v>S02</x:v>
      </x:c>
      <x:c r="H72" s="27" t="str">
        <x:v>Social-Emotional</x:v>
      </x:c>
      <x:c r="I72" s="27" t="str">
        <x:v>SRC02; SRC03; SRC18</x:v>
      </x:c>
      <x:c r="J72" s="27" t="str">
        <x:v>Grounding form used to preserve meaning.</x:v>
      </x:c>
    </x:row>
    <x:row r="73">
      <x:c r="A73" s="27" t="str">
        <x:v>E00069</x:v>
      </x:c>
      <x:c r="B73" s="27" t="str">
        <x:v>S02-SEL-01</x:v>
      </x:c>
      <x:c r="C73" s="27" t="str">
        <x:v>Social smiling</x:v>
      </x:c>
      <x:c r="D73" s="27" t="str">
        <x:v>CONNECTS_TO</x:v>
      </x:c>
      <x:c r="E73" s="27" t="str">
        <x:v>S02-SEL-01:CROSS</x:v>
      </x:c>
      <x:c r="F73" s="27" t="str">
        <x:v>Language and communication; health; collaboration in science, arts, civics, and projects; responsible digital/financial decisions.</x:v>
      </x:c>
      <x:c r="G73" s="27" t="str">
        <x:v>S02</x:v>
      </x:c>
      <x:c r="H73" s="27" t="str">
        <x:v>Social-Emotional</x:v>
      </x:c>
      <x:c r="I73" s="27" t="str">
        <x:v>SRC02; SRC03; SRC18</x:v>
      </x:c>
      <x:c r="J73" s="27" t="str">
        <x:v>Parallel subject and representation links.</x:v>
      </x:c>
    </x:row>
    <x:row r="74">
      <x:c r="A74" s="27" t="str">
        <x:v>E00070</x:v>
      </x:c>
      <x:c r="B74" s="27" t="str">
        <x:v>S02-SEL-01</x:v>
      </x:c>
      <x:c r="C74" s="27" t="str">
        <x:v>Social smiling</x:v>
      </x:c>
      <x:c r="D74" s="27" t="str">
        <x:v>UNLOCKS</x:v>
      </x:c>
      <x:c r="E74" s="27" t="str">
        <x:v>S02-SEL-01:NEXT</x:v>
      </x:c>
      <x:c r="F74" s="27" t="str">
        <x:v>Contingent smiling establishes repeated social turn-taking.</x:v>
      </x:c>
      <x:c r="G74" s="27" t="str">
        <x:v>S02</x:v>
      </x:c>
      <x:c r="H74" s="27" t="str">
        <x:v>Social-Emotional</x:v>
      </x:c>
      <x:c r="I74" s="27" t="str">
        <x:v>SRC02; SRC03; SRC18</x:v>
      </x:c>
      <x:c r="J74" s="27" t="str">
        <x:v>Outgoing use and placement rationale.</x:v>
      </x:c>
    </x:row>
    <x:row r="75">
      <x:c r="A75" s="27" t="str">
        <x:v>E00071</x:v>
      </x:c>
      <x:c r="B75" s="27" t="str">
        <x:v>S02-SEL-01</x:v>
      </x:c>
      <x:c r="C75" s="27" t="str">
        <x:v>Social smiling</x:v>
      </x:c>
      <x:c r="D75" s="27" t="str">
        <x:v>VERIFIED_BY</x:v>
      </x:c>
      <x:c r="E75" s="27" t="str">
        <x:v>S02-SEL-01:EVIDENCE</x:v>
      </x:c>
      <x:c r="F75" s="27" t="str">
        <x:v>Smiles after a caregiver approaches, talks, or smiles.</x:v>
      </x:c>
      <x:c r="G75" s="27" t="str">
        <x:v>S02</x:v>
      </x:c>
      <x:c r="H75" s="27" t="str">
        <x:v>Social-Emotional</x:v>
      </x:c>
      <x:c r="I75" s="27" t="str">
        <x:v>SRC02; SRC03; SRC18</x:v>
      </x:c>
      <x:c r="J75" s="27" t="str">
        <x:v>Observable evidence of usable learning.</x:v>
      </x:c>
    </x:row>
    <x:row r="76">
      <x:c r="A76" s="27" t="str">
        <x:v>E00072</x:v>
      </x:c>
      <x:c r="B76" s="27" t="str">
        <x:v>S01-LANG-02</x:v>
      </x:c>
      <x:c r="C76" s="27" t="str">
        <x:v>Previous node in domain progression</x:v>
      </x:c>
      <x:c r="D76" s="27" t="str">
        <x:v>DOMAIN_SEQUENCE</x:v>
      </x:c>
      <x:c r="E76" s="27" t="str">
        <x:v>S02-LANG-01</x:v>
      </x:c>
      <x:c r="F76" s="27" t="str">
        <x:v>Vocal turn-taking</x:v>
      </x:c>
      <x:c r="G76" s="27" t="str">
        <x:v>S02</x:v>
      </x:c>
      <x:c r="H76" s="27" t="str">
        <x:v>Language &amp; Communication</x:v>
      </x:c>
      <x:c r="I76" s="27" t="str">
        <x:v>SRC02; SRC03</x:v>
      </x:c>
      <x:c r="J76" s="27" t="str">
        <x:v>Ordered spiral link; consult explicit prerequisites for logical dependency.</x:v>
      </x:c>
    </x:row>
    <x:row r="77">
      <x:c r="A77" s="27" t="str">
        <x:v>E00073</x:v>
      </x:c>
      <x:c r="B77" s="27" t="str">
        <x:v>S02-LANG-01:PREREQ</x:v>
      </x:c>
      <x:c r="C77" s="27" t="str">
        <x:v>Speech exposure, social attention, and adult response.</x:v>
      </x:c>
      <x:c r="D77" s="27" t="str">
        <x:v>PREREQUISITE</x:v>
      </x:c>
      <x:c r="E77" s="27" t="str">
        <x:v>S02-LANG-01</x:v>
      </x:c>
      <x:c r="F77" s="27" t="str">
        <x:v>Vocal turn-taking</x:v>
      </x:c>
      <x:c r="G77" s="27" t="str">
        <x:v>S02</x:v>
      </x:c>
      <x:c r="H77" s="27" t="str">
        <x:v>Language &amp; Communication</x:v>
      </x:c>
      <x:c r="I77" s="27" t="str">
        <x:v>SRC02; SRC03</x:v>
      </x:c>
      <x:c r="J77" s="27" t="str">
        <x:v>Incoming prerequisite relationship.</x:v>
      </x:c>
    </x:row>
    <x:row r="78">
      <x:c r="A78" s="27" t="str">
        <x:v>E00074</x:v>
      </x:c>
      <x:c r="B78" s="27" t="str">
        <x:v>S02-LANG-01:GROUND</x:v>
      </x:c>
      <x:c r="C78" s="27" t="str">
        <x:v>G1 — Regulated sensory event</x:v>
      </x:c>
      <x:c r="D78" s="27" t="str">
        <x:v>GROUNDED_BY</x:v>
      </x:c>
      <x:c r="E78" s="27" t="str">
        <x:v>S02-LANG-01</x:v>
      </x:c>
      <x:c r="F78" s="27" t="str">
        <x:v>Vocal turn-taking</x:v>
      </x:c>
      <x:c r="G78" s="27" t="str">
        <x:v>S02</x:v>
      </x:c>
      <x:c r="H78" s="27" t="str">
        <x:v>Language &amp; Communication</x:v>
      </x:c>
      <x:c r="I78" s="27" t="str">
        <x:v>SRC02; SRC03</x:v>
      </x:c>
      <x:c r="J78" s="27" t="str">
        <x:v>Grounding form used to preserve meaning.</x:v>
      </x:c>
    </x:row>
    <x:row r="79">
      <x:c r="A79" s="27" t="str">
        <x:v>E00075</x:v>
      </x:c>
      <x:c r="B79" s="27" t="str">
        <x:v>S02-LANG-01</x:v>
      </x:c>
      <x:c r="C79" s="27" t="str">
        <x:v>Vocal turn-taking</x:v>
      </x:c>
      <x:c r="D79" s="27" t="str">
        <x:v>CONNECTS_TO</x:v>
      </x:c>
      <x:c r="E79" s="27" t="str">
        <x:v>S02-LANG-01:CROSS</x:v>
      </x:c>
      <x:c r="F79" s="27" t="str">
        <x:v>Reading and writing; vocabulary for math/science/social studies; discussion, music prosody, and world-language learning.</x:v>
      </x:c>
      <x:c r="G79" s="27" t="str">
        <x:v>S02</x:v>
      </x:c>
      <x:c r="H79" s="27" t="str">
        <x:v>Language &amp; Communication</x:v>
      </x:c>
      <x:c r="I79" s="27" t="str">
        <x:v>SRC02; SRC03</x:v>
      </x:c>
      <x:c r="J79" s="27" t="str">
        <x:v>Parallel subject and representation links.</x:v>
      </x:c>
    </x:row>
    <x:row r="80">
      <x:c r="A80" s="27" t="str">
        <x:v>E00076</x:v>
      </x:c>
      <x:c r="B80" s="27" t="str">
        <x:v>S02-LANG-01</x:v>
      </x:c>
      <x:c r="C80" s="27" t="str">
        <x:v>Vocal turn-taking</x:v>
      </x:c>
      <x:c r="D80" s="27" t="str">
        <x:v>UNLOCKS</x:v>
      </x:c>
      <x:c r="E80" s="27" t="str">
        <x:v>S02-LANG-01:NEXT</x:v>
      </x:c>
      <x:c r="F80" s="27" t="str">
        <x:v>Alternating vocal turns becomes the timing structure for conversation.</x:v>
      </x:c>
      <x:c r="G80" s="27" t="str">
        <x:v>S02</x:v>
      </x:c>
      <x:c r="H80" s="27" t="str">
        <x:v>Language &amp; Communication</x:v>
      </x:c>
      <x:c r="I80" s="27" t="str">
        <x:v>SRC02; SRC03</x:v>
      </x:c>
      <x:c r="J80" s="27" t="str">
        <x:v>Outgoing use and placement rationale.</x:v>
      </x:c>
    </x:row>
    <x:row r="81">
      <x:c r="A81" s="27" t="str">
        <x:v>E00077</x:v>
      </x:c>
      <x:c r="B81" s="27" t="str">
        <x:v>S02-LANG-01</x:v>
      </x:c>
      <x:c r="C81" s="27" t="str">
        <x:v>Vocal turn-taking</x:v>
      </x:c>
      <x:c r="D81" s="27" t="str">
        <x:v>VERIFIED_BY</x:v>
      </x:c>
      <x:c r="E81" s="27" t="str">
        <x:v>S02-LANG-01:EVIDENCE</x:v>
      </x:c>
      <x:c r="F81" s="27" t="str">
        <x:v>Makes a sound after an adult vocalizes and pauses for a response.</x:v>
      </x:c>
      <x:c r="G81" s="27" t="str">
        <x:v>S02</x:v>
      </x:c>
      <x:c r="H81" s="27" t="str">
        <x:v>Language &amp; Communication</x:v>
      </x:c>
      <x:c r="I81" s="27" t="str">
        <x:v>SRC02; SRC03</x:v>
      </x:c>
      <x:c r="J81" s="27" t="str">
        <x:v>Observable evidence of usable learning.</x:v>
      </x:c>
    </x:row>
    <x:row r="82">
      <x:c r="A82" s="27" t="str">
        <x:v>E00078</x:v>
      </x:c>
      <x:c r="B82" s="27" t="str">
        <x:v>S02-LANG-01</x:v>
      </x:c>
      <x:c r="C82" s="27" t="str">
        <x:v>Previous node in domain progression</x:v>
      </x:c>
      <x:c r="D82" s="27" t="str">
        <x:v>DOMAIN_SEQUENCE</x:v>
      </x:c>
      <x:c r="E82" s="27" t="str">
        <x:v>S02-LANG-02</x:v>
      </x:c>
      <x:c r="F82" s="27" t="str">
        <x:v>Cooing and vowel play</x:v>
      </x:c>
      <x:c r="G82" s="27" t="str">
        <x:v>S02</x:v>
      </x:c>
      <x:c r="H82" s="27" t="str">
        <x:v>Language &amp; Communication</x:v>
      </x:c>
      <x:c r="I82" s="27" t="str">
        <x:v>SRC02; SRC03</x:v>
      </x:c>
      <x:c r="J82" s="27" t="str">
        <x:v>Ordered spiral link; consult explicit prerequisites for logical dependency.</x:v>
      </x:c>
    </x:row>
    <x:row r="83">
      <x:c r="A83" s="27" t="str">
        <x:v>E00079</x:v>
      </x:c>
      <x:c r="B83" s="27" t="str">
        <x:v>S02-LANG-02:PREREQ</x:v>
      </x:c>
      <x:c r="C83" s="27" t="str">
        <x:v>Voice production and reciprocal interaction.</x:v>
      </x:c>
      <x:c r="D83" s="27" t="str">
        <x:v>PREREQUISITE</x:v>
      </x:c>
      <x:c r="E83" s="27" t="str">
        <x:v>S02-LANG-02</x:v>
      </x:c>
      <x:c r="F83" s="27" t="str">
        <x:v>Cooing and vowel play</x:v>
      </x:c>
      <x:c r="G83" s="27" t="str">
        <x:v>S02</x:v>
      </x:c>
      <x:c r="H83" s="27" t="str">
        <x:v>Language &amp; Communication</x:v>
      </x:c>
      <x:c r="I83" s="27" t="str">
        <x:v>SRC02; SRC03</x:v>
      </x:c>
      <x:c r="J83" s="27" t="str">
        <x:v>Incoming prerequisite relationship.</x:v>
      </x:c>
    </x:row>
    <x:row r="84">
      <x:c r="A84" s="27" t="str">
        <x:v>E00080</x:v>
      </x:c>
      <x:c r="B84" s="27" t="str">
        <x:v>S02-LANG-02:GROUND</x:v>
      </x:c>
      <x:c r="C84" s="27" t="str">
        <x:v>G1 — Regulated sensory event</x:v>
      </x:c>
      <x:c r="D84" s="27" t="str">
        <x:v>GROUNDED_BY</x:v>
      </x:c>
      <x:c r="E84" s="27" t="str">
        <x:v>S02-LANG-02</x:v>
      </x:c>
      <x:c r="F84" s="27" t="str">
        <x:v>Cooing and vowel play</x:v>
      </x:c>
      <x:c r="G84" s="27" t="str">
        <x:v>S02</x:v>
      </x:c>
      <x:c r="H84" s="27" t="str">
        <x:v>Language &amp; Communication</x:v>
      </x:c>
      <x:c r="I84" s="27" t="str">
        <x:v>SRC02; SRC03</x:v>
      </x:c>
      <x:c r="J84" s="27" t="str">
        <x:v>Grounding form used to preserve meaning.</x:v>
      </x:c>
    </x:row>
    <x:row r="85">
      <x:c r="A85" s="27" t="str">
        <x:v>E00081</x:v>
      </x:c>
      <x:c r="B85" s="27" t="str">
        <x:v>S02-LANG-02</x:v>
      </x:c>
      <x:c r="C85" s="27" t="str">
        <x:v>Cooing and vowel play</x:v>
      </x:c>
      <x:c r="D85" s="27" t="str">
        <x:v>CONNECTS_TO</x:v>
      </x:c>
      <x:c r="E85" s="27" t="str">
        <x:v>S02-LANG-02:CROSS</x:v>
      </x:c>
      <x:c r="F85" s="27" t="str">
        <x:v>Reading and writing; vocabulary for math/science/social studies; discussion, music prosody, and world-language learning.</x:v>
      </x:c>
      <x:c r="G85" s="27" t="str">
        <x:v>S02</x:v>
      </x:c>
      <x:c r="H85" s="27" t="str">
        <x:v>Language &amp; Communication</x:v>
      </x:c>
      <x:c r="I85" s="27" t="str">
        <x:v>SRC02; SRC03</x:v>
      </x:c>
      <x:c r="J85" s="27" t="str">
        <x:v>Parallel subject and representation links.</x:v>
      </x:c>
    </x:row>
    <x:row r="86">
      <x:c r="A86" s="27" t="str">
        <x:v>E00082</x:v>
      </x:c>
      <x:c r="B86" s="27" t="str">
        <x:v>S02-LANG-02</x:v>
      </x:c>
      <x:c r="C86" s="27" t="str">
        <x:v>Cooing and vowel play</x:v>
      </x:c>
      <x:c r="D86" s="27" t="str">
        <x:v>UNLOCKS</x:v>
      </x:c>
      <x:c r="E86" s="27" t="str">
        <x:v>S02-LANG-02:NEXT</x:v>
      </x:c>
      <x:c r="F86" s="27" t="str">
        <x:v>Voluntary vocal play prepares more varied babbling and speech-motor control.</x:v>
      </x:c>
      <x:c r="G86" s="27" t="str">
        <x:v>S02</x:v>
      </x:c>
      <x:c r="H86" s="27" t="str">
        <x:v>Language &amp; Communication</x:v>
      </x:c>
      <x:c r="I86" s="27" t="str">
        <x:v>SRC02; SRC03</x:v>
      </x:c>
      <x:c r="J86" s="27" t="str">
        <x:v>Outgoing use and placement rationale.</x:v>
      </x:c>
    </x:row>
    <x:row r="87">
      <x:c r="A87" s="27" t="str">
        <x:v>E00083</x:v>
      </x:c>
      <x:c r="B87" s="27" t="str">
        <x:v>S02-LANG-02</x:v>
      </x:c>
      <x:c r="C87" s="27" t="str">
        <x:v>Cooing and vowel play</x:v>
      </x:c>
      <x:c r="D87" s="27" t="str">
        <x:v>VERIFIED_BY</x:v>
      </x:c>
      <x:c r="E87" s="27" t="str">
        <x:v>S02-LANG-02:EVIDENCE</x:v>
      </x:c>
      <x:c r="F87" s="27" t="str">
        <x:v>Produces repeated coos or changes pitch and loudness during interaction.</x:v>
      </x:c>
      <x:c r="G87" s="27" t="str">
        <x:v>S02</x:v>
      </x:c>
      <x:c r="H87" s="27" t="str">
        <x:v>Language &amp; Communication</x:v>
      </x:c>
      <x:c r="I87" s="27" t="str">
        <x:v>SRC02; SRC03</x:v>
      </x:c>
      <x:c r="J87" s="27" t="str">
        <x:v>Observable evidence of usable learning.</x:v>
      </x:c>
    </x:row>
    <x:row r="88">
      <x:c r="A88" s="27" t="str">
        <x:v>E00084</x:v>
      </x:c>
      <x:c r="B88" s="27" t="str">
        <x:v>S01-MATH-01</x:v>
      </x:c>
      <x:c r="C88" s="27" t="str">
        <x:v>Previous node in domain progression</x:v>
      </x:c>
      <x:c r="D88" s="27" t="str">
        <x:v>DOMAIN_SEQUENCE</x:v>
      </x:c>
      <x:c r="E88" s="27" t="str">
        <x:v>S02-MATH-01</x:v>
      </x:c>
      <x:c r="F88" s="27" t="str">
        <x:v>Visual contrast discrimination</x:v>
      </x:c>
      <x:c r="G88" s="27" t="str">
        <x:v>S02</x:v>
      </x:c>
      <x:c r="H88" s="27" t="str">
        <x:v>Mathematics</x:v>
      </x:c>
      <x:c r="I88" s="27" t="str">
        <x:v>SRC02; SRC04; SRC07</x:v>
      </x:c>
      <x:c r="J88" s="27" t="str">
        <x:v>Ordered spiral link; consult explicit prerequisites for logical dependency.</x:v>
      </x:c>
    </x:row>
    <x:row r="89">
      <x:c r="A89" s="27" t="str">
        <x:v>E00085</x:v>
      </x:c>
      <x:c r="B89" s="27" t="str">
        <x:v>S02-MATH-01:PREREQ</x:v>
      </x:c>
      <x:c r="C89" s="27" t="str">
        <x:v>Visual attention and change detection.</x:v>
      </x:c>
      <x:c r="D89" s="27" t="str">
        <x:v>PREREQUISITE</x:v>
      </x:c>
      <x:c r="E89" s="27" t="str">
        <x:v>S02-MATH-01</x:v>
      </x:c>
      <x:c r="F89" s="27" t="str">
        <x:v>Visual contrast discrimination</x:v>
      </x:c>
      <x:c r="G89" s="27" t="str">
        <x:v>S02</x:v>
      </x:c>
      <x:c r="H89" s="27" t="str">
        <x:v>Mathematics</x:v>
      </x:c>
      <x:c r="I89" s="27" t="str">
        <x:v>SRC02; SRC04; SRC07</x:v>
      </x:c>
      <x:c r="J89" s="27" t="str">
        <x:v>Incoming prerequisite relationship.</x:v>
      </x:c>
    </x:row>
    <x:row r="90">
      <x:c r="A90" s="27" t="str">
        <x:v>E00086</x:v>
      </x:c>
      <x:c r="B90" s="27" t="str">
        <x:v>S02-MATH-01:GROUND</x:v>
      </x:c>
      <x:c r="C90" s="27" t="str">
        <x:v>G1 — Regulated sensory event</x:v>
      </x:c>
      <x:c r="D90" s="27" t="str">
        <x:v>GROUNDED_BY</x:v>
      </x:c>
      <x:c r="E90" s="27" t="str">
        <x:v>S02-MATH-01</x:v>
      </x:c>
      <x:c r="F90" s="27" t="str">
        <x:v>Visual contrast discrimination</x:v>
      </x:c>
      <x:c r="G90" s="27" t="str">
        <x:v>S02</x:v>
      </x:c>
      <x:c r="H90" s="27" t="str">
        <x:v>Mathematics</x:v>
      </x:c>
      <x:c r="I90" s="27" t="str">
        <x:v>SRC02; SRC04; SRC07</x:v>
      </x:c>
      <x:c r="J90" s="27" t="str">
        <x:v>Grounding form used to preserve meaning.</x:v>
      </x:c>
    </x:row>
    <x:row r="91">
      <x:c r="A91" s="27" t="str">
        <x:v>E00087</x:v>
      </x:c>
      <x:c r="B91" s="27" t="str">
        <x:v>S02-MATH-01</x:v>
      </x:c>
      <x:c r="C91" s="27" t="str">
        <x:v>Visual contrast discrimination</x:v>
      </x:c>
      <x:c r="D91" s="27" t="str">
        <x:v>CONNECTS_TO</x:v>
      </x:c>
      <x:c r="E91" s="27" t="str">
        <x:v>S02-MATH-01:CROSS</x:v>
      </x:c>
      <x:c r="F91" s="27" t="str">
        <x:v>Physical quantity and spatial action; science measurement/models; computing/algorithms; finance; music rhythm/pattern; geographic data.</x:v>
      </x:c>
      <x:c r="G91" s="27" t="str">
        <x:v>S02</x:v>
      </x:c>
      <x:c r="H91" s="27" t="str">
        <x:v>Mathematics</x:v>
      </x:c>
      <x:c r="I91" s="27" t="str">
        <x:v>SRC02; SRC04; SRC07</x:v>
      </x:c>
      <x:c r="J91" s="27" t="str">
        <x:v>Parallel subject and representation links.</x:v>
      </x:c>
    </x:row>
    <x:row r="92">
      <x:c r="A92" s="27" t="str">
        <x:v>E00088</x:v>
      </x:c>
      <x:c r="B92" s="27" t="str">
        <x:v>S02-MATH-01</x:v>
      </x:c>
      <x:c r="C92" s="27" t="str">
        <x:v>Visual contrast discrimination</x:v>
      </x:c>
      <x:c r="D92" s="27" t="str">
        <x:v>UNLOCKS</x:v>
      </x:c>
      <x:c r="E92" s="27" t="str">
        <x:v>S02-MATH-01:NEXT</x:v>
      </x:c>
      <x:c r="F92" s="27" t="str">
        <x:v>Discrimination is used later in matching, sorting, shape recognition, and magnitude comparison.</x:v>
      </x:c>
      <x:c r="G92" s="27" t="str">
        <x:v>S02</x:v>
      </x:c>
      <x:c r="H92" s="27" t="str">
        <x:v>Mathematics</x:v>
      </x:c>
      <x:c r="I92" s="27" t="str">
        <x:v>SRC02; SRC04; SRC07</x:v>
      </x:c>
      <x:c r="J92" s="27" t="str">
        <x:v>Outgoing use and placement rationale.</x:v>
      </x:c>
    </x:row>
    <x:row r="93">
      <x:c r="A93" s="27" t="str">
        <x:v>E00089</x:v>
      </x:c>
      <x:c r="B93" s="27" t="str">
        <x:v>S02-MATH-01</x:v>
      </x:c>
      <x:c r="C93" s="27" t="str">
        <x:v>Visual contrast discrimination</x:v>
      </x:c>
      <x:c r="D93" s="27" t="str">
        <x:v>VERIFIED_BY</x:v>
      </x:c>
      <x:c r="E93" s="27" t="str">
        <x:v>S02-MATH-01:EVIDENCE</x:v>
      </x:c>
      <x:c r="F93" s="27" t="str">
        <x:v>Looks longer or changes attention when a familiar display changes.</x:v>
      </x:c>
      <x:c r="G93" s="27" t="str">
        <x:v>S02</x:v>
      </x:c>
      <x:c r="H93" s="27" t="str">
        <x:v>Mathematics</x:v>
      </x:c>
      <x:c r="I93" s="27" t="str">
        <x:v>SRC02; SRC04; SRC07</x:v>
      </x:c>
      <x:c r="J93" s="27" t="str">
        <x:v>Observable evidence of usable learning.</x:v>
      </x:c>
    </x:row>
    <x:row r="94">
      <x:c r="A94" s="27" t="str">
        <x:v>E00090</x:v>
      </x:c>
      <x:c r="B94" s="27" t="str">
        <x:v>S01-SCI-01</x:v>
      </x:c>
      <x:c r="C94" s="27" t="str">
        <x:v>Previous node in domain progression</x:v>
      </x:c>
      <x:c r="D94" s="27" t="str">
        <x:v>DOMAIN_SEQUENCE</x:v>
      </x:c>
      <x:c r="E94" s="27" t="str">
        <x:v>S02-SCI-01</x:v>
      </x:c>
      <x:c r="F94" s="27" t="str">
        <x:v>Contingency detection</x:v>
      </x:c>
      <x:c r="G94" s="27" t="str">
        <x:v>S02</x:v>
      </x:c>
      <x:c r="H94" s="27" t="str">
        <x:v>Science &amp; Engineering</x:v>
      </x:c>
      <x:c r="I94" s="27" t="str">
        <x:v>SRC02; SRC04; SRC11</x:v>
      </x:c>
      <x:c r="J94" s="27" t="str">
        <x:v>Ordered spiral link; consult explicit prerequisites for logical dependency.</x:v>
      </x:c>
    </x:row>
    <x:row r="95">
      <x:c r="A95" s="27" t="str">
        <x:v>E00091</x:v>
      </x:c>
      <x:c r="B95" s="27" t="str">
        <x:v>S02-SCI-01:PREREQ</x:v>
      </x:c>
      <x:c r="C95" s="27" t="str">
        <x:v>Repetition and short-term memory.</x:v>
      </x:c>
      <x:c r="D95" s="27" t="str">
        <x:v>PREREQUISITE</x:v>
      </x:c>
      <x:c r="E95" s="27" t="str">
        <x:v>S02-SCI-01</x:v>
      </x:c>
      <x:c r="F95" s="27" t="str">
        <x:v>Contingency detection</x:v>
      </x:c>
      <x:c r="G95" s="27" t="str">
        <x:v>S02</x:v>
      </x:c>
      <x:c r="H95" s="27" t="str">
        <x:v>Science &amp; Engineering</x:v>
      </x:c>
      <x:c r="I95" s="27" t="str">
        <x:v>SRC02; SRC04; SRC11</x:v>
      </x:c>
      <x:c r="J95" s="27" t="str">
        <x:v>Incoming prerequisite relationship.</x:v>
      </x:c>
    </x:row>
    <x:row r="96">
      <x:c r="A96" s="27" t="str">
        <x:v>E00092</x:v>
      </x:c>
      <x:c r="B96" s="27" t="str">
        <x:v>S02-SCI-01:GROUND</x:v>
      </x:c>
      <x:c r="C96" s="27" t="str">
        <x:v>G1 — Regulated sensory event</x:v>
      </x:c>
      <x:c r="D96" s="27" t="str">
        <x:v>GROUNDED_BY</x:v>
      </x:c>
      <x:c r="E96" s="27" t="str">
        <x:v>S02-SCI-01</x:v>
      </x:c>
      <x:c r="F96" s="27" t="str">
        <x:v>Contingency detection</x:v>
      </x:c>
      <x:c r="G96" s="27" t="str">
        <x:v>S02</x:v>
      </x:c>
      <x:c r="H96" s="27" t="str">
        <x:v>Science &amp; Engineering</x:v>
      </x:c>
      <x:c r="I96" s="27" t="str">
        <x:v>SRC02; SRC04; SRC11</x:v>
      </x:c>
      <x:c r="J96" s="27" t="str">
        <x:v>Grounding form used to preserve meaning.</x:v>
      </x:c>
    </x:row>
    <x:row r="97">
      <x:c r="A97" s="27" t="str">
        <x:v>E00093</x:v>
      </x:c>
      <x:c r="B97" s="27" t="str">
        <x:v>S02-SCI-01</x:v>
      </x:c>
      <x:c r="C97" s="27" t="str">
        <x:v>Contingency detection</x:v>
      </x:c>
      <x:c r="D97" s="27" t="str">
        <x:v>CONNECTS_TO</x:v>
      </x:c>
      <x:c r="E97" s="27" t="str">
        <x:v>S02-SCI-01:CROSS</x:v>
      </x:c>
      <x:c r="F97" s="27" t="str">
        <x:v>Sensory observation and action; mathematics/data; reading/writing evidence; computing/models; health and environmental/civic decisions.</x:v>
      </x:c>
      <x:c r="G97" s="27" t="str">
        <x:v>S02</x:v>
      </x:c>
      <x:c r="H97" s="27" t="str">
        <x:v>Science &amp; Engineering</x:v>
      </x:c>
      <x:c r="I97" s="27" t="str">
        <x:v>SRC02; SRC04; SRC11</x:v>
      </x:c>
      <x:c r="J97" s="27" t="str">
        <x:v>Parallel subject and representation links.</x:v>
      </x:c>
    </x:row>
    <x:row r="98">
      <x:c r="A98" s="27" t="str">
        <x:v>E00094</x:v>
      </x:c>
      <x:c r="B98" s="27" t="str">
        <x:v>S02-SCI-01</x:v>
      </x:c>
      <x:c r="C98" s="27" t="str">
        <x:v>Contingency detection</x:v>
      </x:c>
      <x:c r="D98" s="27" t="str">
        <x:v>UNLOCKS</x:v>
      </x:c>
      <x:c r="E98" s="27" t="str">
        <x:v>S02-SCI-01:NEXT</x:v>
      </x:c>
      <x:c r="F98" s="27" t="str">
        <x:v>Contingency detection motivates intentional experimentation.</x:v>
      </x:c>
      <x:c r="G98" s="27" t="str">
        <x:v>S02</x:v>
      </x:c>
      <x:c r="H98" s="27" t="str">
        <x:v>Science &amp; Engineering</x:v>
      </x:c>
      <x:c r="I98" s="27" t="str">
        <x:v>SRC02; SRC04; SRC11</x:v>
      </x:c>
      <x:c r="J98" s="27" t="str">
        <x:v>Outgoing use and placement rationale.</x:v>
      </x:c>
    </x:row>
    <x:row r="99">
      <x:c r="A99" s="27" t="str">
        <x:v>E00095</x:v>
      </x:c>
      <x:c r="B99" s="27" t="str">
        <x:v>S02-SCI-01</x:v>
      </x:c>
      <x:c r="C99" s="27" t="str">
        <x:v>Contingency detection</x:v>
      </x:c>
      <x:c r="D99" s="27" t="str">
        <x:v>VERIFIED_BY</x:v>
      </x:c>
      <x:c r="E99" s="27" t="str">
        <x:v>S02-SCI-01:EVIDENCE</x:v>
      </x:c>
      <x:c r="F99" s="27" t="str">
        <x:v>Repeats or intensifies an action that recently produced an interesting result.</x:v>
      </x:c>
      <x:c r="G99" s="27" t="str">
        <x:v>S02</x:v>
      </x:c>
      <x:c r="H99" s="27" t="str">
        <x:v>Science &amp; Engineering</x:v>
      </x:c>
      <x:c r="I99" s="27" t="str">
        <x:v>SRC02; SRC04; SRC11</x:v>
      </x:c>
      <x:c r="J99" s="27" t="str">
        <x:v>Observable evidence of usable learning.</x:v>
      </x:c>
    </x:row>
    <x:row r="100">
      <x:c r="A100" s="27" t="str">
        <x:v>E00096</x:v>
      </x:c>
      <x:c r="B100" s="27" t="str">
        <x:v>S01-ARTS-01</x:v>
      </x:c>
      <x:c r="C100" s="27" t="str">
        <x:v>Previous node in domain progression</x:v>
      </x:c>
      <x:c r="D100" s="27" t="str">
        <x:v>DOMAIN_SEQUENCE</x:v>
      </x:c>
      <x:c r="E100" s="27" t="str">
        <x:v>S02-ARTS-01</x:v>
      </x:c>
      <x:c r="F100" s="27" t="str">
        <x:v>Voice and rhythm engagement</x:v>
      </x:c>
      <x:c r="G100" s="27" t="str">
        <x:v>S02</x:v>
      </x:c>
      <x:c r="H100" s="27" t="str">
        <x:v>Music &amp; Arts</x:v>
      </x:c>
      <x:c r="I100" s="27" t="str">
        <x:v>SRC02; SRC13</x:v>
      </x:c>
      <x:c r="J100" s="27" t="str">
        <x:v>Ordered spiral link; consult explicit prerequisites for logical dependency.</x:v>
      </x:c>
    </x:row>
    <x:row r="101">
      <x:c r="A101" s="27" t="str">
        <x:v>E00097</x:v>
      </x:c>
      <x:c r="B101" s="27" t="str">
        <x:v>S02-ARTS-01:PREREQ</x:v>
      </x:c>
      <x:c r="C101" s="27" t="str">
        <x:v>Auditory contour and social attention.</x:v>
      </x:c>
      <x:c r="D101" s="27" t="str">
        <x:v>PREREQUISITE</x:v>
      </x:c>
      <x:c r="E101" s="27" t="str">
        <x:v>S02-ARTS-01</x:v>
      </x:c>
      <x:c r="F101" s="27" t="str">
        <x:v>Voice and rhythm engagement</x:v>
      </x:c>
      <x:c r="G101" s="27" t="str">
        <x:v>S02</x:v>
      </x:c>
      <x:c r="H101" s="27" t="str">
        <x:v>Music &amp; Arts</x:v>
      </x:c>
      <x:c r="I101" s="27" t="str">
        <x:v>SRC02; SRC13</x:v>
      </x:c>
      <x:c r="J101" s="27" t="str">
        <x:v>Incoming prerequisite relationship.</x:v>
      </x:c>
    </x:row>
    <x:row r="102">
      <x:c r="A102" s="27" t="str">
        <x:v>E00098</x:v>
      </x:c>
      <x:c r="B102" s="27" t="str">
        <x:v>S02-ARTS-01:GROUND</x:v>
      </x:c>
      <x:c r="C102" s="27" t="str">
        <x:v>G1 — Regulated sensory event</x:v>
      </x:c>
      <x:c r="D102" s="27" t="str">
        <x:v>GROUNDED_BY</x:v>
      </x:c>
      <x:c r="E102" s="27" t="str">
        <x:v>S02-ARTS-01</x:v>
      </x:c>
      <x:c r="F102" s="27" t="str">
        <x:v>Voice and rhythm engagement</x:v>
      </x:c>
      <x:c r="G102" s="27" t="str">
        <x:v>S02</x:v>
      </x:c>
      <x:c r="H102" s="27" t="str">
        <x:v>Music &amp; Arts</x:v>
      </x:c>
      <x:c r="I102" s="27" t="str">
        <x:v>SRC02; SRC13</x:v>
      </x:c>
      <x:c r="J102" s="27" t="str">
        <x:v>Grounding form used to preserve meaning.</x:v>
      </x:c>
    </x:row>
    <x:row r="103">
      <x:c r="A103" s="27" t="str">
        <x:v>E00099</x:v>
      </x:c>
      <x:c r="B103" s="27" t="str">
        <x:v>S02-ARTS-01</x:v>
      </x:c>
      <x:c r="C103" s="27" t="str">
        <x:v>Voice and rhythm engagement</x:v>
      </x:c>
      <x:c r="D103" s="27" t="str">
        <x:v>CONNECTS_TO</x:v>
      </x:c>
      <x:c r="E103" s="27" t="str">
        <x:v>S02-ARTS-01:CROSS</x:v>
      </x:c>
      <x:c r="F103" s="27" t="str">
        <x:v>Sensory discrimination; motor timing; language/prosody; mathematics/pattern; history/culture; emotion, design, and technology.</x:v>
      </x:c>
      <x:c r="G103" s="27" t="str">
        <x:v>S02</x:v>
      </x:c>
      <x:c r="H103" s="27" t="str">
        <x:v>Music &amp; Arts</x:v>
      </x:c>
      <x:c r="I103" s="27" t="str">
        <x:v>SRC02; SRC13</x:v>
      </x:c>
      <x:c r="J103" s="27" t="str">
        <x:v>Parallel subject and representation links.</x:v>
      </x:c>
    </x:row>
    <x:row r="104">
      <x:c r="A104" s="27" t="str">
        <x:v>E00100</x:v>
      </x:c>
      <x:c r="B104" s="27" t="str">
        <x:v>S02-ARTS-01</x:v>
      </x:c>
      <x:c r="C104" s="27" t="str">
        <x:v>Voice and rhythm engagement</x:v>
      </x:c>
      <x:c r="D104" s="27" t="str">
        <x:v>UNLOCKS</x:v>
      </x:c>
      <x:c r="E104" s="27" t="str">
        <x:v>S02-ARTS-01:NEXT</x:v>
      </x:c>
      <x:c r="F104" s="27" t="str">
        <x:v>Enjoyable repetition connects beat, language rhythm, memory, and relationship.</x:v>
      </x:c>
      <x:c r="G104" s="27" t="str">
        <x:v>S02</x:v>
      </x:c>
      <x:c r="H104" s="27" t="str">
        <x:v>Music &amp; Arts</x:v>
      </x:c>
      <x:c r="I104" s="27" t="str">
        <x:v>SRC02; SRC13</x:v>
      </x:c>
      <x:c r="J104" s="27" t="str">
        <x:v>Outgoing use and placement rationale.</x:v>
      </x:c>
    </x:row>
    <x:row r="105">
      <x:c r="A105" s="27" t="str">
        <x:v>E00101</x:v>
      </x:c>
      <x:c r="B105" s="27" t="str">
        <x:v>S02-ARTS-01</x:v>
      </x:c>
      <x:c r="C105" s="27" t="str">
        <x:v>Voice and rhythm engagement</x:v>
      </x:c>
      <x:c r="D105" s="27" t="str">
        <x:v>VERIFIED_BY</x:v>
      </x:c>
      <x:c r="E105" s="27" t="str">
        <x:v>S02-ARTS-01:EVIDENCE</x:v>
      </x:c>
      <x:c r="F105" s="27" t="str">
        <x:v>Shows a repeatable response during a familiar song or chant.</x:v>
      </x:c>
      <x:c r="G105" s="27" t="str">
        <x:v>S02</x:v>
      </x:c>
      <x:c r="H105" s="27" t="str">
        <x:v>Music &amp; Arts</x:v>
      </x:c>
      <x:c r="I105" s="27" t="str">
        <x:v>SRC02; SRC13</x:v>
      </x:c>
      <x:c r="J105" s="27" t="str">
        <x:v>Observable evidence of usable learning.</x:v>
      </x:c>
    </x:row>
    <x:row r="106">
      <x:c r="A106" s="27" t="str">
        <x:v>E00102</x:v>
      </x:c>
      <x:c r="B106" s="27" t="str">
        <x:v>S01-HLTH-01</x:v>
      </x:c>
      <x:c r="C106" s="27" t="str">
        <x:v>Previous node in domain progression</x:v>
      </x:c>
      <x:c r="D106" s="27" t="str">
        <x:v>DOMAIN_SEQUENCE</x:v>
      </x:c>
      <x:c r="E106" s="27" t="str">
        <x:v>S02-HLTH-01</x:v>
      </x:c>
      <x:c r="F106" s="27" t="str">
        <x:v>Early head control</x:v>
      </x:c>
      <x:c r="G106" s="27" t="str">
        <x:v>S02</x:v>
      </x:c>
      <x:c r="H106" s="27" t="str">
        <x:v>Physical &amp; Health</x:v>
      </x:c>
      <x:c r="I106" s="27" t="str">
        <x:v>SRC03; SRC14</x:v>
      </x:c>
      <x:c r="J106" s="27" t="str">
        <x:v>Ordered spiral link; consult explicit prerequisites for logical dependency.</x:v>
      </x:c>
    </x:row>
    <x:row r="107">
      <x:c r="A107" s="27" t="str">
        <x:v>E00103</x:v>
      </x:c>
      <x:c r="B107" s="27" t="str">
        <x:v>S02-HLTH-01:PREREQ</x:v>
      </x:c>
      <x:c r="C107" s="27" t="str">
        <x:v>Neck/trunk activation and movement opportunity.</x:v>
      </x:c>
      <x:c r="D107" s="27" t="str">
        <x:v>PREREQUISITE</x:v>
      </x:c>
      <x:c r="E107" s="27" t="str">
        <x:v>S02-HLTH-01</x:v>
      </x:c>
      <x:c r="F107" s="27" t="str">
        <x:v>Early head control</x:v>
      </x:c>
      <x:c r="G107" s="27" t="str">
        <x:v>S02</x:v>
      </x:c>
      <x:c r="H107" s="27" t="str">
        <x:v>Physical &amp; Health</x:v>
      </x:c>
      <x:c r="I107" s="27" t="str">
        <x:v>SRC03; SRC14</x:v>
      </x:c>
      <x:c r="J107" s="27" t="str">
        <x:v>Incoming prerequisite relationship.</x:v>
      </x:c>
    </x:row>
    <x:row r="108">
      <x:c r="A108" s="27" t="str">
        <x:v>E00104</x:v>
      </x:c>
      <x:c r="B108" s="27" t="str">
        <x:v>S02-HLTH-01:GROUND</x:v>
      </x:c>
      <x:c r="C108" s="27" t="str">
        <x:v>G1 — Regulated sensory event</x:v>
      </x:c>
      <x:c r="D108" s="27" t="str">
        <x:v>GROUNDED_BY</x:v>
      </x:c>
      <x:c r="E108" s="27" t="str">
        <x:v>S02-HLTH-01</x:v>
      </x:c>
      <x:c r="F108" s="27" t="str">
        <x:v>Early head control</x:v>
      </x:c>
      <x:c r="G108" s="27" t="str">
        <x:v>S02</x:v>
      </x:c>
      <x:c r="H108" s="27" t="str">
        <x:v>Physical &amp; Health</x:v>
      </x:c>
      <x:c r="I108" s="27" t="str">
        <x:v>SRC03; SRC14</x:v>
      </x:c>
      <x:c r="J108" s="27" t="str">
        <x:v>Grounding form used to preserve meaning.</x:v>
      </x:c>
    </x:row>
    <x:row r="109">
      <x:c r="A109" s="27" t="str">
        <x:v>E00105</x:v>
      </x:c>
      <x:c r="B109" s="27" t="str">
        <x:v>S02-HLTH-01</x:v>
      </x:c>
      <x:c r="C109" s="27" t="str">
        <x:v>Early head control</x:v>
      </x:c>
      <x:c r="D109" s="27" t="str">
        <x:v>CONNECTS_TO</x:v>
      </x:c>
      <x:c r="E109" s="27" t="str">
        <x:v>S02-HLTH-01:CROSS</x:v>
      </x:c>
      <x:c r="F109" s="27" t="str">
        <x:v>Motor/sensory development; life science; measurement/data; SEL/self-management; communication, safety, and decision-making.</x:v>
      </x:c>
      <x:c r="G109" s="27" t="str">
        <x:v>S02</x:v>
      </x:c>
      <x:c r="H109" s="27" t="str">
        <x:v>Physical &amp; Health</x:v>
      </x:c>
      <x:c r="I109" s="27" t="str">
        <x:v>SRC03; SRC14</x:v>
      </x:c>
      <x:c r="J109" s="27" t="str">
        <x:v>Parallel subject and representation links.</x:v>
      </x:c>
    </x:row>
    <x:row r="110">
      <x:c r="A110" s="27" t="str">
        <x:v>E00106</x:v>
      </x:c>
      <x:c r="B110" s="27" t="str">
        <x:v>S02-HLTH-01</x:v>
      </x:c>
      <x:c r="C110" s="27" t="str">
        <x:v>Early head control</x:v>
      </x:c>
      <x:c r="D110" s="27" t="str">
        <x:v>UNLOCKS</x:v>
      </x:c>
      <x:c r="E110" s="27" t="str">
        <x:v>S02-HLTH-01:NEXT</x:v>
      </x:c>
      <x:c r="F110" s="27" t="str">
        <x:v>Head stability frees vision and arms for coordinated exploration.</x:v>
      </x:c>
      <x:c r="G110" s="27" t="str">
        <x:v>S02</x:v>
      </x:c>
      <x:c r="H110" s="27" t="str">
        <x:v>Physical &amp; Health</x:v>
      </x:c>
      <x:c r="I110" s="27" t="str">
        <x:v>SRC03; SRC14</x:v>
      </x:c>
      <x:c r="J110" s="27" t="str">
        <x:v>Outgoing use and placement rationale.</x:v>
      </x:c>
    </x:row>
    <x:row r="111">
      <x:c r="A111" s="27" t="str">
        <x:v>E00107</x:v>
      </x:c>
      <x:c r="B111" s="27" t="str">
        <x:v>S02-HLTH-01</x:v>
      </x:c>
      <x:c r="C111" s="27" t="str">
        <x:v>Early head control</x:v>
      </x:c>
      <x:c r="D111" s="27" t="str">
        <x:v>VERIFIED_BY</x:v>
      </x:c>
      <x:c r="E111" s="27" t="str">
        <x:v>S02-HLTH-01:EVIDENCE</x:v>
      </x:c>
      <x:c r="F111" s="27" t="str">
        <x:v>Holds the head centered briefly or lifts it during tummy time.</x:v>
      </x:c>
      <x:c r="G111" s="27" t="str">
        <x:v>S02</x:v>
      </x:c>
      <x:c r="H111" s="27" t="str">
        <x:v>Physical &amp; Health</x:v>
      </x:c>
      <x:c r="I111" s="27" t="str">
        <x:v>SRC03; SRC14</x:v>
      </x:c>
      <x:c r="J111" s="27" t="str">
        <x:v>Observable evidence of usable learning.</x:v>
      </x:c>
    </x:row>
    <x:row r="112">
      <x:c r="A112" s="27" t="str">
        <x:v>E00108</x:v>
      </x:c>
      <x:c r="B112" s="27" t="str">
        <x:v>S02-HLTH-01</x:v>
      </x:c>
      <x:c r="C112" s="27" t="str">
        <x:v>Previous node in domain progression</x:v>
      </x:c>
      <x:c r="D112" s="27" t="str">
        <x:v>DOMAIN_SEQUENCE</x:v>
      </x:c>
      <x:c r="E112" s="27" t="str">
        <x:v>S02-HLTH-02</x:v>
      </x:c>
      <x:c r="F112" s="27" t="str">
        <x:v>Hand opening and contact</x:v>
      </x:c>
      <x:c r="G112" s="27" t="str">
        <x:v>S02</x:v>
      </x:c>
      <x:c r="H112" s="27" t="str">
        <x:v>Physical &amp; Health</x:v>
      </x:c>
      <x:c r="I112" s="27" t="str">
        <x:v>SRC02; SRC03; SRC14</x:v>
      </x:c>
      <x:c r="J112" s="27" t="str">
        <x:v>Ordered spiral link; consult explicit prerequisites for logical dependency.</x:v>
      </x:c>
    </x:row>
    <x:row r="113">
      <x:c r="A113" s="27" t="str">
        <x:v>E00109</x:v>
      </x:c>
      <x:c r="B113" s="27" t="str">
        <x:v>S02-HLTH-02:PREREQ</x:v>
      </x:c>
      <x:c r="C113" s="27" t="str">
        <x:v>Arm movement and tactile feedback.</x:v>
      </x:c>
      <x:c r="D113" s="27" t="str">
        <x:v>PREREQUISITE</x:v>
      </x:c>
      <x:c r="E113" s="27" t="str">
        <x:v>S02-HLTH-02</x:v>
      </x:c>
      <x:c r="F113" s="27" t="str">
        <x:v>Hand opening and contact</x:v>
      </x:c>
      <x:c r="G113" s="27" t="str">
        <x:v>S02</x:v>
      </x:c>
      <x:c r="H113" s="27" t="str">
        <x:v>Physical &amp; Health</x:v>
      </x:c>
      <x:c r="I113" s="27" t="str">
        <x:v>SRC02; SRC03; SRC14</x:v>
      </x:c>
      <x:c r="J113" s="27" t="str">
        <x:v>Incoming prerequisite relationship.</x:v>
      </x:c>
    </x:row>
    <x:row r="114">
      <x:c r="A114" s="27" t="str">
        <x:v>E00110</x:v>
      </x:c>
      <x:c r="B114" s="27" t="str">
        <x:v>S02-HLTH-02:GROUND</x:v>
      </x:c>
      <x:c r="C114" s="27" t="str">
        <x:v>G1 — Regulated sensory event</x:v>
      </x:c>
      <x:c r="D114" s="27" t="str">
        <x:v>GROUNDED_BY</x:v>
      </x:c>
      <x:c r="E114" s="27" t="str">
        <x:v>S02-HLTH-02</x:v>
      </x:c>
      <x:c r="F114" s="27" t="str">
        <x:v>Hand opening and contact</x:v>
      </x:c>
      <x:c r="G114" s="27" t="str">
        <x:v>S02</x:v>
      </x:c>
      <x:c r="H114" s="27" t="str">
        <x:v>Physical &amp; Health</x:v>
      </x:c>
      <x:c r="I114" s="27" t="str">
        <x:v>SRC02; SRC03; SRC14</x:v>
      </x:c>
      <x:c r="J114" s="27" t="str">
        <x:v>Grounding form used to preserve meaning.</x:v>
      </x:c>
    </x:row>
    <x:row r="115">
      <x:c r="A115" s="27" t="str">
        <x:v>E00111</x:v>
      </x:c>
      <x:c r="B115" s="27" t="str">
        <x:v>S02-HLTH-02</x:v>
      </x:c>
      <x:c r="C115" s="27" t="str">
        <x:v>Hand opening and contact</x:v>
      </x:c>
      <x:c r="D115" s="27" t="str">
        <x:v>CONNECTS_TO</x:v>
      </x:c>
      <x:c r="E115" s="27" t="str">
        <x:v>S02-HLTH-02:CROSS</x:v>
      </x:c>
      <x:c r="F115" s="27" t="str">
        <x:v>Motor/sensory development; life science; measurement/data; SEL/self-management; communication, safety, and decision-making.</x:v>
      </x:c>
      <x:c r="G115" s="27" t="str">
        <x:v>S02</x:v>
      </x:c>
      <x:c r="H115" s="27" t="str">
        <x:v>Physical &amp; Health</x:v>
      </x:c>
      <x:c r="I115" s="27" t="str">
        <x:v>SRC02; SRC03; SRC14</x:v>
      </x:c>
      <x:c r="J115" s="27" t="str">
        <x:v>Parallel subject and representation links.</x:v>
      </x:c>
    </x:row>
    <x:row r="116">
      <x:c r="A116" s="27" t="str">
        <x:v>E00112</x:v>
      </x:c>
      <x:c r="B116" s="27" t="str">
        <x:v>S02-HLTH-02</x:v>
      </x:c>
      <x:c r="C116" s="27" t="str">
        <x:v>Hand opening and contact</x:v>
      </x:c>
      <x:c r="D116" s="27" t="str">
        <x:v>UNLOCKS</x:v>
      </x:c>
      <x:c r="E116" s="27" t="str">
        <x:v>S02-HLTH-02:NEXT</x:v>
      </x:c>
      <x:c r="F116" s="27" t="str">
        <x:v>Hand contact precedes grasping, object manipulation, tool use, and writing.</x:v>
      </x:c>
      <x:c r="G116" s="27" t="str">
        <x:v>S02</x:v>
      </x:c>
      <x:c r="H116" s="27" t="str">
        <x:v>Physical &amp; Health</x:v>
      </x:c>
      <x:c r="I116" s="27" t="str">
        <x:v>SRC02; SRC03; SRC14</x:v>
      </x:c>
      <x:c r="J116" s="27" t="str">
        <x:v>Outgoing use and placement rationale.</x:v>
      </x:c>
    </x:row>
    <x:row r="117">
      <x:c r="A117" s="27" t="str">
        <x:v>E00113</x:v>
      </x:c>
      <x:c r="B117" s="27" t="str">
        <x:v>S02-HLTH-02</x:v>
      </x:c>
      <x:c r="C117" s="27" t="str">
        <x:v>Hand opening and contact</x:v>
      </x:c>
      <x:c r="D117" s="27" t="str">
        <x:v>VERIFIED_BY</x:v>
      </x:c>
      <x:c r="E117" s="27" t="str">
        <x:v>S02-HLTH-02:EVIDENCE</x:v>
      </x:c>
      <x:c r="F117" s="27" t="str">
        <x:v>Touches hands together, brings a hand to the mouth, or contacts a nearby object.</x:v>
      </x:c>
      <x:c r="G117" s="27" t="str">
        <x:v>S02</x:v>
      </x:c>
      <x:c r="H117" s="27" t="str">
        <x:v>Physical &amp; Health</x:v>
      </x:c>
      <x:c r="I117" s="27" t="str">
        <x:v>SRC02; SRC03; SRC14</x:v>
      </x:c>
      <x:c r="J117" s="27" t="str">
        <x:v>Observable evidence of usable learning.</x:v>
      </x:c>
    </x:row>
    <x:row r="118">
      <x:c r="A118" s="27" t="str">
        <x:v>E00114</x:v>
      </x:c>
      <x:c r="B118" s="27" t="str">
        <x:v>S02-LEARN-02</x:v>
      </x:c>
      <x:c r="C118" s="27" t="str">
        <x:v>Previous node in domain progression</x:v>
      </x:c>
      <x:c r="D118" s="27" t="str">
        <x:v>DOMAIN_SEQUENCE</x:v>
      </x:c>
      <x:c r="E118" s="27" t="str">
        <x:v>S03-LEARN-01</x:v>
      </x:c>
      <x:c r="F118" s="27" t="str">
        <x:v>Intentional repetition</x:v>
      </x:c>
      <x:c r="G118" s="27" t="str">
        <x:v>S03</x:v>
      </x:c>
      <x:c r="H118" s="27" t="str">
        <x:v>Learning Foundations</x:v>
      </x:c>
      <x:c r="I118" s="27" t="str">
        <x:v>SRC02; SRC04; SRC11</x:v>
      </x:c>
      <x:c r="J118" s="27" t="str">
        <x:v>Ordered spiral link; consult explicit prerequisites for logical dependency.</x:v>
      </x:c>
    </x:row>
    <x:row r="119">
      <x:c r="A119" s="27" t="str">
        <x:v>E00115</x:v>
      </x:c>
      <x:c r="B119" s="27" t="str">
        <x:v>S03-LEARN-01:PREREQ</x:v>
      </x:c>
      <x:c r="C119" s="27" t="str">
        <x:v>Contingency detection and motor access.</x:v>
      </x:c>
      <x:c r="D119" s="27" t="str">
        <x:v>PREREQUISITE</x:v>
      </x:c>
      <x:c r="E119" s="27" t="str">
        <x:v>S03-LEARN-01</x:v>
      </x:c>
      <x:c r="F119" s="27" t="str">
        <x:v>Intentional repetition</x:v>
      </x:c>
      <x:c r="G119" s="27" t="str">
        <x:v>S03</x:v>
      </x:c>
      <x:c r="H119" s="27" t="str">
        <x:v>Learning Foundations</x:v>
      </x:c>
      <x:c r="I119" s="27" t="str">
        <x:v>SRC02; SRC04; SRC11</x:v>
      </x:c>
      <x:c r="J119" s="27" t="str">
        <x:v>Incoming prerequisite relationship.</x:v>
      </x:c>
    </x:row>
    <x:row r="120">
      <x:c r="A120" s="27" t="str">
        <x:v>E00116</x:v>
      </x:c>
      <x:c r="B120" s="27" t="str">
        <x:v>S03-LEARN-01:GROUND</x:v>
      </x:c>
      <x:c r="C120" s="27" t="str">
        <x:v>G1 — Regulated sensory event</x:v>
      </x:c>
      <x:c r="D120" s="27" t="str">
        <x:v>GROUNDED_BY</x:v>
      </x:c>
      <x:c r="E120" s="27" t="str">
        <x:v>S03-LEARN-01</x:v>
      </x:c>
      <x:c r="F120" s="27" t="str">
        <x:v>Intentional repetition</x:v>
      </x:c>
      <x:c r="G120" s="27" t="str">
        <x:v>S03</x:v>
      </x:c>
      <x:c r="H120" s="27" t="str">
        <x:v>Learning Foundations</x:v>
      </x:c>
      <x:c r="I120" s="27" t="str">
        <x:v>SRC02; SRC04; SRC11</x:v>
      </x:c>
      <x:c r="J120" s="27" t="str">
        <x:v>Grounding form used to preserve meaning.</x:v>
      </x:c>
    </x:row>
    <x:row r="121">
      <x:c r="A121" s="27" t="str">
        <x:v>E00117</x:v>
      </x:c>
      <x:c r="B121" s="27" t="str">
        <x:v>S03-LEARN-01</x:v>
      </x:c>
      <x:c r="C121" s="27" t="str">
        <x:v>Intentional repetition</x:v>
      </x:c>
      <x:c r="D121" s="27" t="str">
        <x:v>CONNECTS_TO</x:v>
      </x:c>
      <x:c r="E121" s="27" t="str">
        <x:v>S03-LEARN-01:CROSS</x:v>
      </x:c>
      <x:c r="F121" s="27" t="str">
        <x:v>All domains: attention, memory, strategy choice, monitoring, retrieval, and transfer.</x:v>
      </x:c>
      <x:c r="G121" s="27" t="str">
        <x:v>S03</x:v>
      </x:c>
      <x:c r="H121" s="27" t="str">
        <x:v>Learning Foundations</x:v>
      </x:c>
      <x:c r="I121" s="27" t="str">
        <x:v>SRC02; SRC04; SRC11</x:v>
      </x:c>
      <x:c r="J121" s="27" t="str">
        <x:v>Parallel subject and representation links.</x:v>
      </x:c>
    </x:row>
    <x:row r="122">
      <x:c r="A122" s="27" t="str">
        <x:v>E00118</x:v>
      </x:c>
      <x:c r="B122" s="27" t="str">
        <x:v>S03-LEARN-01</x:v>
      </x:c>
      <x:c r="C122" s="27" t="str">
        <x:v>Intentional repetition</x:v>
      </x:c>
      <x:c r="D122" s="27" t="str">
        <x:v>UNLOCKS</x:v>
      </x:c>
      <x:c r="E122" s="27" t="str">
        <x:v>S03-LEARN-01:NEXT</x:v>
      </x:c>
      <x:c r="F122" s="27" t="str">
        <x:v>Intentional repetition is the first experiment cycle: act, observe, repeat, vary.</x:v>
      </x:c>
      <x:c r="G122" s="27" t="str">
        <x:v>S03</x:v>
      </x:c>
      <x:c r="H122" s="27" t="str">
        <x:v>Learning Foundations</x:v>
      </x:c>
      <x:c r="I122" s="27" t="str">
        <x:v>SRC02; SRC04; SRC11</x:v>
      </x:c>
      <x:c r="J122" s="27" t="str">
        <x:v>Outgoing use and placement rationale.</x:v>
      </x:c>
    </x:row>
    <x:row r="123">
      <x:c r="A123" s="27" t="str">
        <x:v>E00119</x:v>
      </x:c>
      <x:c r="B123" s="27" t="str">
        <x:v>S03-LEARN-01</x:v>
      </x:c>
      <x:c r="C123" s="27" t="str">
        <x:v>Intentional repetition</x:v>
      </x:c>
      <x:c r="D123" s="27" t="str">
        <x:v>VERIFIED_BY</x:v>
      </x:c>
      <x:c r="E123" s="27" t="str">
        <x:v>S03-LEARN-01:EVIDENCE</x:v>
      </x:c>
      <x:c r="F123" s="27" t="str">
        <x:v>Repeats an action after its effect stops.</x:v>
      </x:c>
      <x:c r="G123" s="27" t="str">
        <x:v>S03</x:v>
      </x:c>
      <x:c r="H123" s="27" t="str">
        <x:v>Learning Foundations</x:v>
      </x:c>
      <x:c r="I123" s="27" t="str">
        <x:v>SRC02; SRC04; SRC11</x:v>
      </x:c>
      <x:c r="J123" s="27" t="str">
        <x:v>Observable evidence of usable learning.</x:v>
      </x:c>
    </x:row>
    <x:row r="124">
      <x:c r="A124" s="27" t="str">
        <x:v>E00120</x:v>
      </x:c>
      <x:c r="B124" s="27" t="str">
        <x:v>S03-LEARN-01</x:v>
      </x:c>
      <x:c r="C124" s="27" t="str">
        <x:v>Previous node in domain progression</x:v>
      </x:c>
      <x:c r="D124" s="27" t="str">
        <x:v>DOMAIN_SEQUENCE</x:v>
      </x:c>
      <x:c r="E124" s="27" t="str">
        <x:v>S03-LEARN-02</x:v>
      </x:c>
      <x:c r="F124" s="27" t="str">
        <x:v>Brief expectation</x:v>
      </x:c>
      <x:c r="G124" s="27" t="str">
        <x:v>S03</x:v>
      </x:c>
      <x:c r="H124" s="27" t="str">
        <x:v>Learning Foundations</x:v>
      </x:c>
      <x:c r="I124" s="27" t="str">
        <x:v>SRC02; SRC05</x:v>
      </x:c>
      <x:c r="J124" s="27" t="str">
        <x:v>Ordered spiral link; consult explicit prerequisites for logical dependency.</x:v>
      </x:c>
    </x:row>
    <x:row r="125">
      <x:c r="A125" s="27" t="str">
        <x:v>E00121</x:v>
      </x:c>
      <x:c r="B125" s="27" t="str">
        <x:v>S03-LEARN-02:PREREQ</x:v>
      </x:c>
      <x:c r="C125" s="27" t="str">
        <x:v>Recognition memory and repeated routines.</x:v>
      </x:c>
      <x:c r="D125" s="27" t="str">
        <x:v>PREREQUISITE</x:v>
      </x:c>
      <x:c r="E125" s="27" t="str">
        <x:v>S03-LEARN-02</x:v>
      </x:c>
      <x:c r="F125" s="27" t="str">
        <x:v>Brief expectation</x:v>
      </x:c>
      <x:c r="G125" s="27" t="str">
        <x:v>S03</x:v>
      </x:c>
      <x:c r="H125" s="27" t="str">
        <x:v>Learning Foundations</x:v>
      </x:c>
      <x:c r="I125" s="27" t="str">
        <x:v>SRC02; SRC05</x:v>
      </x:c>
      <x:c r="J125" s="27" t="str">
        <x:v>Incoming prerequisite relationship.</x:v>
      </x:c>
    </x:row>
    <x:row r="126">
      <x:c r="A126" s="27" t="str">
        <x:v>E00122</x:v>
      </x:c>
      <x:c r="B126" s="27" t="str">
        <x:v>S03-LEARN-02:GROUND</x:v>
      </x:c>
      <x:c r="C126" s="27" t="str">
        <x:v>G1 — Regulated sensory event</x:v>
      </x:c>
      <x:c r="D126" s="27" t="str">
        <x:v>GROUNDED_BY</x:v>
      </x:c>
      <x:c r="E126" s="27" t="str">
        <x:v>S03-LEARN-02</x:v>
      </x:c>
      <x:c r="F126" s="27" t="str">
        <x:v>Brief expectation</x:v>
      </x:c>
      <x:c r="G126" s="27" t="str">
        <x:v>S03</x:v>
      </x:c>
      <x:c r="H126" s="27" t="str">
        <x:v>Learning Foundations</x:v>
      </x:c>
      <x:c r="I126" s="27" t="str">
        <x:v>SRC02; SRC05</x:v>
      </x:c>
      <x:c r="J126" s="27" t="str">
        <x:v>Grounding form used to preserve meaning.</x:v>
      </x:c>
    </x:row>
    <x:row r="127">
      <x:c r="A127" s="27" t="str">
        <x:v>E00123</x:v>
      </x:c>
      <x:c r="B127" s="27" t="str">
        <x:v>S03-LEARN-02</x:v>
      </x:c>
      <x:c r="C127" s="27" t="str">
        <x:v>Brief expectation</x:v>
      </x:c>
      <x:c r="D127" s="27" t="str">
        <x:v>CONNECTS_TO</x:v>
      </x:c>
      <x:c r="E127" s="27" t="str">
        <x:v>S03-LEARN-02:CROSS</x:v>
      </x:c>
      <x:c r="F127" s="27" t="str">
        <x:v>All domains: attention, memory, strategy choice, monitoring, retrieval, and transfer.</x:v>
      </x:c>
      <x:c r="G127" s="27" t="str">
        <x:v>S03</x:v>
      </x:c>
      <x:c r="H127" s="27" t="str">
        <x:v>Learning Foundations</x:v>
      </x:c>
      <x:c r="I127" s="27" t="str">
        <x:v>SRC02; SRC05</x:v>
      </x:c>
      <x:c r="J127" s="27" t="str">
        <x:v>Parallel subject and representation links.</x:v>
      </x:c>
    </x:row>
    <x:row r="128">
      <x:c r="A128" s="27" t="str">
        <x:v>E00124</x:v>
      </x:c>
      <x:c r="B128" s="27" t="str">
        <x:v>S03-LEARN-02</x:v>
      </x:c>
      <x:c r="C128" s="27" t="str">
        <x:v>Brief expectation</x:v>
      </x:c>
      <x:c r="D128" s="27" t="str">
        <x:v>UNLOCKS</x:v>
      </x:c>
      <x:c r="E128" s="27" t="str">
        <x:v>S03-LEARN-02:NEXT</x:v>
      </x:c>
      <x:c r="F128" s="27" t="str">
        <x:v>Short expectations support sequence learning and object search.</x:v>
      </x:c>
      <x:c r="G128" s="27" t="str">
        <x:v>S03</x:v>
      </x:c>
      <x:c r="H128" s="27" t="str">
        <x:v>Learning Foundations</x:v>
      </x:c>
      <x:c r="I128" s="27" t="str">
        <x:v>SRC02; SRC05</x:v>
      </x:c>
      <x:c r="J128" s="27" t="str">
        <x:v>Outgoing use and placement rationale.</x:v>
      </x:c>
    </x:row>
    <x:row r="129">
      <x:c r="A129" s="27" t="str">
        <x:v>E00125</x:v>
      </x:c>
      <x:c r="B129" s="27" t="str">
        <x:v>S03-LEARN-02</x:v>
      </x:c>
      <x:c r="C129" s="27" t="str">
        <x:v>Brief expectation</x:v>
      </x:c>
      <x:c r="D129" s="27" t="str">
        <x:v>VERIFIED_BY</x:v>
      </x:c>
      <x:c r="E129" s="27" t="str">
        <x:v>S03-LEARN-02:EVIDENCE</x:v>
      </x:c>
      <x:c r="F129" s="27" t="str">
        <x:v>Shows anticipation before a repeated bounce, sound, or game event.</x:v>
      </x:c>
      <x:c r="G129" s="27" t="str">
        <x:v>S03</x:v>
      </x:c>
      <x:c r="H129" s="27" t="str">
        <x:v>Learning Foundations</x:v>
      </x:c>
      <x:c r="I129" s="27" t="str">
        <x:v>SRC02; SRC05</x:v>
      </x:c>
      <x:c r="J129" s="27" t="str">
        <x:v>Observable evidence of usable learning.</x:v>
      </x:c>
    </x:row>
    <x:row r="130">
      <x:c r="A130" s="27" t="str">
        <x:v>E00126</x:v>
      </x:c>
      <x:c r="B130" s="27" t="str">
        <x:v>S02-SEL-01</x:v>
      </x:c>
      <x:c r="C130" s="27" t="str">
        <x:v>Previous node in domain progression</x:v>
      </x:c>
      <x:c r="D130" s="27" t="str">
        <x:v>DOMAIN_SEQUENCE</x:v>
      </x:c>
      <x:c r="E130" s="27" t="str">
        <x:v>S03-SEL-01</x:v>
      </x:c>
      <x:c r="F130" s="27" t="str">
        <x:v>Emotion differentiation</x:v>
      </x:c>
      <x:c r="G130" s="27" t="str">
        <x:v>S03</x:v>
      </x:c>
      <x:c r="H130" s="27" t="str">
        <x:v>Social-Emotional</x:v>
      </x:c>
      <x:c r="I130" s="27" t="str">
        <x:v>SRC02; SRC03; SRC18</x:v>
      </x:c>
      <x:c r="J130" s="27" t="str">
        <x:v>Ordered spiral link; consult explicit prerequisites for logical dependency.</x:v>
      </x:c>
    </x:row>
    <x:row r="131">
      <x:c r="A131" s="27" t="str">
        <x:v>E00127</x:v>
      </x:c>
      <x:c r="B131" s="27" t="str">
        <x:v>S03-SEL-01:PREREQ</x:v>
      </x:c>
      <x:c r="C131" s="27" t="str">
        <x:v>Co-regulation and social reciprocity.</x:v>
      </x:c>
      <x:c r="D131" s="27" t="str">
        <x:v>PREREQUISITE</x:v>
      </x:c>
      <x:c r="E131" s="27" t="str">
        <x:v>S03-SEL-01</x:v>
      </x:c>
      <x:c r="F131" s="27" t="str">
        <x:v>Emotion differentiation</x:v>
      </x:c>
      <x:c r="G131" s="27" t="str">
        <x:v>S03</x:v>
      </x:c>
      <x:c r="H131" s="27" t="str">
        <x:v>Social-Emotional</x:v>
      </x:c>
      <x:c r="I131" s="27" t="str">
        <x:v>SRC02; SRC03; SRC18</x:v>
      </x:c>
      <x:c r="J131" s="27" t="str">
        <x:v>Incoming prerequisite relationship.</x:v>
      </x:c>
    </x:row>
    <x:row r="132">
      <x:c r="A132" s="27" t="str">
        <x:v>E00128</x:v>
      </x:c>
      <x:c r="B132" s="27" t="str">
        <x:v>S03-SEL-01:GROUND</x:v>
      </x:c>
      <x:c r="C132" s="27" t="str">
        <x:v>G1 — Regulated sensory event</x:v>
      </x:c>
      <x:c r="D132" s="27" t="str">
        <x:v>GROUNDED_BY</x:v>
      </x:c>
      <x:c r="E132" s="27" t="str">
        <x:v>S03-SEL-01</x:v>
      </x:c>
      <x:c r="F132" s="27" t="str">
        <x:v>Emotion differentiation</x:v>
      </x:c>
      <x:c r="G132" s="27" t="str">
        <x:v>S03</x:v>
      </x:c>
      <x:c r="H132" s="27" t="str">
        <x:v>Social-Emotional</x:v>
      </x:c>
      <x:c r="I132" s="27" t="str">
        <x:v>SRC02; SRC03; SRC18</x:v>
      </x:c>
      <x:c r="J132" s="27" t="str">
        <x:v>Grounding form used to preserve meaning.</x:v>
      </x:c>
    </x:row>
    <x:row r="133">
      <x:c r="A133" s="27" t="str">
        <x:v>E00129</x:v>
      </x:c>
      <x:c r="B133" s="27" t="str">
        <x:v>S03-SEL-01</x:v>
      </x:c>
      <x:c r="C133" s="27" t="str">
        <x:v>Emotion differentiation</x:v>
      </x:c>
      <x:c r="D133" s="27" t="str">
        <x:v>CONNECTS_TO</x:v>
      </x:c>
      <x:c r="E133" s="27" t="str">
        <x:v>S03-SEL-01:CROSS</x:v>
      </x:c>
      <x:c r="F133" s="27" t="str">
        <x:v>Language and communication; health; collaboration in science, arts, civics, and projects; responsible digital/financial decisions.</x:v>
      </x:c>
      <x:c r="G133" s="27" t="str">
        <x:v>S03</x:v>
      </x:c>
      <x:c r="H133" s="27" t="str">
        <x:v>Social-Emotional</x:v>
      </x:c>
      <x:c r="I133" s="27" t="str">
        <x:v>SRC02; SRC03; SRC18</x:v>
      </x:c>
      <x:c r="J133" s="27" t="str">
        <x:v>Parallel subject and representation links.</x:v>
      </x:c>
    </x:row>
    <x:row r="134">
      <x:c r="A134" s="27" t="str">
        <x:v>E00130</x:v>
      </x:c>
      <x:c r="B134" s="27" t="str">
        <x:v>S03-SEL-01</x:v>
      </x:c>
      <x:c r="C134" s="27" t="str">
        <x:v>Emotion differentiation</x:v>
      </x:c>
      <x:c r="D134" s="27" t="str">
        <x:v>UNLOCKS</x:v>
      </x:c>
      <x:c r="E134" s="27" t="str">
        <x:v>S03-SEL-01:NEXT</x:v>
      </x:c>
      <x:c r="F134" s="27" t="str">
        <x:v>Distinct emotions can later be labeled, managed, and interpreted in others.</x:v>
      </x:c>
      <x:c r="G134" s="27" t="str">
        <x:v>S03</x:v>
      </x:c>
      <x:c r="H134" s="27" t="str">
        <x:v>Social-Emotional</x:v>
      </x:c>
      <x:c r="I134" s="27" t="str">
        <x:v>SRC02; SRC03; SRC18</x:v>
      </x:c>
      <x:c r="J134" s="27" t="str">
        <x:v>Outgoing use and placement rationale.</x:v>
      </x:c>
    </x:row>
    <x:row r="135">
      <x:c r="A135" s="27" t="str">
        <x:v>E00131</x:v>
      </x:c>
      <x:c r="B135" s="27" t="str">
        <x:v>S03-SEL-01</x:v>
      </x:c>
      <x:c r="C135" s="27" t="str">
        <x:v>Emotion differentiation</x:v>
      </x:c>
      <x:c r="D135" s="27" t="str">
        <x:v>VERIFIED_BY</x:v>
      </x:c>
      <x:c r="E135" s="27" t="str">
        <x:v>S03-SEL-01:EVIDENCE</x:v>
      </x:c>
      <x:c r="F135" s="27" t="str">
        <x:v>Uses differing facial, vocal, and body signals across situations.</x:v>
      </x:c>
      <x:c r="G135" s="27" t="str">
        <x:v>S03</x:v>
      </x:c>
      <x:c r="H135" s="27" t="str">
        <x:v>Social-Emotional</x:v>
      </x:c>
      <x:c r="I135" s="27" t="str">
        <x:v>SRC02; SRC03; SRC18</x:v>
      </x:c>
      <x:c r="J135" s="27" t="str">
        <x:v>Observable evidence of usable learning.</x:v>
      </x:c>
    </x:row>
    <x:row r="136">
      <x:c r="A136" s="27" t="str">
        <x:v>E00132</x:v>
      </x:c>
      <x:c r="B136" s="27" t="str">
        <x:v>S02-LANG-02</x:v>
      </x:c>
      <x:c r="C136" s="27" t="str">
        <x:v>Previous node in domain progression</x:v>
      </x:c>
      <x:c r="D136" s="27" t="str">
        <x:v>DOMAIN_SEQUENCE</x:v>
      </x:c>
      <x:c r="E136" s="27" t="str">
        <x:v>S03-LANG-01</x:v>
      </x:c>
      <x:c r="F136" s="27" t="str">
        <x:v>Name and tone attention</x:v>
      </x:c>
      <x:c r="G136" s="27" t="str">
        <x:v>S03</x:v>
      </x:c>
      <x:c r="H136" s="27" t="str">
        <x:v>Language &amp; Communication</x:v>
      </x:c>
      <x:c r="I136" s="27" t="str">
        <x:v>SRC02; SRC03</x:v>
      </x:c>
      <x:c r="J136" s="27" t="str">
        <x:v>Ordered spiral link; consult explicit prerequisites for logical dependency.</x:v>
      </x:c>
    </x:row>
    <x:row r="137">
      <x:c r="A137" s="27" t="str">
        <x:v>E00133</x:v>
      </x:c>
      <x:c r="B137" s="27" t="str">
        <x:v>S03-LANG-01:PREREQ</x:v>
      </x:c>
      <x:c r="C137" s="27" t="str">
        <x:v>Speech exposure and familiarity recognition.</x:v>
      </x:c>
      <x:c r="D137" s="27" t="str">
        <x:v>PREREQUISITE</x:v>
      </x:c>
      <x:c r="E137" s="27" t="str">
        <x:v>S03-LANG-01</x:v>
      </x:c>
      <x:c r="F137" s="27" t="str">
        <x:v>Name and tone attention</x:v>
      </x:c>
      <x:c r="G137" s="27" t="str">
        <x:v>S03</x:v>
      </x:c>
      <x:c r="H137" s="27" t="str">
        <x:v>Language &amp; Communication</x:v>
      </x:c>
      <x:c r="I137" s="27" t="str">
        <x:v>SRC02; SRC03</x:v>
      </x:c>
      <x:c r="J137" s="27" t="str">
        <x:v>Incoming prerequisite relationship.</x:v>
      </x:c>
    </x:row>
    <x:row r="138">
      <x:c r="A138" s="27" t="str">
        <x:v>E00134</x:v>
      </x:c>
      <x:c r="B138" s="27" t="str">
        <x:v>S03-LANG-01:GROUND</x:v>
      </x:c>
      <x:c r="C138" s="27" t="str">
        <x:v>G1 — Regulated sensory event</x:v>
      </x:c>
      <x:c r="D138" s="27" t="str">
        <x:v>GROUNDED_BY</x:v>
      </x:c>
      <x:c r="E138" s="27" t="str">
        <x:v>S03-LANG-01</x:v>
      </x:c>
      <x:c r="F138" s="27" t="str">
        <x:v>Name and tone attention</x:v>
      </x:c>
      <x:c r="G138" s="27" t="str">
        <x:v>S03</x:v>
      </x:c>
      <x:c r="H138" s="27" t="str">
        <x:v>Language &amp; Communication</x:v>
      </x:c>
      <x:c r="I138" s="27" t="str">
        <x:v>SRC02; SRC03</x:v>
      </x:c>
      <x:c r="J138" s="27" t="str">
        <x:v>Grounding form used to preserve meaning.</x:v>
      </x:c>
    </x:row>
    <x:row r="139">
      <x:c r="A139" s="27" t="str">
        <x:v>E00135</x:v>
      </x:c>
      <x:c r="B139" s="27" t="str">
        <x:v>S03-LANG-01</x:v>
      </x:c>
      <x:c r="C139" s="27" t="str">
        <x:v>Name and tone attention</x:v>
      </x:c>
      <x:c r="D139" s="27" t="str">
        <x:v>CONNECTS_TO</x:v>
      </x:c>
      <x:c r="E139" s="27" t="str">
        <x:v>S03-LANG-01:CROSS</x:v>
      </x:c>
      <x:c r="F139" s="27" t="str">
        <x:v>Reading and writing; vocabulary for math/science/social studies; discussion, music prosody, and world-language learning.</x:v>
      </x:c>
      <x:c r="G139" s="27" t="str">
        <x:v>S03</x:v>
      </x:c>
      <x:c r="H139" s="27" t="str">
        <x:v>Language &amp; Communication</x:v>
      </x:c>
      <x:c r="I139" s="27" t="str">
        <x:v>SRC02; SRC03</x:v>
      </x:c>
      <x:c r="J139" s="27" t="str">
        <x:v>Parallel subject and representation links.</x:v>
      </x:c>
    </x:row>
    <x:row r="140">
      <x:c r="A140" s="27" t="str">
        <x:v>E00136</x:v>
      </x:c>
      <x:c r="B140" s="27" t="str">
        <x:v>S03-LANG-01</x:v>
      </x:c>
      <x:c r="C140" s="27" t="str">
        <x:v>Name and tone attention</x:v>
      </x:c>
      <x:c r="D140" s="27" t="str">
        <x:v>UNLOCKS</x:v>
      </x:c>
      <x:c r="E140" s="27" t="str">
        <x:v>S03-LANG-01:NEXT</x:v>
      </x:c>
      <x:c r="F140" s="27" t="str">
        <x:v>Stable sound patterns begin to link to social meaning and reference.</x:v>
      </x:c>
      <x:c r="G140" s="27" t="str">
        <x:v>S03</x:v>
      </x:c>
      <x:c r="H140" s="27" t="str">
        <x:v>Language &amp; Communication</x:v>
      </x:c>
      <x:c r="I140" s="27" t="str">
        <x:v>SRC02; SRC03</x:v>
      </x:c>
      <x:c r="J140" s="27" t="str">
        <x:v>Outgoing use and placement rationale.</x:v>
      </x:c>
    </x:row>
    <x:row r="141">
      <x:c r="A141" s="27" t="str">
        <x:v>E00137</x:v>
      </x:c>
      <x:c r="B141" s="27" t="str">
        <x:v>S03-LANG-01</x:v>
      </x:c>
      <x:c r="C141" s="27" t="str">
        <x:v>Name and tone attention</x:v>
      </x:c>
      <x:c r="D141" s="27" t="str">
        <x:v>VERIFIED_BY</x:v>
      </x:c>
      <x:c r="E141" s="27" t="str">
        <x:v>S03-LANG-01:EVIDENCE</x:v>
      </x:c>
      <x:c r="F141" s="27" t="str">
        <x:v>Looks, stills, or vocalizes when a familiar name or tone is used.</x:v>
      </x:c>
      <x:c r="G141" s="27" t="str">
        <x:v>S03</x:v>
      </x:c>
      <x:c r="H141" s="27" t="str">
        <x:v>Language &amp; Communication</x:v>
      </x:c>
      <x:c r="I141" s="27" t="str">
        <x:v>SRC02; SRC03</x:v>
      </x:c>
      <x:c r="J141" s="27" t="str">
        <x:v>Observable evidence of usable learning.</x:v>
      </x:c>
    </x:row>
    <x:row r="142">
      <x:c r="A142" s="27" t="str">
        <x:v>E00138</x:v>
      </x:c>
      <x:c r="B142" s="27" t="str">
        <x:v>S03-LANG-01</x:v>
      </x:c>
      <x:c r="C142" s="27" t="str">
        <x:v>Previous node in domain progression</x:v>
      </x:c>
      <x:c r="D142" s="27" t="str">
        <x:v>DOMAIN_SEQUENCE</x:v>
      </x:c>
      <x:c r="E142" s="27" t="str">
        <x:v>S03-LANG-02</x:v>
      </x:c>
      <x:c r="F142" s="27" t="str">
        <x:v>Consonant-like sound play</x:v>
      </x:c>
      <x:c r="G142" s="27" t="str">
        <x:v>S03</x:v>
      </x:c>
      <x:c r="H142" s="27" t="str">
        <x:v>Language &amp; Communication</x:v>
      </x:c>
      <x:c r="I142" s="27" t="str">
        <x:v>SRC02; SRC03</x:v>
      </x:c>
      <x:c r="J142" s="27" t="str">
        <x:v>Ordered spiral link; consult explicit prerequisites for logical dependency.</x:v>
      </x:c>
    </x:row>
    <x:row r="143">
      <x:c r="A143" s="27" t="str">
        <x:v>E00139</x:v>
      </x:c>
      <x:c r="B143" s="27" t="str">
        <x:v>S03-LANG-02:PREREQ</x:v>
      </x:c>
      <x:c r="C143" s="27" t="str">
        <x:v>Cooing and voluntary voice control.</x:v>
      </x:c>
      <x:c r="D143" s="27" t="str">
        <x:v>PREREQUISITE</x:v>
      </x:c>
      <x:c r="E143" s="27" t="str">
        <x:v>S03-LANG-02</x:v>
      </x:c>
      <x:c r="F143" s="27" t="str">
        <x:v>Consonant-like sound play</x:v>
      </x:c>
      <x:c r="G143" s="27" t="str">
        <x:v>S03</x:v>
      </x:c>
      <x:c r="H143" s="27" t="str">
        <x:v>Language &amp; Communication</x:v>
      </x:c>
      <x:c r="I143" s="27" t="str">
        <x:v>SRC02; SRC03</x:v>
      </x:c>
      <x:c r="J143" s="27" t="str">
        <x:v>Incoming prerequisite relationship.</x:v>
      </x:c>
    </x:row>
    <x:row r="144">
      <x:c r="A144" s="27" t="str">
        <x:v>E00140</x:v>
      </x:c>
      <x:c r="B144" s="27" t="str">
        <x:v>S03-LANG-02:GROUND</x:v>
      </x:c>
      <x:c r="C144" s="27" t="str">
        <x:v>G1 — Regulated sensory event</x:v>
      </x:c>
      <x:c r="D144" s="27" t="str">
        <x:v>GROUNDED_BY</x:v>
      </x:c>
      <x:c r="E144" s="27" t="str">
        <x:v>S03-LANG-02</x:v>
      </x:c>
      <x:c r="F144" s="27" t="str">
        <x:v>Consonant-like sound play</x:v>
      </x:c>
      <x:c r="G144" s="27" t="str">
        <x:v>S03</x:v>
      </x:c>
      <x:c r="H144" s="27" t="str">
        <x:v>Language &amp; Communication</x:v>
      </x:c>
      <x:c r="I144" s="27" t="str">
        <x:v>SRC02; SRC03</x:v>
      </x:c>
      <x:c r="J144" s="27" t="str">
        <x:v>Grounding form used to preserve meaning.</x:v>
      </x:c>
    </x:row>
    <x:row r="145">
      <x:c r="A145" s="27" t="str">
        <x:v>E00141</x:v>
      </x:c>
      <x:c r="B145" s="27" t="str">
        <x:v>S03-LANG-02</x:v>
      </x:c>
      <x:c r="C145" s="27" t="str">
        <x:v>Consonant-like sound play</x:v>
      </x:c>
      <x:c r="D145" s="27" t="str">
        <x:v>CONNECTS_TO</x:v>
      </x:c>
      <x:c r="E145" s="27" t="str">
        <x:v>S03-LANG-02:CROSS</x:v>
      </x:c>
      <x:c r="F145" s="27" t="str">
        <x:v>Reading and writing; vocabulary for math/science/social studies; discussion, music prosody, and world-language learning.</x:v>
      </x:c>
      <x:c r="G145" s="27" t="str">
        <x:v>S03</x:v>
      </x:c>
      <x:c r="H145" s="27" t="str">
        <x:v>Language &amp; Communication</x:v>
      </x:c>
      <x:c r="I145" s="27" t="str">
        <x:v>SRC02; SRC03</x:v>
      </x:c>
      <x:c r="J145" s="27" t="str">
        <x:v>Parallel subject and representation links.</x:v>
      </x:c>
    </x:row>
    <x:row r="146">
      <x:c r="A146" s="27" t="str">
        <x:v>E00142</x:v>
      </x:c>
      <x:c r="B146" s="27" t="str">
        <x:v>S03-LANG-02</x:v>
      </x:c>
      <x:c r="C146" s="27" t="str">
        <x:v>Consonant-like sound play</x:v>
      </x:c>
      <x:c r="D146" s="27" t="str">
        <x:v>UNLOCKS</x:v>
      </x:c>
      <x:c r="E146" s="27" t="str">
        <x:v>S03-LANG-02:NEXT</x:v>
      </x:c>
      <x:c r="F146" s="27" t="str">
        <x:v>Varied vocal gestures prepare canonical babbling and speech imitation.</x:v>
      </x:c>
      <x:c r="G146" s="27" t="str">
        <x:v>S03</x:v>
      </x:c>
      <x:c r="H146" s="27" t="str">
        <x:v>Language &amp; Communication</x:v>
      </x:c>
      <x:c r="I146" s="27" t="str">
        <x:v>SRC02; SRC03</x:v>
      </x:c>
      <x:c r="J146" s="27" t="str">
        <x:v>Outgoing use and placement rationale.</x:v>
      </x:c>
    </x:row>
    <x:row r="147">
      <x:c r="A147" s="27" t="str">
        <x:v>E00143</x:v>
      </x:c>
      <x:c r="B147" s="27" t="str">
        <x:v>S03-LANG-02</x:v>
      </x:c>
      <x:c r="C147" s="27" t="str">
        <x:v>Consonant-like sound play</x:v>
      </x:c>
      <x:c r="D147" s="27" t="str">
        <x:v>VERIFIED_BY</x:v>
      </x:c>
      <x:c r="E147" s="27" t="str">
        <x:v>S03-LANG-02:EVIDENCE</x:v>
      </x:c>
      <x:c r="F147" s="27" t="str">
        <x:v>Experiments with several sound types during play.</x:v>
      </x:c>
      <x:c r="G147" s="27" t="str">
        <x:v>S03</x:v>
      </x:c>
      <x:c r="H147" s="27" t="str">
        <x:v>Language &amp; Communication</x:v>
      </x:c>
      <x:c r="I147" s="27" t="str">
        <x:v>SRC02; SRC03</x:v>
      </x:c>
      <x:c r="J147" s="27" t="str">
        <x:v>Observable evidence of usable learning.</x:v>
      </x:c>
    </x:row>
    <x:row r="148">
      <x:c r="A148" s="27" t="str">
        <x:v>E00144</x:v>
      </x:c>
      <x:c r="B148" s="27" t="str">
        <x:v>S02-MATH-01</x:v>
      </x:c>
      <x:c r="C148" s="27" t="str">
        <x:v>Previous node in domain progression</x:v>
      </x:c>
      <x:c r="D148" s="27" t="str">
        <x:v>DOMAIN_SEQUENCE</x:v>
      </x:c>
      <x:c r="E148" s="27" t="str">
        <x:v>S03-MATH-01</x:v>
      </x:c>
      <x:c r="F148" s="27" t="str">
        <x:v>Reach-distance coordination</x:v>
      </x:c>
      <x:c r="G148" s="27" t="str">
        <x:v>S03</x:v>
      </x:c>
      <x:c r="H148" s="27" t="str">
        <x:v>Mathematics</x:v>
      </x:c>
      <x:c r="I148" s="27" t="str">
        <x:v>SRC02; SRC07</x:v>
      </x:c>
      <x:c r="J148" s="27" t="str">
        <x:v>Ordered spiral link; consult explicit prerequisites for logical dependency.</x:v>
      </x:c>
    </x:row>
    <x:row r="149">
      <x:c r="A149" s="27" t="str">
        <x:v>E00145</x:v>
      </x:c>
      <x:c r="B149" s="27" t="str">
        <x:v>S03-MATH-01:PREREQ</x:v>
      </x:c>
      <x:c r="C149" s="27" t="str">
        <x:v>Tracking, head control, and emerging grasp.</x:v>
      </x:c>
      <x:c r="D149" s="27" t="str">
        <x:v>PREREQUISITE</x:v>
      </x:c>
      <x:c r="E149" s="27" t="str">
        <x:v>S03-MATH-01</x:v>
      </x:c>
      <x:c r="F149" s="27" t="str">
        <x:v>Reach-distance coordination</x:v>
      </x:c>
      <x:c r="G149" s="27" t="str">
        <x:v>S03</x:v>
      </x:c>
      <x:c r="H149" s="27" t="str">
        <x:v>Mathematics</x:v>
      </x:c>
      <x:c r="I149" s="27" t="str">
        <x:v>SRC02; SRC07</x:v>
      </x:c>
      <x:c r="J149" s="27" t="str">
        <x:v>Incoming prerequisite relationship.</x:v>
      </x:c>
    </x:row>
    <x:row r="150">
      <x:c r="A150" s="27" t="str">
        <x:v>E00146</x:v>
      </x:c>
      <x:c r="B150" s="27" t="str">
        <x:v>S03-MATH-01:GROUND</x:v>
      </x:c>
      <x:c r="C150" s="27" t="str">
        <x:v>G1 — Regulated sensory event</x:v>
      </x:c>
      <x:c r="D150" s="27" t="str">
        <x:v>GROUNDED_BY</x:v>
      </x:c>
      <x:c r="E150" s="27" t="str">
        <x:v>S03-MATH-01</x:v>
      </x:c>
      <x:c r="F150" s="27" t="str">
        <x:v>Reach-distance coordination</x:v>
      </x:c>
      <x:c r="G150" s="27" t="str">
        <x:v>S03</x:v>
      </x:c>
      <x:c r="H150" s="27" t="str">
        <x:v>Mathematics</x:v>
      </x:c>
      <x:c r="I150" s="27" t="str">
        <x:v>SRC02; SRC07</x:v>
      </x:c>
      <x:c r="J150" s="27" t="str">
        <x:v>Grounding form used to preserve meaning.</x:v>
      </x:c>
    </x:row>
    <x:row r="151">
      <x:c r="A151" s="27" t="str">
        <x:v>E00147</x:v>
      </x:c>
      <x:c r="B151" s="27" t="str">
        <x:v>S03-MATH-01</x:v>
      </x:c>
      <x:c r="C151" s="27" t="str">
        <x:v>Reach-distance coordination</x:v>
      </x:c>
      <x:c r="D151" s="27" t="str">
        <x:v>CONNECTS_TO</x:v>
      </x:c>
      <x:c r="E151" s="27" t="str">
        <x:v>S03-MATH-01:CROSS</x:v>
      </x:c>
      <x:c r="F151" s="27" t="str">
        <x:v>Physical quantity and spatial action; science measurement/models; computing/algorithms; finance; music rhythm/pattern; geographic data.</x:v>
      </x:c>
      <x:c r="G151" s="27" t="str">
        <x:v>S03</x:v>
      </x:c>
      <x:c r="H151" s="27" t="str">
        <x:v>Mathematics</x:v>
      </x:c>
      <x:c r="I151" s="27" t="str">
        <x:v>SRC02; SRC07</x:v>
      </x:c>
      <x:c r="J151" s="27" t="str">
        <x:v>Parallel subject and representation links.</x:v>
      </x:c>
    </x:row>
    <x:row r="152">
      <x:c r="A152" s="27" t="str">
        <x:v>E00148</x:v>
      </x:c>
      <x:c r="B152" s="27" t="str">
        <x:v>S03-MATH-01</x:v>
      </x:c>
      <x:c r="C152" s="27" t="str">
        <x:v>Reach-distance coordination</x:v>
      </x:c>
      <x:c r="D152" s="27" t="str">
        <x:v>UNLOCKS</x:v>
      </x:c>
      <x:c r="E152" s="27" t="str">
        <x:v>S03-MATH-01:NEXT</x:v>
      </x:c>
      <x:c r="F152" s="27" t="str">
        <x:v>Coordinating space with action supports distance, direction, geometry, and measurement.</x:v>
      </x:c>
      <x:c r="G152" s="27" t="str">
        <x:v>S03</x:v>
      </x:c>
      <x:c r="H152" s="27" t="str">
        <x:v>Mathematics</x:v>
      </x:c>
      <x:c r="I152" s="27" t="str">
        <x:v>SRC02; SRC07</x:v>
      </x:c>
      <x:c r="J152" s="27" t="str">
        <x:v>Outgoing use and placement rationale.</x:v>
      </x:c>
    </x:row>
    <x:row r="153">
      <x:c r="A153" s="27" t="str">
        <x:v>E00149</x:v>
      </x:c>
      <x:c r="B153" s="27" t="str">
        <x:v>S03-MATH-01</x:v>
      </x:c>
      <x:c r="C153" s="27" t="str">
        <x:v>Reach-distance coordination</x:v>
      </x:c>
      <x:c r="D153" s="27" t="str">
        <x:v>VERIFIED_BY</x:v>
      </x:c>
      <x:c r="E153" s="27" t="str">
        <x:v>S03-MATH-01:EVIDENCE</x:v>
      </x:c>
      <x:c r="F153" s="27" t="str">
        <x:v>Reaches more accurately for objects at different positions.</x:v>
      </x:c>
      <x:c r="G153" s="27" t="str">
        <x:v>S03</x:v>
      </x:c>
      <x:c r="H153" s="27" t="str">
        <x:v>Mathematics</x:v>
      </x:c>
      <x:c r="I153" s="27" t="str">
        <x:v>SRC02; SRC07</x:v>
      </x:c>
      <x:c r="J153" s="27" t="str">
        <x:v>Observable evidence of usable learning.</x:v>
      </x:c>
    </x:row>
    <x:row r="154">
      <x:c r="A154" s="27" t="str">
        <x:v>E00150</x:v>
      </x:c>
      <x:c r="B154" s="27" t="str">
        <x:v>S03-MATH-01</x:v>
      </x:c>
      <x:c r="C154" s="27" t="str">
        <x:v>Previous node in domain progression</x:v>
      </x:c>
      <x:c r="D154" s="27" t="str">
        <x:v>DOMAIN_SEQUENCE</x:v>
      </x:c>
      <x:c r="E154" s="27" t="str">
        <x:v>S03-MATH-02</x:v>
      </x:c>
      <x:c r="F154" s="27" t="str">
        <x:v>Small-set sensitivity</x:v>
      </x:c>
      <x:c r="G154" s="27" t="str">
        <x:v>S03</x:v>
      </x:c>
      <x:c r="H154" s="27" t="str">
        <x:v>Mathematics</x:v>
      </x:c>
      <x:c r="I154" s="27" t="str">
        <x:v>SRC04; SRC07</x:v>
      </x:c>
      <x:c r="J154" s="27" t="str">
        <x:v>Ordered spiral link; consult explicit prerequisites for logical dependency.</x:v>
      </x:c>
    </x:row>
    <x:row r="155">
      <x:c r="A155" s="27" t="str">
        <x:v>E00151</x:v>
      </x:c>
      <x:c r="B155" s="27" t="str">
        <x:v>S03-MATH-02:PREREQ</x:v>
      </x:c>
      <x:c r="C155" s="27" t="str">
        <x:v>Visual discrimination and attention.</x:v>
      </x:c>
      <x:c r="D155" s="27" t="str">
        <x:v>PREREQUISITE</x:v>
      </x:c>
      <x:c r="E155" s="27" t="str">
        <x:v>S03-MATH-02</x:v>
      </x:c>
      <x:c r="F155" s="27" t="str">
        <x:v>Small-set sensitivity</x:v>
      </x:c>
      <x:c r="G155" s="27" t="str">
        <x:v>S03</x:v>
      </x:c>
      <x:c r="H155" s="27" t="str">
        <x:v>Mathematics</x:v>
      </x:c>
      <x:c r="I155" s="27" t="str">
        <x:v>SRC04; SRC07</x:v>
      </x:c>
      <x:c r="J155" s="27" t="str">
        <x:v>Incoming prerequisite relationship.</x:v>
      </x:c>
    </x:row>
    <x:row r="156">
      <x:c r="A156" s="27" t="str">
        <x:v>E00152</x:v>
      </x:c>
      <x:c r="B156" s="27" t="str">
        <x:v>S03-MATH-02:GROUND</x:v>
      </x:c>
      <x:c r="C156" s="27" t="str">
        <x:v>G1 — Regulated sensory event</x:v>
      </x:c>
      <x:c r="D156" s="27" t="str">
        <x:v>GROUNDED_BY</x:v>
      </x:c>
      <x:c r="E156" s="27" t="str">
        <x:v>S03-MATH-02</x:v>
      </x:c>
      <x:c r="F156" s="27" t="str">
        <x:v>Small-set sensitivity</x:v>
      </x:c>
      <x:c r="G156" s="27" t="str">
        <x:v>S03</x:v>
      </x:c>
      <x:c r="H156" s="27" t="str">
        <x:v>Mathematics</x:v>
      </x:c>
      <x:c r="I156" s="27" t="str">
        <x:v>SRC04; SRC07</x:v>
      </x:c>
      <x:c r="J156" s="27" t="str">
        <x:v>Grounding form used to preserve meaning.</x:v>
      </x:c>
    </x:row>
    <x:row r="157">
      <x:c r="A157" s="27" t="str">
        <x:v>E00153</x:v>
      </x:c>
      <x:c r="B157" s="27" t="str">
        <x:v>S03-MATH-02</x:v>
      </x:c>
      <x:c r="C157" s="27" t="str">
        <x:v>Small-set sensitivity</x:v>
      </x:c>
      <x:c r="D157" s="27" t="str">
        <x:v>CONNECTS_TO</x:v>
      </x:c>
      <x:c r="E157" s="27" t="str">
        <x:v>S03-MATH-02:CROSS</x:v>
      </x:c>
      <x:c r="F157" s="27" t="str">
        <x:v>Physical quantity and spatial action; science measurement/models; computing/algorithms; finance; music rhythm/pattern; geographic data.</x:v>
      </x:c>
      <x:c r="G157" s="27" t="str">
        <x:v>S03</x:v>
      </x:c>
      <x:c r="H157" s="27" t="str">
        <x:v>Mathematics</x:v>
      </x:c>
      <x:c r="I157" s="27" t="str">
        <x:v>SRC04; SRC07</x:v>
      </x:c>
      <x:c r="J157" s="27" t="str">
        <x:v>Parallel subject and representation links.</x:v>
      </x:c>
    </x:row>
    <x:row r="158">
      <x:c r="A158" s="27" t="str">
        <x:v>E00154</x:v>
      </x:c>
      <x:c r="B158" s="27" t="str">
        <x:v>S03-MATH-02</x:v>
      </x:c>
      <x:c r="C158" s="27" t="str">
        <x:v>Small-set sensitivity</x:v>
      </x:c>
      <x:c r="D158" s="27" t="str">
        <x:v>UNLOCKS</x:v>
      </x:c>
      <x:c r="E158" s="27" t="str">
        <x:v>S03-MATH-02:NEXT</x:v>
      </x:c>
      <x:c r="F158" s="27" t="str">
        <x:v>Nonverbal quantity sensitivity is connected later to comparison, subitizing, and counting.</x:v>
      </x:c>
      <x:c r="G158" s="27" t="str">
        <x:v>S03</x:v>
      </x:c>
      <x:c r="H158" s="27" t="str">
        <x:v>Mathematics</x:v>
      </x:c>
      <x:c r="I158" s="27" t="str">
        <x:v>SRC04; SRC07</x:v>
      </x:c>
      <x:c r="J158" s="27" t="str">
        <x:v>Outgoing use and placement rationale.</x:v>
      </x:c>
    </x:row>
    <x:row r="159">
      <x:c r="A159" s="27" t="str">
        <x:v>E00155</x:v>
      </x:c>
      <x:c r="B159" s="27" t="str">
        <x:v>S03-MATH-02</x:v>
      </x:c>
      <x:c r="C159" s="27" t="str">
        <x:v>Small-set sensitivity</x:v>
      </x:c>
      <x:c r="D159" s="27" t="str">
        <x:v>VERIFIED_BY</x:v>
      </x:c>
      <x:c r="E159" s="27" t="str">
        <x:v>S03-MATH-02:EVIDENCE</x:v>
      </x:c>
      <x:c r="F159" s="27" t="str">
        <x:v>Shows renewed attention when a repeated collection changes markedly in amount.</x:v>
      </x:c>
      <x:c r="G159" s="27" t="str">
        <x:v>S03</x:v>
      </x:c>
      <x:c r="H159" s="27" t="str">
        <x:v>Mathematics</x:v>
      </x:c>
      <x:c r="I159" s="27" t="str">
        <x:v>SRC04; SRC07</x:v>
      </x:c>
      <x:c r="J159" s="27" t="str">
        <x:v>Observable evidence of usable learning.</x:v>
      </x:c>
    </x:row>
    <x:row r="160">
      <x:c r="A160" s="27" t="str">
        <x:v>E00156</x:v>
      </x:c>
      <x:c r="B160" s="27" t="str">
        <x:v>S02-SCI-01</x:v>
      </x:c>
      <x:c r="C160" s="27" t="str">
        <x:v>Previous node in domain progression</x:v>
      </x:c>
      <x:c r="D160" s="27" t="str">
        <x:v>DOMAIN_SEQUENCE</x:v>
      </x:c>
      <x:c r="E160" s="27" t="str">
        <x:v>S03-SCI-01</x:v>
      </x:c>
      <x:c r="F160" s="27" t="str">
        <x:v>Mouth-hand comparison</x:v>
      </x:c>
      <x:c r="G160" s="27" t="str">
        <x:v>S03</x:v>
      </x:c>
      <x:c r="H160" s="27" t="str">
        <x:v>Science &amp; Engineering</x:v>
      </x:c>
      <x:c r="I160" s="27" t="str">
        <x:v>SRC02; SRC04; SRC11</x:v>
      </x:c>
      <x:c r="J160" s="27" t="str">
        <x:v>Ordered spiral link; consult explicit prerequisites for logical dependency.</x:v>
      </x:c>
    </x:row>
    <x:row r="161">
      <x:c r="A161" s="27" t="str">
        <x:v>E00157</x:v>
      </x:c>
      <x:c r="B161" s="27" t="str">
        <x:v>S03-SCI-01:PREREQ</x:v>
      </x:c>
      <x:c r="C161" s="27" t="str">
        <x:v>Grasping and sensory exploration.</x:v>
      </x:c>
      <x:c r="D161" s="27" t="str">
        <x:v>PREREQUISITE</x:v>
      </x:c>
      <x:c r="E161" s="27" t="str">
        <x:v>S03-SCI-01</x:v>
      </x:c>
      <x:c r="F161" s="27" t="str">
        <x:v>Mouth-hand comparison</x:v>
      </x:c>
      <x:c r="G161" s="27" t="str">
        <x:v>S03</x:v>
      </x:c>
      <x:c r="H161" s="27" t="str">
        <x:v>Science &amp; Engineering</x:v>
      </x:c>
      <x:c r="I161" s="27" t="str">
        <x:v>SRC02; SRC04; SRC11</x:v>
      </x:c>
      <x:c r="J161" s="27" t="str">
        <x:v>Incoming prerequisite relationship.</x:v>
      </x:c>
    </x:row>
    <x:row r="162">
      <x:c r="A162" s="27" t="str">
        <x:v>E00158</x:v>
      </x:c>
      <x:c r="B162" s="27" t="str">
        <x:v>S03-SCI-01:GROUND</x:v>
      </x:c>
      <x:c r="C162" s="27" t="str">
        <x:v>G1 — Regulated sensory event</x:v>
      </x:c>
      <x:c r="D162" s="27" t="str">
        <x:v>GROUNDED_BY</x:v>
      </x:c>
      <x:c r="E162" s="27" t="str">
        <x:v>S03-SCI-01</x:v>
      </x:c>
      <x:c r="F162" s="27" t="str">
        <x:v>Mouth-hand comparison</x:v>
      </x:c>
      <x:c r="G162" s="27" t="str">
        <x:v>S03</x:v>
      </x:c>
      <x:c r="H162" s="27" t="str">
        <x:v>Science &amp; Engineering</x:v>
      </x:c>
      <x:c r="I162" s="27" t="str">
        <x:v>SRC02; SRC04; SRC11</x:v>
      </x:c>
      <x:c r="J162" s="27" t="str">
        <x:v>Grounding form used to preserve meaning.</x:v>
      </x:c>
    </x:row>
    <x:row r="163">
      <x:c r="A163" s="27" t="str">
        <x:v>E00159</x:v>
      </x:c>
      <x:c r="B163" s="27" t="str">
        <x:v>S03-SCI-01</x:v>
      </x:c>
      <x:c r="C163" s="27" t="str">
        <x:v>Mouth-hand comparison</x:v>
      </x:c>
      <x:c r="D163" s="27" t="str">
        <x:v>CONNECTS_TO</x:v>
      </x:c>
      <x:c r="E163" s="27" t="str">
        <x:v>S03-SCI-01:CROSS</x:v>
      </x:c>
      <x:c r="F163" s="27" t="str">
        <x:v>Sensory observation and action; mathematics/data; reading/writing evidence; computing/models; health and environmental/civic decisions.</x:v>
      </x:c>
      <x:c r="G163" s="27" t="str">
        <x:v>S03</x:v>
      </x:c>
      <x:c r="H163" s="27" t="str">
        <x:v>Science &amp; Engineering</x:v>
      </x:c>
      <x:c r="I163" s="27" t="str">
        <x:v>SRC02; SRC04; SRC11</x:v>
      </x:c>
      <x:c r="J163" s="27" t="str">
        <x:v>Parallel subject and representation links.</x:v>
      </x:c>
    </x:row>
    <x:row r="164">
      <x:c r="A164" s="27" t="str">
        <x:v>E00160</x:v>
      </x:c>
      <x:c r="B164" s="27" t="str">
        <x:v>S03-SCI-01</x:v>
      </x:c>
      <x:c r="C164" s="27" t="str">
        <x:v>Mouth-hand comparison</x:v>
      </x:c>
      <x:c r="D164" s="27" t="str">
        <x:v>UNLOCKS</x:v>
      </x:c>
      <x:c r="E164" s="27" t="str">
        <x:v>S03-SCI-01:NEXT</x:v>
      </x:c>
      <x:c r="F164" s="27" t="str">
        <x:v>Using multiple senses on one object builds the concept that objects have stable properties.</x:v>
      </x:c>
      <x:c r="G164" s="27" t="str">
        <x:v>S03</x:v>
      </x:c>
      <x:c r="H164" s="27" t="str">
        <x:v>Science &amp; Engineering</x:v>
      </x:c>
      <x:c r="I164" s="27" t="str">
        <x:v>SRC02; SRC04; SRC11</x:v>
      </x:c>
      <x:c r="J164" s="27" t="str">
        <x:v>Outgoing use and placement rationale.</x:v>
      </x:c>
    </x:row>
    <x:row r="165">
      <x:c r="A165" s="27" t="str">
        <x:v>E00161</x:v>
      </x:c>
      <x:c r="B165" s="27" t="str">
        <x:v>S03-SCI-01</x:v>
      </x:c>
      <x:c r="C165" s="27" t="str">
        <x:v>Mouth-hand comparison</x:v>
      </x:c>
      <x:c r="D165" s="27" t="str">
        <x:v>VERIFIED_BY</x:v>
      </x:c>
      <x:c r="E165" s="27" t="str">
        <x:v>S03-SCI-01:EVIDENCE</x:v>
      </x:c>
      <x:c r="F165" s="27" t="str">
        <x:v>Explores the same object in more than one way.</x:v>
      </x:c>
      <x:c r="G165" s="27" t="str">
        <x:v>S03</x:v>
      </x:c>
      <x:c r="H165" s="27" t="str">
        <x:v>Science &amp; Engineering</x:v>
      </x:c>
      <x:c r="I165" s="27" t="str">
        <x:v>SRC02; SRC04; SRC11</x:v>
      </x:c>
      <x:c r="J165" s="27" t="str">
        <x:v>Observable evidence of usable learning.</x:v>
      </x:c>
    </x:row>
    <x:row r="166">
      <x:c r="A166" s="27" t="str">
        <x:v>E00162</x:v>
      </x:c>
      <x:c r="B166" s="27" t="str">
        <x:v>S02-ARTS-01</x:v>
      </x:c>
      <x:c r="C166" s="27" t="str">
        <x:v>Previous node in domain progression</x:v>
      </x:c>
      <x:c r="D166" s="27" t="str">
        <x:v>DOMAIN_SEQUENCE</x:v>
      </x:c>
      <x:c r="E166" s="27" t="str">
        <x:v>S03-ARTS-01</x:v>
      </x:c>
      <x:c r="F166" s="27" t="str">
        <x:v>Pulse through movement</x:v>
      </x:c>
      <x:c r="G166" s="27" t="str">
        <x:v>S03</x:v>
      </x:c>
      <x:c r="H166" s="27" t="str">
        <x:v>Music &amp; Arts</x:v>
      </x:c>
      <x:c r="I166" s="27" t="str">
        <x:v>SRC02; SRC13</x:v>
      </x:c>
      <x:c r="J166" s="27" t="str">
        <x:v>Ordered spiral link; consult explicit prerequisites for logical dependency.</x:v>
      </x:c>
    </x:row>
    <x:row r="167">
      <x:c r="A167" s="27" t="str">
        <x:v>E00163</x:v>
      </x:c>
      <x:c r="B167" s="27" t="str">
        <x:v>S03-ARTS-01:PREREQ</x:v>
      </x:c>
      <x:c r="C167" s="27" t="str">
        <x:v>Temporal regularity and body movement.</x:v>
      </x:c>
      <x:c r="D167" s="27" t="str">
        <x:v>PREREQUISITE</x:v>
      </x:c>
      <x:c r="E167" s="27" t="str">
        <x:v>S03-ARTS-01</x:v>
      </x:c>
      <x:c r="F167" s="27" t="str">
        <x:v>Pulse through movement</x:v>
      </x:c>
      <x:c r="G167" s="27" t="str">
        <x:v>S03</x:v>
      </x:c>
      <x:c r="H167" s="27" t="str">
        <x:v>Music &amp; Arts</x:v>
      </x:c>
      <x:c r="I167" s="27" t="str">
        <x:v>SRC02; SRC13</x:v>
      </x:c>
      <x:c r="J167" s="27" t="str">
        <x:v>Incoming prerequisite relationship.</x:v>
      </x:c>
    </x:row>
    <x:row r="168">
      <x:c r="A168" s="27" t="str">
        <x:v>E00164</x:v>
      </x:c>
      <x:c r="B168" s="27" t="str">
        <x:v>S03-ARTS-01:GROUND</x:v>
      </x:c>
      <x:c r="C168" s="27" t="str">
        <x:v>G1 — Regulated sensory event</x:v>
      </x:c>
      <x:c r="D168" s="27" t="str">
        <x:v>GROUNDED_BY</x:v>
      </x:c>
      <x:c r="E168" s="27" t="str">
        <x:v>S03-ARTS-01</x:v>
      </x:c>
      <x:c r="F168" s="27" t="str">
        <x:v>Pulse through movement</x:v>
      </x:c>
      <x:c r="G168" s="27" t="str">
        <x:v>S03</x:v>
      </x:c>
      <x:c r="H168" s="27" t="str">
        <x:v>Music &amp; Arts</x:v>
      </x:c>
      <x:c r="I168" s="27" t="str">
        <x:v>SRC02; SRC13</x:v>
      </x:c>
      <x:c r="J168" s="27" t="str">
        <x:v>Grounding form used to preserve meaning.</x:v>
      </x:c>
    </x:row>
    <x:row r="169">
      <x:c r="A169" s="27" t="str">
        <x:v>E00165</x:v>
      </x:c>
      <x:c r="B169" s="27" t="str">
        <x:v>S03-ARTS-01</x:v>
      </x:c>
      <x:c r="C169" s="27" t="str">
        <x:v>Pulse through movement</x:v>
      </x:c>
      <x:c r="D169" s="27" t="str">
        <x:v>CONNECTS_TO</x:v>
      </x:c>
      <x:c r="E169" s="27" t="str">
        <x:v>S03-ARTS-01:CROSS</x:v>
      </x:c>
      <x:c r="F169" s="27" t="str">
        <x:v>Sensory discrimination; motor timing; language/prosody; mathematics/pattern; history/culture; emotion, design, and technology.</x:v>
      </x:c>
      <x:c r="G169" s="27" t="str">
        <x:v>S03</x:v>
      </x:c>
      <x:c r="H169" s="27" t="str">
        <x:v>Music &amp; Arts</x:v>
      </x:c>
      <x:c r="I169" s="27" t="str">
        <x:v>SRC02; SRC13</x:v>
      </x:c>
      <x:c r="J169" s="27" t="str">
        <x:v>Parallel subject and representation links.</x:v>
      </x:c>
    </x:row>
    <x:row r="170">
      <x:c r="A170" s="27" t="str">
        <x:v>E00166</x:v>
      </x:c>
      <x:c r="B170" s="27" t="str">
        <x:v>S03-ARTS-01</x:v>
      </x:c>
      <x:c r="C170" s="27" t="str">
        <x:v>Pulse through movement</x:v>
      </x:c>
      <x:c r="D170" s="27" t="str">
        <x:v>UNLOCKS</x:v>
      </x:c>
      <x:c r="E170" s="27" t="str">
        <x:v>S03-ARTS-01:NEXT</x:v>
      </x:c>
      <x:c r="F170" s="27" t="str">
        <x:v>A felt pulse precedes independent beat synchronization.</x:v>
      </x:c>
      <x:c r="G170" s="27" t="str">
        <x:v>S03</x:v>
      </x:c>
      <x:c r="H170" s="27" t="str">
        <x:v>Music &amp; Arts</x:v>
      </x:c>
      <x:c r="I170" s="27" t="str">
        <x:v>SRC02; SRC13</x:v>
      </x:c>
      <x:c r="J170" s="27" t="str">
        <x:v>Outgoing use and placement rationale.</x:v>
      </x:c>
    </x:row>
    <x:row r="171">
      <x:c r="A171" s="27" t="str">
        <x:v>E00167</x:v>
      </x:c>
      <x:c r="B171" s="27" t="str">
        <x:v>S03-ARTS-01</x:v>
      </x:c>
      <x:c r="C171" s="27" t="str">
        <x:v>Pulse through movement</x:v>
      </x:c>
      <x:c r="D171" s="27" t="str">
        <x:v>VERIFIED_BY</x:v>
      </x:c>
      <x:c r="E171" s="27" t="str">
        <x:v>S03-ARTS-01:EVIDENCE</x:v>
      </x:c>
      <x:c r="F171" s="27" t="str">
        <x:v>Anticipates or moves during a repeated pulse pattern.</x:v>
      </x:c>
      <x:c r="G171" s="27" t="str">
        <x:v>S03</x:v>
      </x:c>
      <x:c r="H171" s="27" t="str">
        <x:v>Music &amp; Arts</x:v>
      </x:c>
      <x:c r="I171" s="27" t="str">
        <x:v>SRC02; SRC13</x:v>
      </x:c>
      <x:c r="J171" s="27" t="str">
        <x:v>Observable evidence of usable learning.</x:v>
      </x:c>
    </x:row>
    <x:row r="172">
      <x:c r="A172" s="27" t="str">
        <x:v>E00168</x:v>
      </x:c>
      <x:c r="B172" s="27" t="str">
        <x:v>S02-HLTH-02</x:v>
      </x:c>
      <x:c r="C172" s="27" t="str">
        <x:v>Previous node in domain progression</x:v>
      </x:c>
      <x:c r="D172" s="27" t="str">
        <x:v>DOMAIN_SEQUENCE</x:v>
      </x:c>
      <x:c r="E172" s="27" t="str">
        <x:v>S03-HLTH-01</x:v>
      </x:c>
      <x:c r="F172" s="27" t="str">
        <x:v>Purposeful grasp</x:v>
      </x:c>
      <x:c r="G172" s="27" t="str">
        <x:v>S03</x:v>
      </x:c>
      <x:c r="H172" s="27" t="str">
        <x:v>Physical &amp; Health</x:v>
      </x:c>
      <x:c r="I172" s="27" t="str">
        <x:v>SRC02; SRC03; SRC14</x:v>
      </x:c>
      <x:c r="J172" s="27" t="str">
        <x:v>Ordered spiral link; consult explicit prerequisites for logical dependency.</x:v>
      </x:c>
    </x:row>
    <x:row r="173">
      <x:c r="A173" s="27" t="str">
        <x:v>E00169</x:v>
      </x:c>
      <x:c r="B173" s="27" t="str">
        <x:v>S03-HLTH-01:PREREQ</x:v>
      </x:c>
      <x:c r="C173" s="27" t="str">
        <x:v>Hand opening, tracking, and reach-distance coordination.</x:v>
      </x:c>
      <x:c r="D173" s="27" t="str">
        <x:v>PREREQUISITE</x:v>
      </x:c>
      <x:c r="E173" s="27" t="str">
        <x:v>S03-HLTH-01</x:v>
      </x:c>
      <x:c r="F173" s="27" t="str">
        <x:v>Purposeful grasp</x:v>
      </x:c>
      <x:c r="G173" s="27" t="str">
        <x:v>S03</x:v>
      </x:c>
      <x:c r="H173" s="27" t="str">
        <x:v>Physical &amp; Health</x:v>
      </x:c>
      <x:c r="I173" s="27" t="str">
        <x:v>SRC02; SRC03; SRC14</x:v>
      </x:c>
      <x:c r="J173" s="27" t="str">
        <x:v>Incoming prerequisite relationship.</x:v>
      </x:c>
    </x:row>
    <x:row r="174">
      <x:c r="A174" s="27" t="str">
        <x:v>E00170</x:v>
      </x:c>
      <x:c r="B174" s="27" t="str">
        <x:v>S03-HLTH-01:GROUND</x:v>
      </x:c>
      <x:c r="C174" s="27" t="str">
        <x:v>G1 — Regulated sensory event</x:v>
      </x:c>
      <x:c r="D174" s="27" t="str">
        <x:v>GROUNDED_BY</x:v>
      </x:c>
      <x:c r="E174" s="27" t="str">
        <x:v>S03-HLTH-01</x:v>
      </x:c>
      <x:c r="F174" s="27" t="str">
        <x:v>Purposeful grasp</x:v>
      </x:c>
      <x:c r="G174" s="27" t="str">
        <x:v>S03</x:v>
      </x:c>
      <x:c r="H174" s="27" t="str">
        <x:v>Physical &amp; Health</x:v>
      </x:c>
      <x:c r="I174" s="27" t="str">
        <x:v>SRC02; SRC03; SRC14</x:v>
      </x:c>
      <x:c r="J174" s="27" t="str">
        <x:v>Grounding form used to preserve meaning.</x:v>
      </x:c>
    </x:row>
    <x:row r="175">
      <x:c r="A175" s="27" t="str">
        <x:v>E00171</x:v>
      </x:c>
      <x:c r="B175" s="27" t="str">
        <x:v>S03-HLTH-01</x:v>
      </x:c>
      <x:c r="C175" s="27" t="str">
        <x:v>Purposeful grasp</x:v>
      </x:c>
      <x:c r="D175" s="27" t="str">
        <x:v>CONNECTS_TO</x:v>
      </x:c>
      <x:c r="E175" s="27" t="str">
        <x:v>S03-HLTH-01:CROSS</x:v>
      </x:c>
      <x:c r="F175" s="27" t="str">
        <x:v>Motor/sensory development; life science; measurement/data; SEL/self-management; communication, safety, and decision-making.</x:v>
      </x:c>
      <x:c r="G175" s="27" t="str">
        <x:v>S03</x:v>
      </x:c>
      <x:c r="H175" s="27" t="str">
        <x:v>Physical &amp; Health</x:v>
      </x:c>
      <x:c r="I175" s="27" t="str">
        <x:v>SRC02; SRC03; SRC14</x:v>
      </x:c>
      <x:c r="J175" s="27" t="str">
        <x:v>Parallel subject and representation links.</x:v>
      </x:c>
    </x:row>
    <x:row r="176">
      <x:c r="A176" s="27" t="str">
        <x:v>E00172</x:v>
      </x:c>
      <x:c r="B176" s="27" t="str">
        <x:v>S03-HLTH-01</x:v>
      </x:c>
      <x:c r="C176" s="27" t="str">
        <x:v>Purposeful grasp</x:v>
      </x:c>
      <x:c r="D176" s="27" t="str">
        <x:v>UNLOCKS</x:v>
      </x:c>
      <x:c r="E176" s="27" t="str">
        <x:v>S03-HLTH-01:NEXT</x:v>
      </x:c>
      <x:c r="F176" s="27" t="str">
        <x:v>Grasping enables comparison, transfer, construction, tools, and mark-making.</x:v>
      </x:c>
      <x:c r="G176" s="27" t="str">
        <x:v>S03</x:v>
      </x:c>
      <x:c r="H176" s="27" t="str">
        <x:v>Physical &amp; Health</x:v>
      </x:c>
      <x:c r="I176" s="27" t="str">
        <x:v>SRC02; SRC03; SRC14</x:v>
      </x:c>
      <x:c r="J176" s="27" t="str">
        <x:v>Outgoing use and placement rationale.</x:v>
      </x:c>
    </x:row>
    <x:row r="177">
      <x:c r="A177" s="27" t="str">
        <x:v>E00173</x:v>
      </x:c>
      <x:c r="B177" s="27" t="str">
        <x:v>S03-HLTH-01</x:v>
      </x:c>
      <x:c r="C177" s="27" t="str">
        <x:v>Purposeful grasp</x:v>
      </x:c>
      <x:c r="D177" s="27" t="str">
        <x:v>VERIFIED_BY</x:v>
      </x:c>
      <x:c r="E177" s="27" t="str">
        <x:v>S03-HLTH-01:EVIDENCE</x:v>
      </x:c>
      <x:c r="F177" s="27" t="str">
        <x:v>Reaches for, grasps, and holds a safe object.</x:v>
      </x:c>
      <x:c r="G177" s="27" t="str">
        <x:v>S03</x:v>
      </x:c>
      <x:c r="H177" s="27" t="str">
        <x:v>Physical &amp; Health</x:v>
      </x:c>
      <x:c r="I177" s="27" t="str">
        <x:v>SRC02; SRC03; SRC14</x:v>
      </x:c>
      <x:c r="J177" s="27" t="str">
        <x:v>Observable evidence of usable learning.</x:v>
      </x:c>
    </x:row>
    <x:row r="178">
      <x:c r="A178" s="27" t="str">
        <x:v>E00174</x:v>
      </x:c>
      <x:c r="B178" s="27" t="str">
        <x:v>S03-LEARN-02</x:v>
      </x:c>
      <x:c r="C178" s="27" t="str">
        <x:v>Previous node in domain progression</x:v>
      </x:c>
      <x:c r="D178" s="27" t="str">
        <x:v>DOMAIN_SEQUENCE</x:v>
      </x:c>
      <x:c r="E178" s="27" t="str">
        <x:v>S04-LEARN-01</x:v>
      </x:c>
      <x:c r="F178" s="27" t="str">
        <x:v>Following another’s attention</x:v>
      </x:c>
      <x:c r="G178" s="27" t="str">
        <x:v>S04</x:v>
      </x:c>
      <x:c r="H178" s="27" t="str">
        <x:v>Learning Foundations</x:v>
      </x:c>
      <x:c r="I178" s="27" t="str">
        <x:v>SRC02; SRC03; SRC04</x:v>
      </x:c>
      <x:c r="J178" s="27" t="str">
        <x:v>Ordered spiral link; consult explicit prerequisites for logical dependency.</x:v>
      </x:c>
    </x:row>
    <x:row r="179">
      <x:c r="A179" s="27" t="str">
        <x:v>E00175</x:v>
      </x:c>
      <x:c r="B179" s="27" t="str">
        <x:v>S04-LEARN-01:PREREQ</x:v>
      </x:c>
      <x:c r="C179" s="27" t="str">
        <x:v>Social attention, tracking, and stable sitting/support.</x:v>
      </x:c>
      <x:c r="D179" s="27" t="str">
        <x:v>PREREQUISITE</x:v>
      </x:c>
      <x:c r="E179" s="27" t="str">
        <x:v>S04-LEARN-01</x:v>
      </x:c>
      <x:c r="F179" s="27" t="str">
        <x:v>Following another’s attention</x:v>
      </x:c>
      <x:c r="G179" s="27" t="str">
        <x:v>S04</x:v>
      </x:c>
      <x:c r="H179" s="27" t="str">
        <x:v>Learning Foundations</x:v>
      </x:c>
      <x:c r="I179" s="27" t="str">
        <x:v>SRC02; SRC03; SRC04</x:v>
      </x:c>
      <x:c r="J179" s="27" t="str">
        <x:v>Incoming prerequisite relationship.</x:v>
      </x:c>
    </x:row>
    <x:row r="180">
      <x:c r="A180" s="27" t="str">
        <x:v>E00176</x:v>
      </x:c>
      <x:c r="B180" s="27" t="str">
        <x:v>S04-LEARN-01:GROUND</x:v>
      </x:c>
      <x:c r="C180" s="27" t="str">
        <x:v>G2 — Intentional action–result</x:v>
      </x:c>
      <x:c r="D180" s="27" t="str">
        <x:v>GROUNDED_BY</x:v>
      </x:c>
      <x:c r="E180" s="27" t="str">
        <x:v>S04-LEARN-01</x:v>
      </x:c>
      <x:c r="F180" s="27" t="str">
        <x:v>Following another’s attention</x:v>
      </x:c>
      <x:c r="G180" s="27" t="str">
        <x:v>S04</x:v>
      </x:c>
      <x:c r="H180" s="27" t="str">
        <x:v>Learning Foundations</x:v>
      </x:c>
      <x:c r="I180" s="27" t="str">
        <x:v>SRC02; SRC03; SRC04</x:v>
      </x:c>
      <x:c r="J180" s="27" t="str">
        <x:v>Grounding form used to preserve meaning.</x:v>
      </x:c>
    </x:row>
    <x:row r="181">
      <x:c r="A181" s="27" t="str">
        <x:v>E00177</x:v>
      </x:c>
      <x:c r="B181" s="27" t="str">
        <x:v>S04-LEARN-01</x:v>
      </x:c>
      <x:c r="C181" s="27" t="str">
        <x:v>Following another’s attention</x:v>
      </x:c>
      <x:c r="D181" s="27" t="str">
        <x:v>CONNECTS_TO</x:v>
      </x:c>
      <x:c r="E181" s="27" t="str">
        <x:v>S04-LEARN-01:CROSS</x:v>
      </x:c>
      <x:c r="F181" s="27" t="str">
        <x:v>All domains: attention, memory, strategy choice, monitoring, retrieval, and transfer.</x:v>
      </x:c>
      <x:c r="G181" s="27" t="str">
        <x:v>S04</x:v>
      </x:c>
      <x:c r="H181" s="27" t="str">
        <x:v>Learning Foundations</x:v>
      </x:c>
      <x:c r="I181" s="27" t="str">
        <x:v>SRC02; SRC03; SRC04</x:v>
      </x:c>
      <x:c r="J181" s="27" t="str">
        <x:v>Parallel subject and representation links.</x:v>
      </x:c>
    </x:row>
    <x:row r="182">
      <x:c r="A182" s="27" t="str">
        <x:v>E00178</x:v>
      </x:c>
      <x:c r="B182" s="27" t="str">
        <x:v>S04-LEARN-01</x:v>
      </x:c>
      <x:c r="C182" s="27" t="str">
        <x:v>Following another’s attention</x:v>
      </x:c>
      <x:c r="D182" s="27" t="str">
        <x:v>UNLOCKS</x:v>
      </x:c>
      <x:c r="E182" s="27" t="str">
        <x:v>S04-LEARN-01:NEXT</x:v>
      </x:c>
      <x:c r="F182" s="27" t="str">
        <x:v>Joint attention lets another person teach what words and symbols refer to.</x:v>
      </x:c>
      <x:c r="G182" s="27" t="str">
        <x:v>S04</x:v>
      </x:c>
      <x:c r="H182" s="27" t="str">
        <x:v>Learning Foundations</x:v>
      </x:c>
      <x:c r="I182" s="27" t="str">
        <x:v>SRC02; SRC03; SRC04</x:v>
      </x:c>
      <x:c r="J182" s="27" t="str">
        <x:v>Outgoing use and placement rationale.</x:v>
      </x:c>
    </x:row>
    <x:row r="183">
      <x:c r="A183" s="27" t="str">
        <x:v>E00179</x:v>
      </x:c>
      <x:c r="B183" s="27" t="str">
        <x:v>S04-LEARN-01</x:v>
      </x:c>
      <x:c r="C183" s="27" t="str">
        <x:v>Following another’s attention</x:v>
      </x:c>
      <x:c r="D183" s="27" t="str">
        <x:v>VERIFIED_BY</x:v>
      </x:c>
      <x:c r="E183" s="27" t="str">
        <x:v>S04-LEARN-01:EVIDENCE</x:v>
      </x:c>
      <x:c r="F183" s="27" t="str">
        <x:v>Looks toward an object indicated by another person and back toward the person.</x:v>
      </x:c>
      <x:c r="G183" s="27" t="str">
        <x:v>S04</x:v>
      </x:c>
      <x:c r="H183" s="27" t="str">
        <x:v>Learning Foundations</x:v>
      </x:c>
      <x:c r="I183" s="27" t="str">
        <x:v>SRC02; SRC03; SRC04</x:v>
      </x:c>
      <x:c r="J183" s="27" t="str">
        <x:v>Observable evidence of usable learning.</x:v>
      </x:c>
    </x:row>
    <x:row r="184">
      <x:c r="A184" s="27" t="str">
        <x:v>E00180</x:v>
      </x:c>
      <x:c r="B184" s="27" t="str">
        <x:v>S04-LEARN-01</x:v>
      </x:c>
      <x:c r="C184" s="27" t="str">
        <x:v>Previous node in domain progression</x:v>
      </x:c>
      <x:c r="D184" s="27" t="str">
        <x:v>DOMAIN_SEQUENCE</x:v>
      </x:c>
      <x:c r="E184" s="27" t="str">
        <x:v>S04-LEARN-02</x:v>
      </x:c>
      <x:c r="F184" s="27" t="str">
        <x:v>Means–end action</x:v>
      </x:c>
      <x:c r="G184" s="27" t="str">
        <x:v>S04</x:v>
      </x:c>
      <x:c r="H184" s="27" t="str">
        <x:v>Learning Foundations</x:v>
      </x:c>
      <x:c r="I184" s="27" t="str">
        <x:v>SRC02; SRC04; SRC11</x:v>
      </x:c>
      <x:c r="J184" s="27" t="str">
        <x:v>Ordered spiral link; consult explicit prerequisites for logical dependency.</x:v>
      </x:c>
    </x:row>
    <x:row r="185">
      <x:c r="A185" s="27" t="str">
        <x:v>E00181</x:v>
      </x:c>
      <x:c r="B185" s="27" t="str">
        <x:v>S04-LEARN-02:PREREQ</x:v>
      </x:c>
      <x:c r="C185" s="27" t="str">
        <x:v>Intentional repetition, reach, and working memory.</x:v>
      </x:c>
      <x:c r="D185" s="27" t="str">
        <x:v>PREREQUISITE</x:v>
      </x:c>
      <x:c r="E185" s="27" t="str">
        <x:v>S04-LEARN-02</x:v>
      </x:c>
      <x:c r="F185" s="27" t="str">
        <x:v>Means–end action</x:v>
      </x:c>
      <x:c r="G185" s="27" t="str">
        <x:v>S04</x:v>
      </x:c>
      <x:c r="H185" s="27" t="str">
        <x:v>Learning Foundations</x:v>
      </x:c>
      <x:c r="I185" s="27" t="str">
        <x:v>SRC02; SRC04; SRC11</x:v>
      </x:c>
      <x:c r="J185" s="27" t="str">
        <x:v>Incoming prerequisite relationship.</x:v>
      </x:c>
    </x:row>
    <x:row r="186">
      <x:c r="A186" s="27" t="str">
        <x:v>E00182</x:v>
      </x:c>
      <x:c r="B186" s="27" t="str">
        <x:v>S04-LEARN-02:GROUND</x:v>
      </x:c>
      <x:c r="C186" s="27" t="str">
        <x:v>G2 — Intentional action–result</x:v>
      </x:c>
      <x:c r="D186" s="27" t="str">
        <x:v>GROUNDED_BY</x:v>
      </x:c>
      <x:c r="E186" s="27" t="str">
        <x:v>S04-LEARN-02</x:v>
      </x:c>
      <x:c r="F186" s="27" t="str">
        <x:v>Means–end action</x:v>
      </x:c>
      <x:c r="G186" s="27" t="str">
        <x:v>S04</x:v>
      </x:c>
      <x:c r="H186" s="27" t="str">
        <x:v>Learning Foundations</x:v>
      </x:c>
      <x:c r="I186" s="27" t="str">
        <x:v>SRC02; SRC04; SRC11</x:v>
      </x:c>
      <x:c r="J186" s="27" t="str">
        <x:v>Grounding form used to preserve meaning.</x:v>
      </x:c>
    </x:row>
    <x:row r="187">
      <x:c r="A187" s="27" t="str">
        <x:v>E00183</x:v>
      </x:c>
      <x:c r="B187" s="27" t="str">
        <x:v>S04-LEARN-02</x:v>
      </x:c>
      <x:c r="C187" s="27" t="str">
        <x:v>Means–end action</x:v>
      </x:c>
      <x:c r="D187" s="27" t="str">
        <x:v>CONNECTS_TO</x:v>
      </x:c>
      <x:c r="E187" s="27" t="str">
        <x:v>S04-LEARN-02:CROSS</x:v>
      </x:c>
      <x:c r="F187" s="27" t="str">
        <x:v>All domains: attention, memory, strategy choice, monitoring, retrieval, and transfer.</x:v>
      </x:c>
      <x:c r="G187" s="27" t="str">
        <x:v>S04</x:v>
      </x:c>
      <x:c r="H187" s="27" t="str">
        <x:v>Learning Foundations</x:v>
      </x:c>
      <x:c r="I187" s="27" t="str">
        <x:v>SRC02; SRC04; SRC11</x:v>
      </x:c>
      <x:c r="J187" s="27" t="str">
        <x:v>Parallel subject and representation links.</x:v>
      </x:c>
    </x:row>
    <x:row r="188">
      <x:c r="A188" s="27" t="str">
        <x:v>E00184</x:v>
      </x:c>
      <x:c r="B188" s="27" t="str">
        <x:v>S04-LEARN-02</x:v>
      </x:c>
      <x:c r="C188" s="27" t="str">
        <x:v>Means–end action</x:v>
      </x:c>
      <x:c r="D188" s="27" t="str">
        <x:v>UNLOCKS</x:v>
      </x:c>
      <x:c r="E188" s="27" t="str">
        <x:v>S04-LEARN-02:NEXT</x:v>
      </x:c>
      <x:c r="F188" s="27" t="str">
        <x:v>Means–end reasoning precedes tool use, planning, algorithms, and engineering.</x:v>
      </x:c>
      <x:c r="G188" s="27" t="str">
        <x:v>S04</x:v>
      </x:c>
      <x:c r="H188" s="27" t="str">
        <x:v>Learning Foundations</x:v>
      </x:c>
      <x:c r="I188" s="27" t="str">
        <x:v>SRC02; SRC04; SRC11</x:v>
      </x:c>
      <x:c r="J188" s="27" t="str">
        <x:v>Outgoing use and placement rationale.</x:v>
      </x:c>
    </x:row>
    <x:row r="189">
      <x:c r="A189" s="27" t="str">
        <x:v>E00185</x:v>
      </x:c>
      <x:c r="B189" s="27" t="str">
        <x:v>S04-LEARN-02</x:v>
      </x:c>
      <x:c r="C189" s="27" t="str">
        <x:v>Means–end action</x:v>
      </x:c>
      <x:c r="D189" s="27" t="str">
        <x:v>VERIFIED_BY</x:v>
      </x:c>
      <x:c r="E189" s="27" t="str">
        <x:v>S04-LEARN-02:EVIDENCE</x:v>
      </x:c>
      <x:c r="F189" s="27" t="str">
        <x:v>Performs an intermediate action that makes a desired result possible.</x:v>
      </x:c>
      <x:c r="G189" s="27" t="str">
        <x:v>S04</x:v>
      </x:c>
      <x:c r="H189" s="27" t="str">
        <x:v>Learning Foundations</x:v>
      </x:c>
      <x:c r="I189" s="27" t="str">
        <x:v>SRC02; SRC04; SRC11</x:v>
      </x:c>
      <x:c r="J189" s="27" t="str">
        <x:v>Observable evidence of usable learning.</x:v>
      </x:c>
    </x:row>
    <x:row r="190">
      <x:c r="A190" s="27" t="str">
        <x:v>E00186</x:v>
      </x:c>
      <x:c r="B190" s="27" t="str">
        <x:v>S03-SEL-01</x:v>
      </x:c>
      <x:c r="C190" s="27" t="str">
        <x:v>Previous node in domain progression</x:v>
      </x:c>
      <x:c r="D190" s="27" t="str">
        <x:v>DOMAIN_SEQUENCE</x:v>
      </x:c>
      <x:c r="E190" s="27" t="str">
        <x:v>S04-SEL-01</x:v>
      </x:c>
      <x:c r="F190" s="27" t="str">
        <x:v>Familiar–unfamiliar distinction</x:v>
      </x:c>
      <x:c r="G190" s="27" t="str">
        <x:v>S04</x:v>
      </x:c>
      <x:c r="H190" s="27" t="str">
        <x:v>Social-Emotional</x:v>
      </x:c>
      <x:c r="I190" s="27" t="str">
        <x:v>SRC02; SRC03; SRC18</x:v>
      </x:c>
      <x:c r="J190" s="27" t="str">
        <x:v>Ordered spiral link; consult explicit prerequisites for logical dependency.</x:v>
      </x:c>
    </x:row>
    <x:row r="191">
      <x:c r="A191" s="27" t="str">
        <x:v>E00187</x:v>
      </x:c>
      <x:c r="B191" s="27" t="str">
        <x:v>S04-SEL-01:PREREQ</x:v>
      </x:c>
      <x:c r="C191" s="27" t="str">
        <x:v>Recognition memory and attachment.</x:v>
      </x:c>
      <x:c r="D191" s="27" t="str">
        <x:v>PREREQUISITE</x:v>
      </x:c>
      <x:c r="E191" s="27" t="str">
        <x:v>S04-SEL-01</x:v>
      </x:c>
      <x:c r="F191" s="27" t="str">
        <x:v>Familiar–unfamiliar distinction</x:v>
      </x:c>
      <x:c r="G191" s="27" t="str">
        <x:v>S04</x:v>
      </x:c>
      <x:c r="H191" s="27" t="str">
        <x:v>Social-Emotional</x:v>
      </x:c>
      <x:c r="I191" s="27" t="str">
        <x:v>SRC02; SRC03; SRC18</x:v>
      </x:c>
      <x:c r="J191" s="27" t="str">
        <x:v>Incoming prerequisite relationship.</x:v>
      </x:c>
    </x:row>
    <x:row r="192">
      <x:c r="A192" s="27" t="str">
        <x:v>E00188</x:v>
      </x:c>
      <x:c r="B192" s="27" t="str">
        <x:v>S04-SEL-01:GROUND</x:v>
      </x:c>
      <x:c r="C192" s="27" t="str">
        <x:v>G2 — Intentional action–result</x:v>
      </x:c>
      <x:c r="D192" s="27" t="str">
        <x:v>GROUNDED_BY</x:v>
      </x:c>
      <x:c r="E192" s="27" t="str">
        <x:v>S04-SEL-01</x:v>
      </x:c>
      <x:c r="F192" s="27" t="str">
        <x:v>Familiar–unfamiliar distinction</x:v>
      </x:c>
      <x:c r="G192" s="27" t="str">
        <x:v>S04</x:v>
      </x:c>
      <x:c r="H192" s="27" t="str">
        <x:v>Social-Emotional</x:v>
      </x:c>
      <x:c r="I192" s="27" t="str">
        <x:v>SRC02; SRC03; SRC18</x:v>
      </x:c>
      <x:c r="J192" s="27" t="str">
        <x:v>Grounding form used to preserve meaning.</x:v>
      </x:c>
    </x:row>
    <x:row r="193">
      <x:c r="A193" s="27" t="str">
        <x:v>E00189</x:v>
      </x:c>
      <x:c r="B193" s="27" t="str">
        <x:v>S04-SEL-01</x:v>
      </x:c>
      <x:c r="C193" s="27" t="str">
        <x:v>Familiar–unfamiliar distinction</x:v>
      </x:c>
      <x:c r="D193" s="27" t="str">
        <x:v>CONNECTS_TO</x:v>
      </x:c>
      <x:c r="E193" s="27" t="str">
        <x:v>S04-SEL-01:CROSS</x:v>
      </x:c>
      <x:c r="F193" s="27" t="str">
        <x:v>Language and communication; health; collaboration in science, arts, civics, and projects; responsible digital/financial decisions.</x:v>
      </x:c>
      <x:c r="G193" s="27" t="str">
        <x:v>S04</x:v>
      </x:c>
      <x:c r="H193" s="27" t="str">
        <x:v>Social-Emotional</x:v>
      </x:c>
      <x:c r="I193" s="27" t="str">
        <x:v>SRC02; SRC03; SRC18</x:v>
      </x:c>
      <x:c r="J193" s="27" t="str">
        <x:v>Parallel subject and representation links.</x:v>
      </x:c>
    </x:row>
    <x:row r="194">
      <x:c r="A194" s="27" t="str">
        <x:v>E00190</x:v>
      </x:c>
      <x:c r="B194" s="27" t="str">
        <x:v>S04-SEL-01</x:v>
      </x:c>
      <x:c r="C194" s="27" t="str">
        <x:v>Familiar–unfamiliar distinction</x:v>
      </x:c>
      <x:c r="D194" s="27" t="str">
        <x:v>UNLOCKS</x:v>
      </x:c>
      <x:c r="E194" s="27" t="str">
        <x:v>S04-SEL-01:NEXT</x:v>
      </x:c>
      <x:c r="F194" s="27" t="str">
        <x:v>Social differentiation supports safety, communication, and later perspective-taking.</x:v>
      </x:c>
      <x:c r="G194" s="27" t="str">
        <x:v>S04</x:v>
      </x:c>
      <x:c r="H194" s="27" t="str">
        <x:v>Social-Emotional</x:v>
      </x:c>
      <x:c r="I194" s="27" t="str">
        <x:v>SRC02; SRC03; SRC18</x:v>
      </x:c>
      <x:c r="J194" s="27" t="str">
        <x:v>Outgoing use and placement rationale.</x:v>
      </x:c>
    </x:row>
    <x:row r="195">
      <x:c r="A195" s="27" t="str">
        <x:v>E00191</x:v>
      </x:c>
      <x:c r="B195" s="27" t="str">
        <x:v>S04-SEL-01</x:v>
      </x:c>
      <x:c r="C195" s="27" t="str">
        <x:v>Familiar–unfamiliar distinction</x:v>
      </x:c>
      <x:c r="D195" s="27" t="str">
        <x:v>VERIFIED_BY</x:v>
      </x:c>
      <x:c r="E195" s="27" t="str">
        <x:v>S04-SEL-01:EVIDENCE</x:v>
      </x:c>
      <x:c r="F195" s="27" t="str">
        <x:v>Checks a familiar adult or responds cautiously during an unfamiliar encounter.</x:v>
      </x:c>
      <x:c r="G195" s="27" t="str">
        <x:v>S04</x:v>
      </x:c>
      <x:c r="H195" s="27" t="str">
        <x:v>Social-Emotional</x:v>
      </x:c>
      <x:c r="I195" s="27" t="str">
        <x:v>SRC02; SRC03; SRC18</x:v>
      </x:c>
      <x:c r="J195" s="27" t="str">
        <x:v>Observable evidence of usable learning.</x:v>
      </x:c>
    </x:row>
    <x:row r="196">
      <x:c r="A196" s="27" t="str">
        <x:v>E00192</x:v>
      </x:c>
      <x:c r="B196" s="27" t="str">
        <x:v>S03-LANG-02</x:v>
      </x:c>
      <x:c r="C196" s="27" t="str">
        <x:v>Previous node in domain progression</x:v>
      </x:c>
      <x:c r="D196" s="27" t="str">
        <x:v>DOMAIN_SEQUENCE</x:v>
      </x:c>
      <x:c r="E196" s="27" t="str">
        <x:v>S04-LANG-01</x:v>
      </x:c>
      <x:c r="F196" s="27" t="str">
        <x:v>Routine-word comprehension</x:v>
      </x:c>
      <x:c r="G196" s="27" t="str">
        <x:v>S04</x:v>
      </x:c>
      <x:c r="H196" s="27" t="str">
        <x:v>Language &amp; Communication</x:v>
      </x:c>
      <x:c r="I196" s="27" t="str">
        <x:v>SRC02; SRC03</x:v>
      </x:c>
      <x:c r="J196" s="27" t="str">
        <x:v>Ordered spiral link; consult explicit prerequisites for logical dependency.</x:v>
      </x:c>
    </x:row>
    <x:row r="197">
      <x:c r="A197" s="27" t="str">
        <x:v>E00193</x:v>
      </x:c>
      <x:c r="B197" s="27" t="str">
        <x:v>S04-LANG-01:PREREQ</x:v>
      </x:c>
      <x:c r="C197" s="27" t="str">
        <x:v>Joint attention and repeated speech-event pairings.</x:v>
      </x:c>
      <x:c r="D197" s="27" t="str">
        <x:v>PREREQUISITE</x:v>
      </x:c>
      <x:c r="E197" s="27" t="str">
        <x:v>S04-LANG-01</x:v>
      </x:c>
      <x:c r="F197" s="27" t="str">
        <x:v>Routine-word comprehension</x:v>
      </x:c>
      <x:c r="G197" s="27" t="str">
        <x:v>S04</x:v>
      </x:c>
      <x:c r="H197" s="27" t="str">
        <x:v>Language &amp; Communication</x:v>
      </x:c>
      <x:c r="I197" s="27" t="str">
        <x:v>SRC02; SRC03</x:v>
      </x:c>
      <x:c r="J197" s="27" t="str">
        <x:v>Incoming prerequisite relationship.</x:v>
      </x:c>
    </x:row>
    <x:row r="198">
      <x:c r="A198" s="27" t="str">
        <x:v>E00194</x:v>
      </x:c>
      <x:c r="B198" s="27" t="str">
        <x:v>S04-LANG-01:GROUND</x:v>
      </x:c>
      <x:c r="C198" s="27" t="str">
        <x:v>G2 — Intentional action–result</x:v>
      </x:c>
      <x:c r="D198" s="27" t="str">
        <x:v>GROUNDED_BY</x:v>
      </x:c>
      <x:c r="E198" s="27" t="str">
        <x:v>S04-LANG-01</x:v>
      </x:c>
      <x:c r="F198" s="27" t="str">
        <x:v>Routine-word comprehension</x:v>
      </x:c>
      <x:c r="G198" s="27" t="str">
        <x:v>S04</x:v>
      </x:c>
      <x:c r="H198" s="27" t="str">
        <x:v>Language &amp; Communication</x:v>
      </x:c>
      <x:c r="I198" s="27" t="str">
        <x:v>SRC02; SRC03</x:v>
      </x:c>
      <x:c r="J198" s="27" t="str">
        <x:v>Grounding form used to preserve meaning.</x:v>
      </x:c>
    </x:row>
    <x:row r="199">
      <x:c r="A199" s="27" t="str">
        <x:v>E00195</x:v>
      </x:c>
      <x:c r="B199" s="27" t="str">
        <x:v>S04-LANG-01</x:v>
      </x:c>
      <x:c r="C199" s="27" t="str">
        <x:v>Routine-word comprehension</x:v>
      </x:c>
      <x:c r="D199" s="27" t="str">
        <x:v>CONNECTS_TO</x:v>
      </x:c>
      <x:c r="E199" s="27" t="str">
        <x:v>S04-LANG-01:CROSS</x:v>
      </x:c>
      <x:c r="F199" s="27" t="str">
        <x:v>Reading and writing; vocabulary for math/science/social studies; discussion, music prosody, and world-language learning.</x:v>
      </x:c>
      <x:c r="G199" s="27" t="str">
        <x:v>S04</x:v>
      </x:c>
      <x:c r="H199" s="27" t="str">
        <x:v>Language &amp; Communication</x:v>
      </x:c>
      <x:c r="I199" s="27" t="str">
        <x:v>SRC02; SRC03</x:v>
      </x:c>
      <x:c r="J199" s="27" t="str">
        <x:v>Parallel subject and representation links.</x:v>
      </x:c>
    </x:row>
    <x:row r="200">
      <x:c r="A200" s="27" t="str">
        <x:v>E00196</x:v>
      </x:c>
      <x:c r="B200" s="27" t="str">
        <x:v>S04-LANG-01</x:v>
      </x:c>
      <x:c r="C200" s="27" t="str">
        <x:v>Routine-word comprehension</x:v>
      </x:c>
      <x:c r="D200" s="27" t="str">
        <x:v>UNLOCKS</x:v>
      </x:c>
      <x:c r="E200" s="27" t="str">
        <x:v>S04-LANG-01:NEXT</x:v>
      </x:c>
      <x:c r="F200" s="27" t="str">
        <x:v>Comprehending stable word meanings precedes productive vocabulary.</x:v>
      </x:c>
      <x:c r="G200" s="27" t="str">
        <x:v>S04</x:v>
      </x:c>
      <x:c r="H200" s="27" t="str">
        <x:v>Language &amp; Communication</x:v>
      </x:c>
      <x:c r="I200" s="27" t="str">
        <x:v>SRC02; SRC03</x:v>
      </x:c>
      <x:c r="J200" s="27" t="str">
        <x:v>Outgoing use and placement rationale.</x:v>
      </x:c>
    </x:row>
    <x:row r="201">
      <x:c r="A201" s="27" t="str">
        <x:v>E00197</x:v>
      </x:c>
      <x:c r="B201" s="27" t="str">
        <x:v>S04-LANG-01</x:v>
      </x:c>
      <x:c r="C201" s="27" t="str">
        <x:v>Routine-word comprehension</x:v>
      </x:c>
      <x:c r="D201" s="27" t="str">
        <x:v>VERIFIED_BY</x:v>
      </x:c>
      <x:c r="E201" s="27" t="str">
        <x:v>S04-LANG-01:EVIDENCE</x:v>
      </x:c>
      <x:c r="F201" s="27" t="str">
        <x:v>Responds appropriately to a familiar routine word without needing the full routine.</x:v>
      </x:c>
      <x:c r="G201" s="27" t="str">
        <x:v>S04</x:v>
      </x:c>
      <x:c r="H201" s="27" t="str">
        <x:v>Language &amp; Communication</x:v>
      </x:c>
      <x:c r="I201" s="27" t="str">
        <x:v>SRC02; SRC03</x:v>
      </x:c>
      <x:c r="J201" s="27" t="str">
        <x:v>Observable evidence of usable learning.</x:v>
      </x:c>
    </x:row>
    <x:row r="202">
      <x:c r="A202" s="27" t="str">
        <x:v>E00198</x:v>
      </x:c>
      <x:c r="B202" s="27" t="str">
        <x:v>S04-LANG-01</x:v>
      </x:c>
      <x:c r="C202" s="27" t="str">
        <x:v>Previous node in domain progression</x:v>
      </x:c>
      <x:c r="D202" s="27" t="str">
        <x:v>DOMAIN_SEQUENCE</x:v>
      </x:c>
      <x:c r="E202" s="27" t="str">
        <x:v>S04-LANG-02</x:v>
      </x:c>
      <x:c r="F202" s="27" t="str">
        <x:v>Canonical babbling</x:v>
      </x:c>
      <x:c r="G202" s="27" t="str">
        <x:v>S04</x:v>
      </x:c>
      <x:c r="H202" s="27" t="str">
        <x:v>Language &amp; Communication</x:v>
      </x:c>
      <x:c r="I202" s="27" t="str">
        <x:v>SRC02; SRC03</x:v>
      </x:c>
      <x:c r="J202" s="27" t="str">
        <x:v>Ordered spiral link; consult explicit prerequisites for logical dependency.</x:v>
      </x:c>
    </x:row>
    <x:row r="203">
      <x:c r="A203" s="27" t="str">
        <x:v>E00199</x:v>
      </x:c>
      <x:c r="B203" s="27" t="str">
        <x:v>S04-LANG-02:PREREQ</x:v>
      </x:c>
      <x:c r="C203" s="27" t="str">
        <x:v>Varied vocal play and auditory feedback.</x:v>
      </x:c>
      <x:c r="D203" s="27" t="str">
        <x:v>PREREQUISITE</x:v>
      </x:c>
      <x:c r="E203" s="27" t="str">
        <x:v>S04-LANG-02</x:v>
      </x:c>
      <x:c r="F203" s="27" t="str">
        <x:v>Canonical babbling</x:v>
      </x:c>
      <x:c r="G203" s="27" t="str">
        <x:v>S04</x:v>
      </x:c>
      <x:c r="H203" s="27" t="str">
        <x:v>Language &amp; Communication</x:v>
      </x:c>
      <x:c r="I203" s="27" t="str">
        <x:v>SRC02; SRC03</x:v>
      </x:c>
      <x:c r="J203" s="27" t="str">
        <x:v>Incoming prerequisite relationship.</x:v>
      </x:c>
    </x:row>
    <x:row r="204">
      <x:c r="A204" s="27" t="str">
        <x:v>E00200</x:v>
      </x:c>
      <x:c r="B204" s="27" t="str">
        <x:v>S04-LANG-02:GROUND</x:v>
      </x:c>
      <x:c r="C204" s="27" t="str">
        <x:v>G2 — Intentional action–result</x:v>
      </x:c>
      <x:c r="D204" s="27" t="str">
        <x:v>GROUNDED_BY</x:v>
      </x:c>
      <x:c r="E204" s="27" t="str">
        <x:v>S04-LANG-02</x:v>
      </x:c>
      <x:c r="F204" s="27" t="str">
        <x:v>Canonical babbling</x:v>
      </x:c>
      <x:c r="G204" s="27" t="str">
        <x:v>S04</x:v>
      </x:c>
      <x:c r="H204" s="27" t="str">
        <x:v>Language &amp; Communication</x:v>
      </x:c>
      <x:c r="I204" s="27" t="str">
        <x:v>SRC02; SRC03</x:v>
      </x:c>
      <x:c r="J204" s="27" t="str">
        <x:v>Grounding form used to preserve meaning.</x:v>
      </x:c>
    </x:row>
    <x:row r="205">
      <x:c r="A205" s="27" t="str">
        <x:v>E00201</x:v>
      </x:c>
      <x:c r="B205" s="27" t="str">
        <x:v>S04-LANG-02</x:v>
      </x:c>
      <x:c r="C205" s="27" t="str">
        <x:v>Canonical babbling</x:v>
      </x:c>
      <x:c r="D205" s="27" t="str">
        <x:v>CONNECTS_TO</x:v>
      </x:c>
      <x:c r="E205" s="27" t="str">
        <x:v>S04-LANG-02:CROSS</x:v>
      </x:c>
      <x:c r="F205" s="27" t="str">
        <x:v>Reading and writing; vocabulary for math/science/social studies; discussion, music prosody, and world-language learning.</x:v>
      </x:c>
      <x:c r="G205" s="27" t="str">
        <x:v>S04</x:v>
      </x:c>
      <x:c r="H205" s="27" t="str">
        <x:v>Language &amp; Communication</x:v>
      </x:c>
      <x:c r="I205" s="27" t="str">
        <x:v>SRC02; SRC03</x:v>
      </x:c>
      <x:c r="J205" s="27" t="str">
        <x:v>Parallel subject and representation links.</x:v>
      </x:c>
    </x:row>
    <x:row r="206">
      <x:c r="A206" s="27" t="str">
        <x:v>E00202</x:v>
      </x:c>
      <x:c r="B206" s="27" t="str">
        <x:v>S04-LANG-02</x:v>
      </x:c>
      <x:c r="C206" s="27" t="str">
        <x:v>Canonical babbling</x:v>
      </x:c>
      <x:c r="D206" s="27" t="str">
        <x:v>UNLOCKS</x:v>
      </x:c>
      <x:c r="E206" s="27" t="str">
        <x:v>S04-LANG-02:NEXT</x:v>
      </x:c>
      <x:c r="F206" s="27" t="str">
        <x:v>Canonical syllables supply controllable units for word imitation.</x:v>
      </x:c>
      <x:c r="G206" s="27" t="str">
        <x:v>S04</x:v>
      </x:c>
      <x:c r="H206" s="27" t="str">
        <x:v>Language &amp; Communication</x:v>
      </x:c>
      <x:c r="I206" s="27" t="str">
        <x:v>SRC02; SRC03</x:v>
      </x:c>
      <x:c r="J206" s="27" t="str">
        <x:v>Outgoing use and placement rationale.</x:v>
      </x:c>
    </x:row>
    <x:row r="207">
      <x:c r="A207" s="27" t="str">
        <x:v>E00203</x:v>
      </x:c>
      <x:c r="B207" s="27" t="str">
        <x:v>S04-LANG-02</x:v>
      </x:c>
      <x:c r="C207" s="27" t="str">
        <x:v>Canonical babbling</x:v>
      </x:c>
      <x:c r="D207" s="27" t="str">
        <x:v>VERIFIED_BY</x:v>
      </x:c>
      <x:c r="E207" s="27" t="str">
        <x:v>S04-LANG-02:EVIDENCE</x:v>
      </x:c>
      <x:c r="F207" s="27" t="str">
        <x:v>Produces repeated or varied consonant-vowel syllables during interaction.</x:v>
      </x:c>
      <x:c r="G207" s="27" t="str">
        <x:v>S04</x:v>
      </x:c>
      <x:c r="H207" s="27" t="str">
        <x:v>Language &amp; Communication</x:v>
      </x:c>
      <x:c r="I207" s="27" t="str">
        <x:v>SRC02; SRC03</x:v>
      </x:c>
      <x:c r="J207" s="27" t="str">
        <x:v>Observable evidence of usable learning.</x:v>
      </x:c>
    </x:row>
    <x:row r="208">
      <x:c r="A208" s="27" t="str">
        <x:v>E00204</x:v>
      </x:c>
      <x:c r="B208" s="27" t="str">
        <x:v>S03-MATH-02</x:v>
      </x:c>
      <x:c r="C208" s="27" t="str">
        <x:v>Previous node in domain progression</x:v>
      </x:c>
      <x:c r="D208" s="27" t="str">
        <x:v>DOMAIN_SEQUENCE</x:v>
      </x:c>
      <x:c r="E208" s="27" t="str">
        <x:v>S04-MATH-01</x:v>
      </x:c>
      <x:c r="F208" s="27" t="str">
        <x:v>Same-object recognition across views</x:v>
      </x:c>
      <x:c r="G208" s="27" t="str">
        <x:v>S04</x:v>
      </x:c>
      <x:c r="H208" s="27" t="str">
        <x:v>Mathematics</x:v>
      </x:c>
      <x:c r="I208" s="27" t="str">
        <x:v>SRC02; SRC04; SRC07</x:v>
      </x:c>
      <x:c r="J208" s="27" t="str">
        <x:v>Ordered spiral link; consult explicit prerequisites for logical dependency.</x:v>
      </x:c>
    </x:row>
    <x:row r="209">
      <x:c r="A209" s="27" t="str">
        <x:v>E00205</x:v>
      </x:c>
      <x:c r="B209" s="27" t="str">
        <x:v>S04-MATH-01:PREREQ</x:v>
      </x:c>
      <x:c r="C209" s="27" t="str">
        <x:v>Multi-sensory object exploration and memory.</x:v>
      </x:c>
      <x:c r="D209" s="27" t="str">
        <x:v>PREREQUISITE</x:v>
      </x:c>
      <x:c r="E209" s="27" t="str">
        <x:v>S04-MATH-01</x:v>
      </x:c>
      <x:c r="F209" s="27" t="str">
        <x:v>Same-object recognition across views</x:v>
      </x:c>
      <x:c r="G209" s="27" t="str">
        <x:v>S04</x:v>
      </x:c>
      <x:c r="H209" s="27" t="str">
        <x:v>Mathematics</x:v>
      </x:c>
      <x:c r="I209" s="27" t="str">
        <x:v>SRC02; SRC04; SRC07</x:v>
      </x:c>
      <x:c r="J209" s="27" t="str">
        <x:v>Incoming prerequisite relationship.</x:v>
      </x:c>
    </x:row>
    <x:row r="210">
      <x:c r="A210" s="27" t="str">
        <x:v>E00206</x:v>
      </x:c>
      <x:c r="B210" s="27" t="str">
        <x:v>S04-MATH-01:GROUND</x:v>
      </x:c>
      <x:c r="C210" s="27" t="str">
        <x:v>G2 — Intentional action–result</x:v>
      </x:c>
      <x:c r="D210" s="27" t="str">
        <x:v>GROUNDED_BY</x:v>
      </x:c>
      <x:c r="E210" s="27" t="str">
        <x:v>S04-MATH-01</x:v>
      </x:c>
      <x:c r="F210" s="27" t="str">
        <x:v>Same-object recognition across views</x:v>
      </x:c>
      <x:c r="G210" s="27" t="str">
        <x:v>S04</x:v>
      </x:c>
      <x:c r="H210" s="27" t="str">
        <x:v>Mathematics</x:v>
      </x:c>
      <x:c r="I210" s="27" t="str">
        <x:v>SRC02; SRC04; SRC07</x:v>
      </x:c>
      <x:c r="J210" s="27" t="str">
        <x:v>Grounding form used to preserve meaning.</x:v>
      </x:c>
    </x:row>
    <x:row r="211">
      <x:c r="A211" s="27" t="str">
        <x:v>E00207</x:v>
      </x:c>
      <x:c r="B211" s="27" t="str">
        <x:v>S04-MATH-01</x:v>
      </x:c>
      <x:c r="C211" s="27" t="str">
        <x:v>Same-object recognition across views</x:v>
      </x:c>
      <x:c r="D211" s="27" t="str">
        <x:v>CONNECTS_TO</x:v>
      </x:c>
      <x:c r="E211" s="27" t="str">
        <x:v>S04-MATH-01:CROSS</x:v>
      </x:c>
      <x:c r="F211" s="27" t="str">
        <x:v>Physical quantity and spatial action; science measurement/models; computing/algorithms; finance; music rhythm/pattern; geographic data.</x:v>
      </x:c>
      <x:c r="G211" s="27" t="str">
        <x:v>S04</x:v>
      </x:c>
      <x:c r="H211" s="27" t="str">
        <x:v>Mathematics</x:v>
      </x:c>
      <x:c r="I211" s="27" t="str">
        <x:v>SRC02; SRC04; SRC07</x:v>
      </x:c>
      <x:c r="J211" s="27" t="str">
        <x:v>Parallel subject and representation links.</x:v>
      </x:c>
    </x:row>
    <x:row r="212">
      <x:c r="A212" s="27" t="str">
        <x:v>E00208</x:v>
      </x:c>
      <x:c r="B212" s="27" t="str">
        <x:v>S04-MATH-01</x:v>
      </x:c>
      <x:c r="C212" s="27" t="str">
        <x:v>Same-object recognition across views</x:v>
      </x:c>
      <x:c r="D212" s="27" t="str">
        <x:v>UNLOCKS</x:v>
      </x:c>
      <x:c r="E212" s="27" t="str">
        <x:v>S04-MATH-01:NEXT</x:v>
      </x:c>
      <x:c r="F212" s="27" t="str">
        <x:v>Object constancy supports matching, category membership, shape constancy, and symbol reference.</x:v>
      </x:c>
      <x:c r="G212" s="27" t="str">
        <x:v>S04</x:v>
      </x:c>
      <x:c r="H212" s="27" t="str">
        <x:v>Mathematics</x:v>
      </x:c>
      <x:c r="I212" s="27" t="str">
        <x:v>SRC02; SRC04; SRC07</x:v>
      </x:c>
      <x:c r="J212" s="27" t="str">
        <x:v>Outgoing use and placement rationale.</x:v>
      </x:c>
    </x:row>
    <x:row r="213">
      <x:c r="A213" s="27" t="str">
        <x:v>E00209</x:v>
      </x:c>
      <x:c r="B213" s="27" t="str">
        <x:v>S04-MATH-01</x:v>
      </x:c>
      <x:c r="C213" s="27" t="str">
        <x:v>Same-object recognition across views</x:v>
      </x:c>
      <x:c r="D213" s="27" t="str">
        <x:v>VERIFIED_BY</x:v>
      </x:c>
      <x:c r="E213" s="27" t="str">
        <x:v>S04-MATH-01:EVIDENCE</x:v>
      </x:c>
      <x:c r="F213" s="27" t="str">
        <x:v>Searches for or reaches toward the same object after it is turned or partly covered.</x:v>
      </x:c>
      <x:c r="G213" s="27" t="str">
        <x:v>S04</x:v>
      </x:c>
      <x:c r="H213" s="27" t="str">
        <x:v>Mathematics</x:v>
      </x:c>
      <x:c r="I213" s="27" t="str">
        <x:v>SRC02; SRC04; SRC07</x:v>
      </x:c>
      <x:c r="J213" s="27" t="str">
        <x:v>Observable evidence of usable learning.</x:v>
      </x:c>
    </x:row>
    <x:row r="214">
      <x:c r="A214" s="27" t="str">
        <x:v>E00210</x:v>
      </x:c>
      <x:c r="B214" s="27" t="str">
        <x:v>S04-MATH-01</x:v>
      </x:c>
      <x:c r="C214" s="27" t="str">
        <x:v>Previous node in domain progression</x:v>
      </x:c>
      <x:c r="D214" s="27" t="str">
        <x:v>DOMAIN_SEQUENCE</x:v>
      </x:c>
      <x:c r="E214" s="27" t="str">
        <x:v>S04-MATH-02</x:v>
      </x:c>
      <x:c r="F214" s="27" t="str">
        <x:v>In, out, over, under through action</x:v>
      </x:c>
      <x:c r="G214" s="27" t="str">
        <x:v>S04</x:v>
      </x:c>
      <x:c r="H214" s="27" t="str">
        <x:v>Mathematics</x:v>
      </x:c>
      <x:c r="I214" s="27" t="str">
        <x:v>SRC02; SRC07</x:v>
      </x:c>
      <x:c r="J214" s="27" t="str">
        <x:v>Ordered spiral link; consult explicit prerequisites for logical dependency.</x:v>
      </x:c>
    </x:row>
    <x:row r="215">
      <x:c r="A215" s="27" t="str">
        <x:v>E00211</x:v>
      </x:c>
      <x:c r="B215" s="27" t="str">
        <x:v>S04-MATH-02:PREREQ</x:v>
      </x:c>
      <x:c r="C215" s="27" t="str">
        <x:v>Grasp release and object exploration.</x:v>
      </x:c>
      <x:c r="D215" s="27" t="str">
        <x:v>PREREQUISITE</x:v>
      </x:c>
      <x:c r="E215" s="27" t="str">
        <x:v>S04-MATH-02</x:v>
      </x:c>
      <x:c r="F215" s="27" t="str">
        <x:v>In, out, over, under through action</x:v>
      </x:c>
      <x:c r="G215" s="27" t="str">
        <x:v>S04</x:v>
      </x:c>
      <x:c r="H215" s="27" t="str">
        <x:v>Mathematics</x:v>
      </x:c>
      <x:c r="I215" s="27" t="str">
        <x:v>SRC02; SRC07</x:v>
      </x:c>
      <x:c r="J215" s="27" t="str">
        <x:v>Incoming prerequisite relationship.</x:v>
      </x:c>
    </x:row>
    <x:row r="216">
      <x:c r="A216" s="27" t="str">
        <x:v>E00212</x:v>
      </x:c>
      <x:c r="B216" s="27" t="str">
        <x:v>S04-MATH-02:GROUND</x:v>
      </x:c>
      <x:c r="C216" s="27" t="str">
        <x:v>G2 — Intentional action–result</x:v>
      </x:c>
      <x:c r="D216" s="27" t="str">
        <x:v>GROUNDED_BY</x:v>
      </x:c>
      <x:c r="E216" s="27" t="str">
        <x:v>S04-MATH-02</x:v>
      </x:c>
      <x:c r="F216" s="27" t="str">
        <x:v>In, out, over, under through action</x:v>
      </x:c>
      <x:c r="G216" s="27" t="str">
        <x:v>S04</x:v>
      </x:c>
      <x:c r="H216" s="27" t="str">
        <x:v>Mathematics</x:v>
      </x:c>
      <x:c r="I216" s="27" t="str">
        <x:v>SRC02; SRC07</x:v>
      </x:c>
      <x:c r="J216" s="27" t="str">
        <x:v>Grounding form used to preserve meaning.</x:v>
      </x:c>
    </x:row>
    <x:row r="217">
      <x:c r="A217" s="27" t="str">
        <x:v>E00213</x:v>
      </x:c>
      <x:c r="B217" s="27" t="str">
        <x:v>S04-MATH-02</x:v>
      </x:c>
      <x:c r="C217" s="27" t="str">
        <x:v>In, out, over, under through action</x:v>
      </x:c>
      <x:c r="D217" s="27" t="str">
        <x:v>CONNECTS_TO</x:v>
      </x:c>
      <x:c r="E217" s="27" t="str">
        <x:v>S04-MATH-02:CROSS</x:v>
      </x:c>
      <x:c r="F217" s="27" t="str">
        <x:v>Physical quantity and spatial action; science measurement/models; computing/algorithms; finance; music rhythm/pattern; geographic data.</x:v>
      </x:c>
      <x:c r="G217" s="27" t="str">
        <x:v>S04</x:v>
      </x:c>
      <x:c r="H217" s="27" t="str">
        <x:v>Mathematics</x:v>
      </x:c>
      <x:c r="I217" s="27" t="str">
        <x:v>SRC02; SRC07</x:v>
      </x:c>
      <x:c r="J217" s="27" t="str">
        <x:v>Parallel subject and representation links.</x:v>
      </x:c>
    </x:row>
    <x:row r="218">
      <x:c r="A218" s="27" t="str">
        <x:v>E00214</x:v>
      </x:c>
      <x:c r="B218" s="27" t="str">
        <x:v>S04-MATH-02</x:v>
      </x:c>
      <x:c r="C218" s="27" t="str">
        <x:v>In, out, over, under through action</x:v>
      </x:c>
      <x:c r="D218" s="27" t="str">
        <x:v>UNLOCKS</x:v>
      </x:c>
      <x:c r="E218" s="27" t="str">
        <x:v>S04-MATH-02:NEXT</x:v>
      </x:c>
      <x:c r="F218" s="27" t="str">
        <x:v>Action-based spatial relations later become words, diagrams, geometry, and measurement.</x:v>
      </x:c>
      <x:c r="G218" s="27" t="str">
        <x:v>S04</x:v>
      </x:c>
      <x:c r="H218" s="27" t="str">
        <x:v>Mathematics</x:v>
      </x:c>
      <x:c r="I218" s="27" t="str">
        <x:v>SRC02; SRC07</x:v>
      </x:c>
      <x:c r="J218" s="27" t="str">
        <x:v>Outgoing use and placement rationale.</x:v>
      </x:c>
    </x:row>
    <x:row r="219">
      <x:c r="A219" s="27" t="str">
        <x:v>E00215</x:v>
      </x:c>
      <x:c r="B219" s="27" t="str">
        <x:v>S04-MATH-02</x:v>
      </x:c>
      <x:c r="C219" s="27" t="str">
        <x:v>In, out, over, under through action</x:v>
      </x:c>
      <x:c r="D219" s="27" t="str">
        <x:v>VERIFIED_BY</x:v>
      </x:c>
      <x:c r="E219" s="27" t="str">
        <x:v>S04-MATH-02:EVIDENCE</x:v>
      </x:c>
      <x:c r="F219" s="27" t="str">
        <x:v>Places or retrieves objects from containers and explores covering or dropping.</x:v>
      </x:c>
      <x:c r="G219" s="27" t="str">
        <x:v>S04</x:v>
      </x:c>
      <x:c r="H219" s="27" t="str">
        <x:v>Mathematics</x:v>
      </x:c>
      <x:c r="I219" s="27" t="str">
        <x:v>SRC02; SRC07</x:v>
      </x:c>
      <x:c r="J219" s="27" t="str">
        <x:v>Observable evidence of usable learning.</x:v>
      </x:c>
    </x:row>
    <x:row r="220">
      <x:c r="A220" s="27" t="str">
        <x:v>E00216</x:v>
      </x:c>
      <x:c r="B220" s="27" t="str">
        <x:v>S03-SCI-01</x:v>
      </x:c>
      <x:c r="C220" s="27" t="str">
        <x:v>Previous node in domain progression</x:v>
      </x:c>
      <x:c r="D220" s="27" t="str">
        <x:v>DOMAIN_SEQUENCE</x:v>
      </x:c>
      <x:c r="E220" s="27" t="str">
        <x:v>S04-SCI-01</x:v>
      </x:c>
      <x:c r="F220" s="27" t="str">
        <x:v>Variation of action</x:v>
      </x:c>
      <x:c r="G220" s="27" t="str">
        <x:v>S04</x:v>
      </x:c>
      <x:c r="H220" s="27" t="str">
        <x:v>Science &amp; Engineering</x:v>
      </x:c>
      <x:c r="I220" s="27" t="str">
        <x:v>SRC02; SRC11</x:v>
      </x:c>
      <x:c r="J220" s="27" t="str">
        <x:v>Ordered spiral link; consult explicit prerequisites for logical dependency.</x:v>
      </x:c>
    </x:row>
    <x:row r="221">
      <x:c r="A221" s="27" t="str">
        <x:v>E00217</x:v>
      </x:c>
      <x:c r="B221" s="27" t="str">
        <x:v>S04-SCI-01:PREREQ</x:v>
      </x:c>
      <x:c r="C221" s="27" t="str">
        <x:v>Intentional repetition and object properties.</x:v>
      </x:c>
      <x:c r="D221" s="27" t="str">
        <x:v>PREREQUISITE</x:v>
      </x:c>
      <x:c r="E221" s="27" t="str">
        <x:v>S04-SCI-01</x:v>
      </x:c>
      <x:c r="F221" s="27" t="str">
        <x:v>Variation of action</x:v>
      </x:c>
      <x:c r="G221" s="27" t="str">
        <x:v>S04</x:v>
      </x:c>
      <x:c r="H221" s="27" t="str">
        <x:v>Science &amp; Engineering</x:v>
      </x:c>
      <x:c r="I221" s="27" t="str">
        <x:v>SRC02; SRC11</x:v>
      </x:c>
      <x:c r="J221" s="27" t="str">
        <x:v>Incoming prerequisite relationship.</x:v>
      </x:c>
    </x:row>
    <x:row r="222">
      <x:c r="A222" s="27" t="str">
        <x:v>E00218</x:v>
      </x:c>
      <x:c r="B222" s="27" t="str">
        <x:v>S04-SCI-01:GROUND</x:v>
      </x:c>
      <x:c r="C222" s="27" t="str">
        <x:v>G2 — Intentional action–result</x:v>
      </x:c>
      <x:c r="D222" s="27" t="str">
        <x:v>GROUNDED_BY</x:v>
      </x:c>
      <x:c r="E222" s="27" t="str">
        <x:v>S04-SCI-01</x:v>
      </x:c>
      <x:c r="F222" s="27" t="str">
        <x:v>Variation of action</x:v>
      </x:c>
      <x:c r="G222" s="27" t="str">
        <x:v>S04</x:v>
      </x:c>
      <x:c r="H222" s="27" t="str">
        <x:v>Science &amp; Engineering</x:v>
      </x:c>
      <x:c r="I222" s="27" t="str">
        <x:v>SRC02; SRC11</x:v>
      </x:c>
      <x:c r="J222" s="27" t="str">
        <x:v>Grounding form used to preserve meaning.</x:v>
      </x:c>
    </x:row>
    <x:row r="223">
      <x:c r="A223" s="27" t="str">
        <x:v>E00219</x:v>
      </x:c>
      <x:c r="B223" s="27" t="str">
        <x:v>S04-SCI-01</x:v>
      </x:c>
      <x:c r="C223" s="27" t="str">
        <x:v>Variation of action</x:v>
      </x:c>
      <x:c r="D223" s="27" t="str">
        <x:v>CONNECTS_TO</x:v>
      </x:c>
      <x:c r="E223" s="27" t="str">
        <x:v>S04-SCI-01:CROSS</x:v>
      </x:c>
      <x:c r="F223" s="27" t="str">
        <x:v>Sensory observation and action; mathematics/data; reading/writing evidence; computing/models; health and environmental/civic decisions.</x:v>
      </x:c>
      <x:c r="G223" s="27" t="str">
        <x:v>S04</x:v>
      </x:c>
      <x:c r="H223" s="27" t="str">
        <x:v>Science &amp; Engineering</x:v>
      </x:c>
      <x:c r="I223" s="27" t="str">
        <x:v>SRC02; SRC11</x:v>
      </x:c>
      <x:c r="J223" s="27" t="str">
        <x:v>Parallel subject and representation links.</x:v>
      </x:c>
    </x:row>
    <x:row r="224">
      <x:c r="A224" s="27" t="str">
        <x:v>E00220</x:v>
      </x:c>
      <x:c r="B224" s="27" t="str">
        <x:v>S04-SCI-01</x:v>
      </x:c>
      <x:c r="C224" s="27" t="str">
        <x:v>Variation of action</x:v>
      </x:c>
      <x:c r="D224" s="27" t="str">
        <x:v>UNLOCKS</x:v>
      </x:c>
      <x:c r="E224" s="27" t="str">
        <x:v>S04-SCI-01:NEXT</x:v>
      </x:c>
      <x:c r="F224" s="27" t="str">
        <x:v>Systematic variation is an early form of testing variables.</x:v>
      </x:c>
      <x:c r="G224" s="27" t="str">
        <x:v>S04</x:v>
      </x:c>
      <x:c r="H224" s="27" t="str">
        <x:v>Science &amp; Engineering</x:v>
      </x:c>
      <x:c r="I224" s="27" t="str">
        <x:v>SRC02; SRC11</x:v>
      </x:c>
      <x:c r="J224" s="27" t="str">
        <x:v>Outgoing use and placement rationale.</x:v>
      </x:c>
    </x:row>
    <x:row r="225">
      <x:c r="A225" s="27" t="str">
        <x:v>E00221</x:v>
      </x:c>
      <x:c r="B225" s="27" t="str">
        <x:v>S04-SCI-01</x:v>
      </x:c>
      <x:c r="C225" s="27" t="str">
        <x:v>Variation of action</x:v>
      </x:c>
      <x:c r="D225" s="27" t="str">
        <x:v>VERIFIED_BY</x:v>
      </x:c>
      <x:c r="E225" s="27" t="str">
        <x:v>S04-SCI-01:EVIDENCE</x:v>
      </x:c>
      <x:c r="F225" s="27" t="str">
        <x:v>Bangs, drops, squeezes, or shakes objects in differing ways and attends to results.</x:v>
      </x:c>
      <x:c r="G225" s="27" t="str">
        <x:v>S04</x:v>
      </x:c>
      <x:c r="H225" s="27" t="str">
        <x:v>Science &amp; Engineering</x:v>
      </x:c>
      <x:c r="I225" s="27" t="str">
        <x:v>SRC02; SRC11</x:v>
      </x:c>
      <x:c r="J225" s="27" t="str">
        <x:v>Observable evidence of usable learning.</x:v>
      </x:c>
    </x:row>
    <x:row r="226">
      <x:c r="A226" s="27" t="str">
        <x:v>E00222</x:v>
      </x:c>
      <x:c r="B226" s="27" t="str">
        <x:v>S03-ARTS-01</x:v>
      </x:c>
      <x:c r="C226" s="27" t="str">
        <x:v>Previous node in domain progression</x:v>
      </x:c>
      <x:c r="D226" s="27" t="str">
        <x:v>DOMAIN_SEQUENCE</x:v>
      </x:c>
      <x:c r="E226" s="27" t="str">
        <x:v>S04-ARTS-01</x:v>
      </x:c>
      <x:c r="F226" s="27" t="str">
        <x:v>Object-sound exploration</x:v>
      </x:c>
      <x:c r="G226" s="27" t="str">
        <x:v>S04</x:v>
      </x:c>
      <x:c r="H226" s="27" t="str">
        <x:v>Music &amp; Arts</x:v>
      </x:c>
      <x:c r="I226" s="27" t="str">
        <x:v>SRC02; SRC13</x:v>
      </x:c>
      <x:c r="J226" s="27" t="str">
        <x:v>Ordered spiral link; consult explicit prerequisites for logical dependency.</x:v>
      </x:c>
    </x:row>
    <x:row r="227">
      <x:c r="A227" s="27" t="str">
        <x:v>E00223</x:v>
      </x:c>
      <x:c r="B227" s="27" t="str">
        <x:v>S04-ARTS-01:PREREQ</x:v>
      </x:c>
      <x:c r="C227" s="27" t="str">
        <x:v>Purposeful grasp and action variation.</x:v>
      </x:c>
      <x:c r="D227" s="27" t="str">
        <x:v>PREREQUISITE</x:v>
      </x:c>
      <x:c r="E227" s="27" t="str">
        <x:v>S04-ARTS-01</x:v>
      </x:c>
      <x:c r="F227" s="27" t="str">
        <x:v>Object-sound exploration</x:v>
      </x:c>
      <x:c r="G227" s="27" t="str">
        <x:v>S04</x:v>
      </x:c>
      <x:c r="H227" s="27" t="str">
        <x:v>Music &amp; Arts</x:v>
      </x:c>
      <x:c r="I227" s="27" t="str">
        <x:v>SRC02; SRC13</x:v>
      </x:c>
      <x:c r="J227" s="27" t="str">
        <x:v>Incoming prerequisite relationship.</x:v>
      </x:c>
    </x:row>
    <x:row r="228">
      <x:c r="A228" s="27" t="str">
        <x:v>E00224</x:v>
      </x:c>
      <x:c r="B228" s="27" t="str">
        <x:v>S04-ARTS-01:GROUND</x:v>
      </x:c>
      <x:c r="C228" s="27" t="str">
        <x:v>G2 — Intentional action–result</x:v>
      </x:c>
      <x:c r="D228" s="27" t="str">
        <x:v>GROUNDED_BY</x:v>
      </x:c>
      <x:c r="E228" s="27" t="str">
        <x:v>S04-ARTS-01</x:v>
      </x:c>
      <x:c r="F228" s="27" t="str">
        <x:v>Object-sound exploration</x:v>
      </x:c>
      <x:c r="G228" s="27" t="str">
        <x:v>S04</x:v>
      </x:c>
      <x:c r="H228" s="27" t="str">
        <x:v>Music &amp; Arts</x:v>
      </x:c>
      <x:c r="I228" s="27" t="str">
        <x:v>SRC02; SRC13</x:v>
      </x:c>
      <x:c r="J228" s="27" t="str">
        <x:v>Grounding form used to preserve meaning.</x:v>
      </x:c>
    </x:row>
    <x:row r="229">
      <x:c r="A229" s="27" t="str">
        <x:v>E00225</x:v>
      </x:c>
      <x:c r="B229" s="27" t="str">
        <x:v>S04-ARTS-01</x:v>
      </x:c>
      <x:c r="C229" s="27" t="str">
        <x:v>Object-sound exploration</x:v>
      </x:c>
      <x:c r="D229" s="27" t="str">
        <x:v>CONNECTS_TO</x:v>
      </x:c>
      <x:c r="E229" s="27" t="str">
        <x:v>S04-ARTS-01:CROSS</x:v>
      </x:c>
      <x:c r="F229" s="27" t="str">
        <x:v>Sensory discrimination; motor timing; language/prosody; mathematics/pattern; history/culture; emotion, design, and technology.</x:v>
      </x:c>
      <x:c r="G229" s="27" t="str">
        <x:v>S04</x:v>
      </x:c>
      <x:c r="H229" s="27" t="str">
        <x:v>Music &amp; Arts</x:v>
      </x:c>
      <x:c r="I229" s="27" t="str">
        <x:v>SRC02; SRC13</x:v>
      </x:c>
      <x:c r="J229" s="27" t="str">
        <x:v>Parallel subject and representation links.</x:v>
      </x:c>
    </x:row>
    <x:row r="230">
      <x:c r="A230" s="27" t="str">
        <x:v>E00226</x:v>
      </x:c>
      <x:c r="B230" s="27" t="str">
        <x:v>S04-ARTS-01</x:v>
      </x:c>
      <x:c r="C230" s="27" t="str">
        <x:v>Object-sound exploration</x:v>
      </x:c>
      <x:c r="D230" s="27" t="str">
        <x:v>UNLOCKS</x:v>
      </x:c>
      <x:c r="E230" s="27" t="str">
        <x:v>S04-ARTS-01:NEXT</x:v>
      </x:c>
      <x:c r="F230" s="27" t="str">
        <x:v>Instrumental exploration links gesture, material, loudness, timbre, and rhythm.</x:v>
      </x:c>
      <x:c r="G230" s="27" t="str">
        <x:v>S04</x:v>
      </x:c>
      <x:c r="H230" s="27" t="str">
        <x:v>Music &amp; Arts</x:v>
      </x:c>
      <x:c r="I230" s="27" t="str">
        <x:v>SRC02; SRC13</x:v>
      </x:c>
      <x:c r="J230" s="27" t="str">
        <x:v>Outgoing use and placement rationale.</x:v>
      </x:c>
    </x:row>
    <x:row r="231">
      <x:c r="A231" s="27" t="str">
        <x:v>E00227</x:v>
      </x:c>
      <x:c r="B231" s="27" t="str">
        <x:v>S04-ARTS-01</x:v>
      </x:c>
      <x:c r="C231" s="27" t="str">
        <x:v>Object-sound exploration</x:v>
      </x:c>
      <x:c r="D231" s="27" t="str">
        <x:v>VERIFIED_BY</x:v>
      </x:c>
      <x:c r="E231" s="27" t="str">
        <x:v>S04-ARTS-01:EVIDENCE</x:v>
      </x:c>
      <x:c r="F231" s="27" t="str">
        <x:v>Produces and repeats contrasting sounds with objects.</x:v>
      </x:c>
      <x:c r="G231" s="27" t="str">
        <x:v>S04</x:v>
      </x:c>
      <x:c r="H231" s="27" t="str">
        <x:v>Music &amp; Arts</x:v>
      </x:c>
      <x:c r="I231" s="27" t="str">
        <x:v>SRC02; SRC13</x:v>
      </x:c>
      <x:c r="J231" s="27" t="str">
        <x:v>Observable evidence of usable learning.</x:v>
      </x:c>
    </x:row>
    <x:row r="232">
      <x:c r="A232" s="27" t="str">
        <x:v>E00228</x:v>
      </x:c>
      <x:c r="B232" s="27" t="str">
        <x:v>S03-HLTH-01</x:v>
      </x:c>
      <x:c r="C232" s="27" t="str">
        <x:v>Previous node in domain progression</x:v>
      </x:c>
      <x:c r="D232" s="27" t="str">
        <x:v>DOMAIN_SEQUENCE</x:v>
      </x:c>
      <x:c r="E232" s="27" t="str">
        <x:v>S04-HLTH-01</x:v>
      </x:c>
      <x:c r="F232" s="27" t="str">
        <x:v>Independent sitting and body rotation</x:v>
      </x:c>
      <x:c r="G232" s="27" t="str">
        <x:v>S04</x:v>
      </x:c>
      <x:c r="H232" s="27" t="str">
        <x:v>Physical &amp; Health</x:v>
      </x:c>
      <x:c r="I232" s="27" t="str">
        <x:v>SRC03; SRC14</x:v>
      </x:c>
      <x:c r="J232" s="27" t="str">
        <x:v>Ordered spiral link; consult explicit prerequisites for logical dependency.</x:v>
      </x:c>
    </x:row>
    <x:row r="233">
      <x:c r="A233" s="27" t="str">
        <x:v>E00229</x:v>
      </x:c>
      <x:c r="B233" s="27" t="str">
        <x:v>S04-HLTH-01:PREREQ</x:v>
      </x:c>
      <x:c r="C233" s="27" t="str">
        <x:v>Head/trunk control and balance reactions.</x:v>
      </x:c>
      <x:c r="D233" s="27" t="str">
        <x:v>PREREQUISITE</x:v>
      </x:c>
      <x:c r="E233" s="27" t="str">
        <x:v>S04-HLTH-01</x:v>
      </x:c>
      <x:c r="F233" s="27" t="str">
        <x:v>Independent sitting and body rotation</x:v>
      </x:c>
      <x:c r="G233" s="27" t="str">
        <x:v>S04</x:v>
      </x:c>
      <x:c r="H233" s="27" t="str">
        <x:v>Physical &amp; Health</x:v>
      </x:c>
      <x:c r="I233" s="27" t="str">
        <x:v>SRC03; SRC14</x:v>
      </x:c>
      <x:c r="J233" s="27" t="str">
        <x:v>Incoming prerequisite relationship.</x:v>
      </x:c>
    </x:row>
    <x:row r="234">
      <x:c r="A234" s="27" t="str">
        <x:v>E00230</x:v>
      </x:c>
      <x:c r="B234" s="27" t="str">
        <x:v>S04-HLTH-01:GROUND</x:v>
      </x:c>
      <x:c r="C234" s="27" t="str">
        <x:v>G2 — Intentional action–result</x:v>
      </x:c>
      <x:c r="D234" s="27" t="str">
        <x:v>GROUNDED_BY</x:v>
      </x:c>
      <x:c r="E234" s="27" t="str">
        <x:v>S04-HLTH-01</x:v>
      </x:c>
      <x:c r="F234" s="27" t="str">
        <x:v>Independent sitting and body rotation</x:v>
      </x:c>
      <x:c r="G234" s="27" t="str">
        <x:v>S04</x:v>
      </x:c>
      <x:c r="H234" s="27" t="str">
        <x:v>Physical &amp; Health</x:v>
      </x:c>
      <x:c r="I234" s="27" t="str">
        <x:v>SRC03; SRC14</x:v>
      </x:c>
      <x:c r="J234" s="27" t="str">
        <x:v>Grounding form used to preserve meaning.</x:v>
      </x:c>
    </x:row>
    <x:row r="235">
      <x:c r="A235" s="27" t="str">
        <x:v>E00231</x:v>
      </x:c>
      <x:c r="B235" s="27" t="str">
        <x:v>S04-HLTH-01</x:v>
      </x:c>
      <x:c r="C235" s="27" t="str">
        <x:v>Independent sitting and body rotation</x:v>
      </x:c>
      <x:c r="D235" s="27" t="str">
        <x:v>CONNECTS_TO</x:v>
      </x:c>
      <x:c r="E235" s="27" t="str">
        <x:v>S04-HLTH-01:CROSS</x:v>
      </x:c>
      <x:c r="F235" s="27" t="str">
        <x:v>Motor/sensory development; life science; measurement/data; SEL/self-management; communication, safety, and decision-making.</x:v>
      </x:c>
      <x:c r="G235" s="27" t="str">
        <x:v>S04</x:v>
      </x:c>
      <x:c r="H235" s="27" t="str">
        <x:v>Physical &amp; Health</x:v>
      </x:c>
      <x:c r="I235" s="27" t="str">
        <x:v>SRC03; SRC14</x:v>
      </x:c>
      <x:c r="J235" s="27" t="str">
        <x:v>Parallel subject and representation links.</x:v>
      </x:c>
    </x:row>
    <x:row r="236">
      <x:c r="A236" s="27" t="str">
        <x:v>E00232</x:v>
      </x:c>
      <x:c r="B236" s="27" t="str">
        <x:v>S04-HLTH-01</x:v>
      </x:c>
      <x:c r="C236" s="27" t="str">
        <x:v>Independent sitting and body rotation</x:v>
      </x:c>
      <x:c r="D236" s="27" t="str">
        <x:v>UNLOCKS</x:v>
      </x:c>
      <x:c r="E236" s="27" t="str">
        <x:v>S04-HLTH-01:NEXT</x:v>
      </x:c>
      <x:c r="F236" s="27" t="str">
        <x:v>Postural stability frees both hands for sustained manipulation and shared play.</x:v>
      </x:c>
      <x:c r="G236" s="27" t="str">
        <x:v>S04</x:v>
      </x:c>
      <x:c r="H236" s="27" t="str">
        <x:v>Physical &amp; Health</x:v>
      </x:c>
      <x:c r="I236" s="27" t="str">
        <x:v>SRC03; SRC14</x:v>
      </x:c>
      <x:c r="J236" s="27" t="str">
        <x:v>Outgoing use and placement rationale.</x:v>
      </x:c>
    </x:row>
    <x:row r="237">
      <x:c r="A237" s="27" t="str">
        <x:v>E00233</x:v>
      </x:c>
      <x:c r="B237" s="27" t="str">
        <x:v>S04-HLTH-01</x:v>
      </x:c>
      <x:c r="C237" s="27" t="str">
        <x:v>Independent sitting and body rotation</x:v>
      </x:c>
      <x:c r="D237" s="27" t="str">
        <x:v>VERIFIED_BY</x:v>
      </x:c>
      <x:c r="E237" s="27" t="str">
        <x:v>S04-HLTH-01:EVIDENCE</x:v>
      </x:c>
      <x:c r="F237" s="27" t="str">
        <x:v>Sits with appropriate support level and reaches or turns without immediate collapse.</x:v>
      </x:c>
      <x:c r="G237" s="27" t="str">
        <x:v>S04</x:v>
      </x:c>
      <x:c r="H237" s="27" t="str">
        <x:v>Physical &amp; Health</x:v>
      </x:c>
      <x:c r="I237" s="27" t="str">
        <x:v>SRC03; SRC14</x:v>
      </x:c>
      <x:c r="J237" s="27" t="str">
        <x:v>Observable evidence of usable learning.</x:v>
      </x:c>
    </x:row>
    <x:row r="238">
      <x:c r="A238" s="27" t="str">
        <x:v>E00234</x:v>
      </x:c>
      <x:c r="B238" s="27" t="str">
        <x:v>S04-LEARN-02</x:v>
      </x:c>
      <x:c r="C238" s="27" t="str">
        <x:v>Previous node in domain progression</x:v>
      </x:c>
      <x:c r="D238" s="27" t="str">
        <x:v>DOMAIN_SEQUENCE</x:v>
      </x:c>
      <x:c r="E238" s="27" t="str">
        <x:v>S05-LEARN-01</x:v>
      </x:c>
      <x:c r="F238" s="27" t="str">
        <x:v>Object permanence</x:v>
      </x:c>
      <x:c r="G238" s="27" t="str">
        <x:v>S05</x:v>
      </x:c>
      <x:c r="H238" s="27" t="str">
        <x:v>Learning Foundations</x:v>
      </x:c>
      <x:c r="I238" s="27" t="str">
        <x:v>SRC02; SRC03; SRC04</x:v>
      </x:c>
      <x:c r="J238" s="27" t="str">
        <x:v>Ordered spiral link; consult explicit prerequisites for logical dependency.</x:v>
      </x:c>
    </x:row>
    <x:row r="239">
      <x:c r="A239" s="27" t="str">
        <x:v>E00235</x:v>
      </x:c>
      <x:c r="B239" s="27" t="str">
        <x:v>S05-LEARN-01:PREREQ</x:v>
      </x:c>
      <x:c r="C239" s="27" t="str">
        <x:v>Recognition memory, occlusion experience, and intentional search.</x:v>
      </x:c>
      <x:c r="D239" s="27" t="str">
        <x:v>PREREQUISITE</x:v>
      </x:c>
      <x:c r="E239" s="27" t="str">
        <x:v>S05-LEARN-01</x:v>
      </x:c>
      <x:c r="F239" s="27" t="str">
        <x:v>Object permanence</x:v>
      </x:c>
      <x:c r="G239" s="27" t="str">
        <x:v>S05</x:v>
      </x:c>
      <x:c r="H239" s="27" t="str">
        <x:v>Learning Foundations</x:v>
      </x:c>
      <x:c r="I239" s="27" t="str">
        <x:v>SRC02; SRC03; SRC04</x:v>
      </x:c>
      <x:c r="J239" s="27" t="str">
        <x:v>Incoming prerequisite relationship.</x:v>
      </x:c>
    </x:row>
    <x:row r="240">
      <x:c r="A240" s="27" t="str">
        <x:v>E00236</x:v>
      </x:c>
      <x:c r="B240" s="27" t="str">
        <x:v>S05-LEARN-01:GROUND</x:v>
      </x:c>
      <x:c r="C240" s="27" t="str">
        <x:v>G2 — Intentional action–result</x:v>
      </x:c>
      <x:c r="D240" s="27" t="str">
        <x:v>GROUNDED_BY</x:v>
      </x:c>
      <x:c r="E240" s="27" t="str">
        <x:v>S05-LEARN-01</x:v>
      </x:c>
      <x:c r="F240" s="27" t="str">
        <x:v>Object permanence</x:v>
      </x:c>
      <x:c r="G240" s="27" t="str">
        <x:v>S05</x:v>
      </x:c>
      <x:c r="H240" s="27" t="str">
        <x:v>Learning Foundations</x:v>
      </x:c>
      <x:c r="I240" s="27" t="str">
        <x:v>SRC02; SRC03; SRC04</x:v>
      </x:c>
      <x:c r="J240" s="27" t="str">
        <x:v>Grounding form used to preserve meaning.</x:v>
      </x:c>
    </x:row>
    <x:row r="241">
      <x:c r="A241" s="27" t="str">
        <x:v>E00237</x:v>
      </x:c>
      <x:c r="B241" s="27" t="str">
        <x:v>S05-LEARN-01</x:v>
      </x:c>
      <x:c r="C241" s="27" t="str">
        <x:v>Object permanence</x:v>
      </x:c>
      <x:c r="D241" s="27" t="str">
        <x:v>CONNECTS_TO</x:v>
      </x:c>
      <x:c r="E241" s="27" t="str">
        <x:v>S05-LEARN-01:CROSS</x:v>
      </x:c>
      <x:c r="F241" s="27" t="str">
        <x:v>All domains: attention, memory, strategy choice, monitoring, retrieval, and transfer.</x:v>
      </x:c>
      <x:c r="G241" s="27" t="str">
        <x:v>S05</x:v>
      </x:c>
      <x:c r="H241" s="27" t="str">
        <x:v>Learning Foundations</x:v>
      </x:c>
      <x:c r="I241" s="27" t="str">
        <x:v>SRC02; SRC03; SRC04</x:v>
      </x:c>
      <x:c r="J241" s="27" t="str">
        <x:v>Parallel subject and representation links.</x:v>
      </x:c>
    </x:row>
    <x:row r="242">
      <x:c r="A242" s="27" t="str">
        <x:v>E00238</x:v>
      </x:c>
      <x:c r="B242" s="27" t="str">
        <x:v>S05-LEARN-01</x:v>
      </x:c>
      <x:c r="C242" s="27" t="str">
        <x:v>Object permanence</x:v>
      </x:c>
      <x:c r="D242" s="27" t="str">
        <x:v>UNLOCKS</x:v>
      </x:c>
      <x:c r="E242" s="27" t="str">
        <x:v>S05-LEARN-01:NEXT</x:v>
      </x:c>
      <x:c r="F242" s="27" t="str">
        <x:v>Stable mental representation supports hidden-object search, symbolic thought, and deferred planning.</x:v>
      </x:c>
      <x:c r="G242" s="27" t="str">
        <x:v>S05</x:v>
      </x:c>
      <x:c r="H242" s="27" t="str">
        <x:v>Learning Foundations</x:v>
      </x:c>
      <x:c r="I242" s="27" t="str">
        <x:v>SRC02; SRC03; SRC04</x:v>
      </x:c>
      <x:c r="J242" s="27" t="str">
        <x:v>Outgoing use and placement rationale.</x:v>
      </x:c>
    </x:row>
    <x:row r="243">
      <x:c r="A243" s="27" t="str">
        <x:v>E00239</x:v>
      </x:c>
      <x:c r="B243" s="27" t="str">
        <x:v>S05-LEARN-01</x:v>
      </x:c>
      <x:c r="C243" s="27" t="str">
        <x:v>Object permanence</x:v>
      </x:c>
      <x:c r="D243" s="27" t="str">
        <x:v>VERIFIED_BY</x:v>
      </x:c>
      <x:c r="E243" s="27" t="str">
        <x:v>S05-LEARN-01:EVIDENCE</x:v>
      </x:c>
      <x:c r="F243" s="27" t="str">
        <x:v>Searches in a likely location for a hidden desired object.</x:v>
      </x:c>
      <x:c r="G243" s="27" t="str">
        <x:v>S05</x:v>
      </x:c>
      <x:c r="H243" s="27" t="str">
        <x:v>Learning Foundations</x:v>
      </x:c>
      <x:c r="I243" s="27" t="str">
        <x:v>SRC02; SRC03; SRC04</x:v>
      </x:c>
      <x:c r="J243" s="27" t="str">
        <x:v>Observable evidence of usable learning.</x:v>
      </x:c>
    </x:row>
    <x:row r="244">
      <x:c r="A244" s="27" t="str">
        <x:v>E00240</x:v>
      </x:c>
      <x:c r="B244" s="27" t="str">
        <x:v>S05-LEARN-01</x:v>
      </x:c>
      <x:c r="C244" s="27" t="str">
        <x:v>Previous node in domain progression</x:v>
      </x:c>
      <x:c r="D244" s="27" t="str">
        <x:v>DOMAIN_SEQUENCE</x:v>
      </x:c>
      <x:c r="E244" s="27" t="str">
        <x:v>S05-LEARN-02</x:v>
      </x:c>
      <x:c r="F244" s="27" t="str">
        <x:v>Immediate action imitation</x:v>
      </x:c>
      <x:c r="G244" s="27" t="str">
        <x:v>S05</x:v>
      </x:c>
      <x:c r="H244" s="27" t="str">
        <x:v>Learning Foundations</x:v>
      </x:c>
      <x:c r="I244" s="27" t="str">
        <x:v>SRC02; SRC03</x:v>
      </x:c>
      <x:c r="J244" s="27" t="str">
        <x:v>Ordered spiral link; consult explicit prerequisites for logical dependency.</x:v>
      </x:c>
    </x:row>
    <x:row r="245">
      <x:c r="A245" s="27" t="str">
        <x:v>E00241</x:v>
      </x:c>
      <x:c r="B245" s="27" t="str">
        <x:v>S05-LEARN-02:PREREQ</x:v>
      </x:c>
      <x:c r="C245" s="27" t="str">
        <x:v>Joint attention, motor control, and memory.</x:v>
      </x:c>
      <x:c r="D245" s="27" t="str">
        <x:v>PREREQUISITE</x:v>
      </x:c>
      <x:c r="E245" s="27" t="str">
        <x:v>S05-LEARN-02</x:v>
      </x:c>
      <x:c r="F245" s="27" t="str">
        <x:v>Immediate action imitation</x:v>
      </x:c>
      <x:c r="G245" s="27" t="str">
        <x:v>S05</x:v>
      </x:c>
      <x:c r="H245" s="27" t="str">
        <x:v>Learning Foundations</x:v>
      </x:c>
      <x:c r="I245" s="27" t="str">
        <x:v>SRC02; SRC03</x:v>
      </x:c>
      <x:c r="J245" s="27" t="str">
        <x:v>Incoming prerequisite relationship.</x:v>
      </x:c>
    </x:row>
    <x:row r="246">
      <x:c r="A246" s="27" t="str">
        <x:v>E00242</x:v>
      </x:c>
      <x:c r="B246" s="27" t="str">
        <x:v>S05-LEARN-02:GROUND</x:v>
      </x:c>
      <x:c r="C246" s="27" t="str">
        <x:v>G2 — Intentional action–result</x:v>
      </x:c>
      <x:c r="D246" s="27" t="str">
        <x:v>GROUNDED_BY</x:v>
      </x:c>
      <x:c r="E246" s="27" t="str">
        <x:v>S05-LEARN-02</x:v>
      </x:c>
      <x:c r="F246" s="27" t="str">
        <x:v>Immediate action imitation</x:v>
      </x:c>
      <x:c r="G246" s="27" t="str">
        <x:v>S05</x:v>
      </x:c>
      <x:c r="H246" s="27" t="str">
        <x:v>Learning Foundations</x:v>
      </x:c>
      <x:c r="I246" s="27" t="str">
        <x:v>SRC02; SRC03</x:v>
      </x:c>
      <x:c r="J246" s="27" t="str">
        <x:v>Grounding form used to preserve meaning.</x:v>
      </x:c>
    </x:row>
    <x:row r="247">
      <x:c r="A247" s="27" t="str">
        <x:v>E00243</x:v>
      </x:c>
      <x:c r="B247" s="27" t="str">
        <x:v>S05-LEARN-02</x:v>
      </x:c>
      <x:c r="C247" s="27" t="str">
        <x:v>Immediate action imitation</x:v>
      </x:c>
      <x:c r="D247" s="27" t="str">
        <x:v>CONNECTS_TO</x:v>
      </x:c>
      <x:c r="E247" s="27" t="str">
        <x:v>S05-LEARN-02:CROSS</x:v>
      </x:c>
      <x:c r="F247" s="27" t="str">
        <x:v>All domains: attention, memory, strategy choice, monitoring, retrieval, and transfer.</x:v>
      </x:c>
      <x:c r="G247" s="27" t="str">
        <x:v>S05</x:v>
      </x:c>
      <x:c r="H247" s="27" t="str">
        <x:v>Learning Foundations</x:v>
      </x:c>
      <x:c r="I247" s="27" t="str">
        <x:v>SRC02; SRC03</x:v>
      </x:c>
      <x:c r="J247" s="27" t="str">
        <x:v>Parallel subject and representation links.</x:v>
      </x:c>
    </x:row>
    <x:row r="248">
      <x:c r="A248" s="27" t="str">
        <x:v>E00244</x:v>
      </x:c>
      <x:c r="B248" s="27" t="str">
        <x:v>S05-LEARN-02</x:v>
      </x:c>
      <x:c r="C248" s="27" t="str">
        <x:v>Immediate action imitation</x:v>
      </x:c>
      <x:c r="D248" s="27" t="str">
        <x:v>UNLOCKS</x:v>
      </x:c>
      <x:c r="E248" s="27" t="str">
        <x:v>S05-LEARN-02:NEXT</x:v>
      </x:c>
      <x:c r="F248" s="27" t="str">
        <x:v>Imitation is a high-speed pathway for language, tool use, social convention, music, and academic modeling.</x:v>
      </x:c>
      <x:c r="G248" s="27" t="str">
        <x:v>S05</x:v>
      </x:c>
      <x:c r="H248" s="27" t="str">
        <x:v>Learning Foundations</x:v>
      </x:c>
      <x:c r="I248" s="27" t="str">
        <x:v>SRC02; SRC03</x:v>
      </x:c>
      <x:c r="J248" s="27" t="str">
        <x:v>Outgoing use and placement rationale.</x:v>
      </x:c>
    </x:row>
    <x:row r="249">
      <x:c r="A249" s="27" t="str">
        <x:v>E00245</x:v>
      </x:c>
      <x:c r="B249" s="27" t="str">
        <x:v>S05-LEARN-02</x:v>
      </x:c>
      <x:c r="C249" s="27" t="str">
        <x:v>Immediate action imitation</x:v>
      </x:c>
      <x:c r="D249" s="27" t="str">
        <x:v>VERIFIED_BY</x:v>
      </x:c>
      <x:c r="E249" s="27" t="str">
        <x:v>S05-LEARN-02:EVIDENCE</x:v>
      </x:c>
      <x:c r="F249" s="27" t="str">
        <x:v>Copies clapping, waving, a syllable, or a demonstrated object action.</x:v>
      </x:c>
      <x:c r="G249" s="27" t="str">
        <x:v>S05</x:v>
      </x:c>
      <x:c r="H249" s="27" t="str">
        <x:v>Learning Foundations</x:v>
      </x:c>
      <x:c r="I249" s="27" t="str">
        <x:v>SRC02; SRC03</x:v>
      </x:c>
      <x:c r="J249" s="27" t="str">
        <x:v>Observable evidence of usable learning.</x:v>
      </x:c>
    </x:row>
    <x:row r="250">
      <x:c r="A250" s="27" t="str">
        <x:v>E00246</x:v>
      </x:c>
      <x:c r="B250" s="27" t="str">
        <x:v>S04-SEL-01</x:v>
      </x:c>
      <x:c r="C250" s="27" t="str">
        <x:v>Previous node in domain progression</x:v>
      </x:c>
      <x:c r="D250" s="27" t="str">
        <x:v>DOMAIN_SEQUENCE</x:v>
      </x:c>
      <x:c r="E250" s="27" t="str">
        <x:v>S05-SEL-01</x:v>
      </x:c>
      <x:c r="F250" s="27" t="str">
        <x:v>Intentional social referencing</x:v>
      </x:c>
      <x:c r="G250" s="27" t="str">
        <x:v>S05</x:v>
      </x:c>
      <x:c r="H250" s="27" t="str">
        <x:v>Social-Emotional</x:v>
      </x:c>
      <x:c r="I250" s="27" t="str">
        <x:v>SRC02; SRC03; SRC18</x:v>
      </x:c>
      <x:c r="J250" s="27" t="str">
        <x:v>Ordered spiral link; consult explicit prerequisites for logical dependency.</x:v>
      </x:c>
    </x:row>
    <x:row r="251">
      <x:c r="A251" s="27" t="str">
        <x:v>E00247</x:v>
      </x:c>
      <x:c r="B251" s="27" t="str">
        <x:v>S05-SEL-01:PREREQ</x:v>
      </x:c>
      <x:c r="C251" s="27" t="str">
        <x:v>Joint attention and familiar–unfamiliar distinction.</x:v>
      </x:c>
      <x:c r="D251" s="27" t="str">
        <x:v>PREREQUISITE</x:v>
      </x:c>
      <x:c r="E251" s="27" t="str">
        <x:v>S05-SEL-01</x:v>
      </x:c>
      <x:c r="F251" s="27" t="str">
        <x:v>Intentional social referencing</x:v>
      </x:c>
      <x:c r="G251" s="27" t="str">
        <x:v>S05</x:v>
      </x:c>
      <x:c r="H251" s="27" t="str">
        <x:v>Social-Emotional</x:v>
      </x:c>
      <x:c r="I251" s="27" t="str">
        <x:v>SRC02; SRC03; SRC18</x:v>
      </x:c>
      <x:c r="J251" s="27" t="str">
        <x:v>Incoming prerequisite relationship.</x:v>
      </x:c>
    </x:row>
    <x:row r="252">
      <x:c r="A252" s="27" t="str">
        <x:v>E00248</x:v>
      </x:c>
      <x:c r="B252" s="27" t="str">
        <x:v>S05-SEL-01:GROUND</x:v>
      </x:c>
      <x:c r="C252" s="27" t="str">
        <x:v>G2 — Intentional action–result</x:v>
      </x:c>
      <x:c r="D252" s="27" t="str">
        <x:v>GROUNDED_BY</x:v>
      </x:c>
      <x:c r="E252" s="27" t="str">
        <x:v>S05-SEL-01</x:v>
      </x:c>
      <x:c r="F252" s="27" t="str">
        <x:v>Intentional social referencing</x:v>
      </x:c>
      <x:c r="G252" s="27" t="str">
        <x:v>S05</x:v>
      </x:c>
      <x:c r="H252" s="27" t="str">
        <x:v>Social-Emotional</x:v>
      </x:c>
      <x:c r="I252" s="27" t="str">
        <x:v>SRC02; SRC03; SRC18</x:v>
      </x:c>
      <x:c r="J252" s="27" t="str">
        <x:v>Grounding form used to preserve meaning.</x:v>
      </x:c>
    </x:row>
    <x:row r="253">
      <x:c r="A253" s="27" t="str">
        <x:v>E00249</x:v>
      </x:c>
      <x:c r="B253" s="27" t="str">
        <x:v>S05-SEL-01</x:v>
      </x:c>
      <x:c r="C253" s="27" t="str">
        <x:v>Intentional social referencing</x:v>
      </x:c>
      <x:c r="D253" s="27" t="str">
        <x:v>CONNECTS_TO</x:v>
      </x:c>
      <x:c r="E253" s="27" t="str">
        <x:v>S05-SEL-01:CROSS</x:v>
      </x:c>
      <x:c r="F253" s="27" t="str">
        <x:v>Language and communication; health; collaboration in science, arts, civics, and projects; responsible digital/financial decisions.</x:v>
      </x:c>
      <x:c r="G253" s="27" t="str">
        <x:v>S05</x:v>
      </x:c>
      <x:c r="H253" s="27" t="str">
        <x:v>Social-Emotional</x:v>
      </x:c>
      <x:c r="I253" s="27" t="str">
        <x:v>SRC02; SRC03; SRC18</x:v>
      </x:c>
      <x:c r="J253" s="27" t="str">
        <x:v>Parallel subject and representation links.</x:v>
      </x:c>
    </x:row>
    <x:row r="254">
      <x:c r="A254" s="27" t="str">
        <x:v>E00250</x:v>
      </x:c>
      <x:c r="B254" s="27" t="str">
        <x:v>S05-SEL-01</x:v>
      </x:c>
      <x:c r="C254" s="27" t="str">
        <x:v>Intentional social referencing</x:v>
      </x:c>
      <x:c r="D254" s="27" t="str">
        <x:v>UNLOCKS</x:v>
      </x:c>
      <x:c r="E254" s="27" t="str">
        <x:v>S05-SEL-01:NEXT</x:v>
      </x:c>
      <x:c r="F254" s="27" t="str">
        <x:v>Social referencing integrates emotion, safety information, and decision-making.</x:v>
      </x:c>
      <x:c r="G254" s="27" t="str">
        <x:v>S05</x:v>
      </x:c>
      <x:c r="H254" s="27" t="str">
        <x:v>Social-Emotional</x:v>
      </x:c>
      <x:c r="I254" s="27" t="str">
        <x:v>SRC02; SRC03; SRC18</x:v>
      </x:c>
      <x:c r="J254" s="27" t="str">
        <x:v>Outgoing use and placement rationale.</x:v>
      </x:c>
    </x:row>
    <x:row r="255">
      <x:c r="A255" s="27" t="str">
        <x:v>E00251</x:v>
      </x:c>
      <x:c r="B255" s="27" t="str">
        <x:v>S05-SEL-01</x:v>
      </x:c>
      <x:c r="C255" s="27" t="str">
        <x:v>Intentional social referencing</x:v>
      </x:c>
      <x:c r="D255" s="27" t="str">
        <x:v>VERIFIED_BY</x:v>
      </x:c>
      <x:c r="E255" s="27" t="str">
        <x:v>S05-SEL-01:EVIDENCE</x:v>
      </x:c>
      <x:c r="F255" s="27" t="str">
        <x:v>Looks to a caregiver before approaching or continuing an uncertain activity.</x:v>
      </x:c>
      <x:c r="G255" s="27" t="str">
        <x:v>S05</x:v>
      </x:c>
      <x:c r="H255" s="27" t="str">
        <x:v>Social-Emotional</x:v>
      </x:c>
      <x:c r="I255" s="27" t="str">
        <x:v>SRC02; SRC03; SRC18</x:v>
      </x:c>
      <x:c r="J255" s="27" t="str">
        <x:v>Observable evidence of usable learning.</x:v>
      </x:c>
    </x:row>
    <x:row r="256">
      <x:c r="A256" s="27" t="str">
        <x:v>E00252</x:v>
      </x:c>
      <x:c r="B256" s="27" t="str">
        <x:v>S04-LANG-02</x:v>
      </x:c>
      <x:c r="C256" s="27" t="str">
        <x:v>Previous node in domain progression</x:v>
      </x:c>
      <x:c r="D256" s="27" t="str">
        <x:v>DOMAIN_SEQUENCE</x:v>
      </x:c>
      <x:c r="E256" s="27" t="str">
        <x:v>S05-LANG-01</x:v>
      </x:c>
      <x:c r="F256" s="27" t="str">
        <x:v>Deictic gestures</x:v>
      </x:c>
      <x:c r="G256" s="27" t="str">
        <x:v>S05</x:v>
      </x:c>
      <x:c r="H256" s="27" t="str">
        <x:v>Language &amp; Communication</x:v>
      </x:c>
      <x:c r="I256" s="27" t="str">
        <x:v>SRC02; SRC03</x:v>
      </x:c>
      <x:c r="J256" s="27" t="str">
        <x:v>Ordered spiral link; consult explicit prerequisites for logical dependency.</x:v>
      </x:c>
    </x:row>
    <x:row r="257">
      <x:c r="A257" s="27" t="str">
        <x:v>E00253</x:v>
      </x:c>
      <x:c r="B257" s="27" t="str">
        <x:v>S05-LANG-01:PREREQ</x:v>
      </x:c>
      <x:c r="C257" s="27" t="str">
        <x:v>Joint attention and intentional communication.</x:v>
      </x:c>
      <x:c r="D257" s="27" t="str">
        <x:v>PREREQUISITE</x:v>
      </x:c>
      <x:c r="E257" s="27" t="str">
        <x:v>S05-LANG-01</x:v>
      </x:c>
      <x:c r="F257" s="27" t="str">
        <x:v>Deictic gestures</x:v>
      </x:c>
      <x:c r="G257" s="27" t="str">
        <x:v>S05</x:v>
      </x:c>
      <x:c r="H257" s="27" t="str">
        <x:v>Language &amp; Communication</x:v>
      </x:c>
      <x:c r="I257" s="27" t="str">
        <x:v>SRC02; SRC03</x:v>
      </x:c>
      <x:c r="J257" s="27" t="str">
        <x:v>Incoming prerequisite relationship.</x:v>
      </x:c>
    </x:row>
    <x:row r="258">
      <x:c r="A258" s="27" t="str">
        <x:v>E00254</x:v>
      </x:c>
      <x:c r="B258" s="27" t="str">
        <x:v>S05-LANG-01:GROUND</x:v>
      </x:c>
      <x:c r="C258" s="27" t="str">
        <x:v>G2 — Intentional action–result</x:v>
      </x:c>
      <x:c r="D258" s="27" t="str">
        <x:v>GROUNDED_BY</x:v>
      </x:c>
      <x:c r="E258" s="27" t="str">
        <x:v>S05-LANG-01</x:v>
      </x:c>
      <x:c r="F258" s="27" t="str">
        <x:v>Deictic gestures</x:v>
      </x:c>
      <x:c r="G258" s="27" t="str">
        <x:v>S05</x:v>
      </x:c>
      <x:c r="H258" s="27" t="str">
        <x:v>Language &amp; Communication</x:v>
      </x:c>
      <x:c r="I258" s="27" t="str">
        <x:v>SRC02; SRC03</x:v>
      </x:c>
      <x:c r="J258" s="27" t="str">
        <x:v>Grounding form used to preserve meaning.</x:v>
      </x:c>
    </x:row>
    <x:row r="259">
      <x:c r="A259" s="27" t="str">
        <x:v>E00255</x:v>
      </x:c>
      <x:c r="B259" s="27" t="str">
        <x:v>S05-LANG-01</x:v>
      </x:c>
      <x:c r="C259" s="27" t="str">
        <x:v>Deictic gestures</x:v>
      </x:c>
      <x:c r="D259" s="27" t="str">
        <x:v>CONNECTS_TO</x:v>
      </x:c>
      <x:c r="E259" s="27" t="str">
        <x:v>S05-LANG-01:CROSS</x:v>
      </x:c>
      <x:c r="F259" s="27" t="str">
        <x:v>Reading and writing; vocabulary for math/science/social studies; discussion, music prosody, and world-language learning.</x:v>
      </x:c>
      <x:c r="G259" s="27" t="str">
        <x:v>S05</x:v>
      </x:c>
      <x:c r="H259" s="27" t="str">
        <x:v>Language &amp; Communication</x:v>
      </x:c>
      <x:c r="I259" s="27" t="str">
        <x:v>SRC02; SRC03</x:v>
      </x:c>
      <x:c r="J259" s="27" t="str">
        <x:v>Parallel subject and representation links.</x:v>
      </x:c>
    </x:row>
    <x:row r="260">
      <x:c r="A260" s="27" t="str">
        <x:v>E00256</x:v>
      </x:c>
      <x:c r="B260" s="27" t="str">
        <x:v>S05-LANG-01</x:v>
      </x:c>
      <x:c r="C260" s="27" t="str">
        <x:v>Deictic gestures</x:v>
      </x:c>
      <x:c r="D260" s="27" t="str">
        <x:v>UNLOCKS</x:v>
      </x:c>
      <x:c r="E260" s="27" t="str">
        <x:v>S05-LANG-01:NEXT</x:v>
      </x:c>
      <x:c r="F260" s="27" t="str">
        <x:v>Gestures establish reference and communicative intent before and alongside words.</x:v>
      </x:c>
      <x:c r="G260" s="27" t="str">
        <x:v>S05</x:v>
      </x:c>
      <x:c r="H260" s="27" t="str">
        <x:v>Language &amp; Communication</x:v>
      </x:c>
      <x:c r="I260" s="27" t="str">
        <x:v>SRC02; SRC03</x:v>
      </x:c>
      <x:c r="J260" s="27" t="str">
        <x:v>Outgoing use and placement rationale.</x:v>
      </x:c>
    </x:row>
    <x:row r="261">
      <x:c r="A261" s="27" t="str">
        <x:v>E00257</x:v>
      </x:c>
      <x:c r="B261" s="27" t="str">
        <x:v>S05-LANG-01</x:v>
      </x:c>
      <x:c r="C261" s="27" t="str">
        <x:v>Deictic gestures</x:v>
      </x:c>
      <x:c r="D261" s="27" t="str">
        <x:v>VERIFIED_BY</x:v>
      </x:c>
      <x:c r="E261" s="27" t="str">
        <x:v>S05-LANG-01:EVIDENCE</x:v>
      </x:c>
      <x:c r="F261" s="27" t="str">
        <x:v>Points, shows, gives, or reaches while checking another person.</x:v>
      </x:c>
      <x:c r="G261" s="27" t="str">
        <x:v>S05</x:v>
      </x:c>
      <x:c r="H261" s="27" t="str">
        <x:v>Language &amp; Communication</x:v>
      </x:c>
      <x:c r="I261" s="27" t="str">
        <x:v>SRC02; SRC03</x:v>
      </x:c>
      <x:c r="J261" s="27" t="str">
        <x:v>Observable evidence of usable learning.</x:v>
      </x:c>
    </x:row>
    <x:row r="262">
      <x:c r="A262" s="27" t="str">
        <x:v>E00258</x:v>
      </x:c>
      <x:c r="B262" s="27" t="str">
        <x:v>S05-LANG-01</x:v>
      </x:c>
      <x:c r="C262" s="27" t="str">
        <x:v>Previous node in domain progression</x:v>
      </x:c>
      <x:c r="D262" s="27" t="str">
        <x:v>DOMAIN_SEQUENCE</x:v>
      </x:c>
      <x:c r="E262" s="27" t="str">
        <x:v>S05-LANG-02</x:v>
      </x:c>
      <x:c r="F262" s="27" t="str">
        <x:v>Simple direction comprehension</x:v>
      </x:c>
      <x:c r="G262" s="27" t="str">
        <x:v>S05</x:v>
      </x:c>
      <x:c r="H262" s="27" t="str">
        <x:v>Language &amp; Communication</x:v>
      </x:c>
      <x:c r="I262" s="27" t="str">
        <x:v>SRC02; SRC03</x:v>
      </x:c>
      <x:c r="J262" s="27" t="str">
        <x:v>Ordered spiral link; consult explicit prerequisites for logical dependency.</x:v>
      </x:c>
    </x:row>
    <x:row r="263">
      <x:c r="A263" s="27" t="str">
        <x:v>E00259</x:v>
      </x:c>
      <x:c r="B263" s="27" t="str">
        <x:v>S05-LANG-02:PREREQ</x:v>
      </x:c>
      <x:c r="C263" s="27" t="str">
        <x:v>Routine-word comprehension and joint attention.</x:v>
      </x:c>
      <x:c r="D263" s="27" t="str">
        <x:v>PREREQUISITE</x:v>
      </x:c>
      <x:c r="E263" s="27" t="str">
        <x:v>S05-LANG-02</x:v>
      </x:c>
      <x:c r="F263" s="27" t="str">
        <x:v>Simple direction comprehension</x:v>
      </x:c>
      <x:c r="G263" s="27" t="str">
        <x:v>S05</x:v>
      </x:c>
      <x:c r="H263" s="27" t="str">
        <x:v>Language &amp; Communication</x:v>
      </x:c>
      <x:c r="I263" s="27" t="str">
        <x:v>SRC02; SRC03</x:v>
      </x:c>
      <x:c r="J263" s="27" t="str">
        <x:v>Incoming prerequisite relationship.</x:v>
      </x:c>
    </x:row>
    <x:row r="264">
      <x:c r="A264" s="27" t="str">
        <x:v>E00260</x:v>
      </x:c>
      <x:c r="B264" s="27" t="str">
        <x:v>S05-LANG-02:GROUND</x:v>
      </x:c>
      <x:c r="C264" s="27" t="str">
        <x:v>G2 — Intentional action–result</x:v>
      </x:c>
      <x:c r="D264" s="27" t="str">
        <x:v>GROUNDED_BY</x:v>
      </x:c>
      <x:c r="E264" s="27" t="str">
        <x:v>S05-LANG-02</x:v>
      </x:c>
      <x:c r="F264" s="27" t="str">
        <x:v>Simple direction comprehension</x:v>
      </x:c>
      <x:c r="G264" s="27" t="str">
        <x:v>S05</x:v>
      </x:c>
      <x:c r="H264" s="27" t="str">
        <x:v>Language &amp; Communication</x:v>
      </x:c>
      <x:c r="I264" s="27" t="str">
        <x:v>SRC02; SRC03</x:v>
      </x:c>
      <x:c r="J264" s="27" t="str">
        <x:v>Grounding form used to preserve meaning.</x:v>
      </x:c>
    </x:row>
    <x:row r="265">
      <x:c r="A265" s="27" t="str">
        <x:v>E00261</x:v>
      </x:c>
      <x:c r="B265" s="27" t="str">
        <x:v>S05-LANG-02</x:v>
      </x:c>
      <x:c r="C265" s="27" t="str">
        <x:v>Simple direction comprehension</x:v>
      </x:c>
      <x:c r="D265" s="27" t="str">
        <x:v>CONNECTS_TO</x:v>
      </x:c>
      <x:c r="E265" s="27" t="str">
        <x:v>S05-LANG-02:CROSS</x:v>
      </x:c>
      <x:c r="F265" s="27" t="str">
        <x:v>Reading and writing; vocabulary for math/science/social studies; discussion, music prosody, and world-language learning.</x:v>
      </x:c>
      <x:c r="G265" s="27" t="str">
        <x:v>S05</x:v>
      </x:c>
      <x:c r="H265" s="27" t="str">
        <x:v>Language &amp; Communication</x:v>
      </x:c>
      <x:c r="I265" s="27" t="str">
        <x:v>SRC02; SRC03</x:v>
      </x:c>
      <x:c r="J265" s="27" t="str">
        <x:v>Parallel subject and representation links.</x:v>
      </x:c>
    </x:row>
    <x:row r="266">
      <x:c r="A266" s="27" t="str">
        <x:v>E00262</x:v>
      </x:c>
      <x:c r="B266" s="27" t="str">
        <x:v>S05-LANG-02</x:v>
      </x:c>
      <x:c r="C266" s="27" t="str">
        <x:v>Simple direction comprehension</x:v>
      </x:c>
      <x:c r="D266" s="27" t="str">
        <x:v>UNLOCKS</x:v>
      </x:c>
      <x:c r="E266" s="27" t="str">
        <x:v>S05-LANG-02:NEXT</x:v>
      </x:c>
      <x:c r="F266" s="27" t="str">
        <x:v>Following one relation at a time prepares multi-step directions and sentence comprehension.</x:v>
      </x:c>
      <x:c r="G266" s="27" t="str">
        <x:v>S05</x:v>
      </x:c>
      <x:c r="H266" s="27" t="str">
        <x:v>Language &amp; Communication</x:v>
      </x:c>
      <x:c r="I266" s="27" t="str">
        <x:v>SRC02; SRC03</x:v>
      </x:c>
      <x:c r="J266" s="27" t="str">
        <x:v>Outgoing use and placement rationale.</x:v>
      </x:c>
    </x:row>
    <x:row r="267">
      <x:c r="A267" s="27" t="str">
        <x:v>E00263</x:v>
      </x:c>
      <x:c r="B267" s="27" t="str">
        <x:v>S05-LANG-02</x:v>
      </x:c>
      <x:c r="C267" s="27" t="str">
        <x:v>Simple direction comprehension</x:v>
      </x:c>
      <x:c r="D267" s="27" t="str">
        <x:v>VERIFIED_BY</x:v>
      </x:c>
      <x:c r="E267" s="27" t="str">
        <x:v>S05-LANG-02:EVIDENCE</x:v>
      </x:c>
      <x:c r="F267" s="27" t="str">
        <x:v>Carries out a familiar action such as give, come, or put with contextual support.</x:v>
      </x:c>
      <x:c r="G267" s="27" t="str">
        <x:v>S05</x:v>
      </x:c>
      <x:c r="H267" s="27" t="str">
        <x:v>Language &amp; Communication</x:v>
      </x:c>
      <x:c r="I267" s="27" t="str">
        <x:v>SRC02; SRC03</x:v>
      </x:c>
      <x:c r="J267" s="27" t="str">
        <x:v>Observable evidence of usable learning.</x:v>
      </x:c>
    </x:row>
    <x:row r="268">
      <x:c r="A268" s="27" t="str">
        <x:v>E00264</x:v>
      </x:c>
      <x:c r="B268" s="27" t="str">
        <x:v>S05-LANG-02</x:v>
      </x:c>
      <x:c r="C268" s="27" t="str">
        <x:v>Previous node in domain progression</x:v>
      </x:c>
      <x:c r="D268" s="27" t="str">
        <x:v>DOMAIN_SEQUENCE</x:v>
      </x:c>
      <x:c r="E268" s="27" t="str">
        <x:v>S05-LANG-03</x:v>
      </x:c>
      <x:c r="F268" s="27" t="str">
        <x:v>Meaningful sound or first word</x:v>
      </x:c>
      <x:c r="G268" s="27" t="str">
        <x:v>S05</x:v>
      </x:c>
      <x:c r="H268" s="27" t="str">
        <x:v>Language &amp; Communication</x:v>
      </x:c>
      <x:c r="I268" s="27" t="str">
        <x:v>SRC02; SRC03</x:v>
      </x:c>
      <x:c r="J268" s="27" t="str">
        <x:v>Ordered spiral link; consult explicit prerequisites for logical dependency.</x:v>
      </x:c>
    </x:row>
    <x:row r="269">
      <x:c r="A269" s="27" t="str">
        <x:v>E00265</x:v>
      </x:c>
      <x:c r="B269" s="27" t="str">
        <x:v>S05-LANG-03:PREREQ</x:v>
      </x:c>
      <x:c r="C269" s="27" t="str">
        <x:v>Intentional gesture, babbling, and word comprehension.</x:v>
      </x:c>
      <x:c r="D269" s="27" t="str">
        <x:v>PREREQUISITE</x:v>
      </x:c>
      <x:c r="E269" s="27" t="str">
        <x:v>S05-LANG-03</x:v>
      </x:c>
      <x:c r="F269" s="27" t="str">
        <x:v>Meaningful sound or first word</x:v>
      </x:c>
      <x:c r="G269" s="27" t="str">
        <x:v>S05</x:v>
      </x:c>
      <x:c r="H269" s="27" t="str">
        <x:v>Language &amp; Communication</x:v>
      </x:c>
      <x:c r="I269" s="27" t="str">
        <x:v>SRC02; SRC03</x:v>
      </x:c>
      <x:c r="J269" s="27" t="str">
        <x:v>Incoming prerequisite relationship.</x:v>
      </x:c>
    </x:row>
    <x:row r="270">
      <x:c r="A270" s="27" t="str">
        <x:v>E00266</x:v>
      </x:c>
      <x:c r="B270" s="27" t="str">
        <x:v>S05-LANG-03:GROUND</x:v>
      </x:c>
      <x:c r="C270" s="27" t="str">
        <x:v>G2 — Intentional action–result</x:v>
      </x:c>
      <x:c r="D270" s="27" t="str">
        <x:v>GROUNDED_BY</x:v>
      </x:c>
      <x:c r="E270" s="27" t="str">
        <x:v>S05-LANG-03</x:v>
      </x:c>
      <x:c r="F270" s="27" t="str">
        <x:v>Meaningful sound or first word</x:v>
      </x:c>
      <x:c r="G270" s="27" t="str">
        <x:v>S05</x:v>
      </x:c>
      <x:c r="H270" s="27" t="str">
        <x:v>Language &amp; Communication</x:v>
      </x:c>
      <x:c r="I270" s="27" t="str">
        <x:v>SRC02; SRC03</x:v>
      </x:c>
      <x:c r="J270" s="27" t="str">
        <x:v>Grounding form used to preserve meaning.</x:v>
      </x:c>
    </x:row>
    <x:row r="271">
      <x:c r="A271" s="27" t="str">
        <x:v>E00267</x:v>
      </x:c>
      <x:c r="B271" s="27" t="str">
        <x:v>S05-LANG-03</x:v>
      </x:c>
      <x:c r="C271" s="27" t="str">
        <x:v>Meaningful sound or first word</x:v>
      </x:c>
      <x:c r="D271" s="27" t="str">
        <x:v>CONNECTS_TO</x:v>
      </x:c>
      <x:c r="E271" s="27" t="str">
        <x:v>S05-LANG-03:CROSS</x:v>
      </x:c>
      <x:c r="F271" s="27" t="str">
        <x:v>Reading and writing; vocabulary for math/science/social studies; discussion, music prosody, and world-language learning.</x:v>
      </x:c>
      <x:c r="G271" s="27" t="str">
        <x:v>S05</x:v>
      </x:c>
      <x:c r="H271" s="27" t="str">
        <x:v>Language &amp; Communication</x:v>
      </x:c>
      <x:c r="I271" s="27" t="str">
        <x:v>SRC02; SRC03</x:v>
      </x:c>
      <x:c r="J271" s="27" t="str">
        <x:v>Parallel subject and representation links.</x:v>
      </x:c>
    </x:row>
    <x:row r="272">
      <x:c r="A272" s="27" t="str">
        <x:v>E00268</x:v>
      </x:c>
      <x:c r="B272" s="27" t="str">
        <x:v>S05-LANG-03</x:v>
      </x:c>
      <x:c r="C272" s="27" t="str">
        <x:v>Meaningful sound or first word</x:v>
      </x:c>
      <x:c r="D272" s="27" t="str">
        <x:v>UNLOCKS</x:v>
      </x:c>
      <x:c r="E272" s="27" t="str">
        <x:v>S05-LANG-03:NEXT</x:v>
      </x:c>
      <x:c r="F272" s="27" t="str">
        <x:v>A stable symbol-to-meaning link is the base unit for vocabulary and combinations.</x:v>
      </x:c>
      <x:c r="G272" s="27" t="str">
        <x:v>S05</x:v>
      </x:c>
      <x:c r="H272" s="27" t="str">
        <x:v>Language &amp; Communication</x:v>
      </x:c>
      <x:c r="I272" s="27" t="str">
        <x:v>SRC02; SRC03</x:v>
      </x:c>
      <x:c r="J272" s="27" t="str">
        <x:v>Outgoing use and placement rationale.</x:v>
      </x:c>
    </x:row>
    <x:row r="273">
      <x:c r="A273" s="27" t="str">
        <x:v>E00269</x:v>
      </x:c>
      <x:c r="B273" s="27" t="str">
        <x:v>S05-LANG-03</x:v>
      </x:c>
      <x:c r="C273" s="27" t="str">
        <x:v>Meaningful sound or first word</x:v>
      </x:c>
      <x:c r="D273" s="27" t="str">
        <x:v>VERIFIED_BY</x:v>
      </x:c>
      <x:c r="E273" s="27" t="str">
        <x:v>S05-LANG-03:EVIDENCE</x:v>
      </x:c>
      <x:c r="F273" s="27" t="str">
        <x:v>Uses the same form across occasions with a recognizable meaning.</x:v>
      </x:c>
      <x:c r="G273" s="27" t="str">
        <x:v>S05</x:v>
      </x:c>
      <x:c r="H273" s="27" t="str">
        <x:v>Language &amp; Communication</x:v>
      </x:c>
      <x:c r="I273" s="27" t="str">
        <x:v>SRC02; SRC03</x:v>
      </x:c>
      <x:c r="J273" s="27" t="str">
        <x:v>Observable evidence of usable learning.</x:v>
      </x:c>
    </x:row>
    <x:row r="274">
      <x:c r="A274" s="27" t="str">
        <x:v>E00270</x:v>
      </x:c>
      <x:c r="B274" s="27" t="str">
        <x:v>S04-MATH-02</x:v>
      </x:c>
      <x:c r="C274" s="27" t="str">
        <x:v>Previous node in domain progression</x:v>
      </x:c>
      <x:c r="D274" s="27" t="str">
        <x:v>DOMAIN_SEQUENCE</x:v>
      </x:c>
      <x:c r="E274" s="27" t="str">
        <x:v>S05-MATH-01</x:v>
      </x:c>
      <x:c r="F274" s="27" t="str">
        <x:v>One-to-one correspondence through action</x:v>
      </x:c>
      <x:c r="G274" s="27" t="str">
        <x:v>S05</x:v>
      </x:c>
      <x:c r="H274" s="27" t="str">
        <x:v>Mathematics</x:v>
      </x:c>
      <x:c r="I274" s="27" t="str">
        <x:v>SRC02; SRC07</x:v>
      </x:c>
      <x:c r="J274" s="27" t="str">
        <x:v>Ordered spiral link; consult explicit prerequisites for logical dependency.</x:v>
      </x:c>
    </x:row>
    <x:row r="275">
      <x:c r="A275" s="27" t="str">
        <x:v>E00271</x:v>
      </x:c>
      <x:c r="B275" s="27" t="str">
        <x:v>S05-MATH-01:PREREQ</x:v>
      </x:c>
      <x:c r="C275" s="27" t="str">
        <x:v>Purposeful grasp/release and object permanence.</x:v>
      </x:c>
      <x:c r="D275" s="27" t="str">
        <x:v>PREREQUISITE</x:v>
      </x:c>
      <x:c r="E275" s="27" t="str">
        <x:v>S05-MATH-01</x:v>
      </x:c>
      <x:c r="F275" s="27" t="str">
        <x:v>One-to-one correspondence through action</x:v>
      </x:c>
      <x:c r="G275" s="27" t="str">
        <x:v>S05</x:v>
      </x:c>
      <x:c r="H275" s="27" t="str">
        <x:v>Mathematics</x:v>
      </x:c>
      <x:c r="I275" s="27" t="str">
        <x:v>SRC02; SRC07</x:v>
      </x:c>
      <x:c r="J275" s="27" t="str">
        <x:v>Incoming prerequisite relationship.</x:v>
      </x:c>
    </x:row>
    <x:row r="276">
      <x:c r="A276" s="27" t="str">
        <x:v>E00272</x:v>
      </x:c>
      <x:c r="B276" s="27" t="str">
        <x:v>S05-MATH-01:GROUND</x:v>
      </x:c>
      <x:c r="C276" s="27" t="str">
        <x:v>G2 — Intentional action–result</x:v>
      </x:c>
      <x:c r="D276" s="27" t="str">
        <x:v>GROUNDED_BY</x:v>
      </x:c>
      <x:c r="E276" s="27" t="str">
        <x:v>S05-MATH-01</x:v>
      </x:c>
      <x:c r="F276" s="27" t="str">
        <x:v>One-to-one correspondence through action</x:v>
      </x:c>
      <x:c r="G276" s="27" t="str">
        <x:v>S05</x:v>
      </x:c>
      <x:c r="H276" s="27" t="str">
        <x:v>Mathematics</x:v>
      </x:c>
      <x:c r="I276" s="27" t="str">
        <x:v>SRC02; SRC07</x:v>
      </x:c>
      <x:c r="J276" s="27" t="str">
        <x:v>Grounding form used to preserve meaning.</x:v>
      </x:c>
    </x:row>
    <x:row r="277">
      <x:c r="A277" s="27" t="str">
        <x:v>E00273</x:v>
      </x:c>
      <x:c r="B277" s="27" t="str">
        <x:v>S05-MATH-01</x:v>
      </x:c>
      <x:c r="C277" s="27" t="str">
        <x:v>One-to-one correspondence through action</x:v>
      </x:c>
      <x:c r="D277" s="27" t="str">
        <x:v>CONNECTS_TO</x:v>
      </x:c>
      <x:c r="E277" s="27" t="str">
        <x:v>S05-MATH-01:CROSS</x:v>
      </x:c>
      <x:c r="F277" s="27" t="str">
        <x:v>Physical quantity and spatial action; science measurement/models; computing/algorithms; finance; music rhythm/pattern; geographic data.</x:v>
      </x:c>
      <x:c r="G277" s="27" t="str">
        <x:v>S05</x:v>
      </x:c>
      <x:c r="H277" s="27" t="str">
        <x:v>Mathematics</x:v>
      </x:c>
      <x:c r="I277" s="27" t="str">
        <x:v>SRC02; SRC07</x:v>
      </x:c>
      <x:c r="J277" s="27" t="str">
        <x:v>Parallel subject and representation links.</x:v>
      </x:c>
    </x:row>
    <x:row r="278">
      <x:c r="A278" s="27" t="str">
        <x:v>E00274</x:v>
      </x:c>
      <x:c r="B278" s="27" t="str">
        <x:v>S05-MATH-01</x:v>
      </x:c>
      <x:c r="C278" s="27" t="str">
        <x:v>One-to-one correspondence through action</x:v>
      </x:c>
      <x:c r="D278" s="27" t="str">
        <x:v>UNLOCKS</x:v>
      </x:c>
      <x:c r="E278" s="27" t="str">
        <x:v>S05-MATH-01:NEXT</x:v>
      </x:c>
      <x:c r="F278" s="27" t="str">
        <x:v>One-for-one mapping later organizes counting, distribution, tables, and functions.</x:v>
      </x:c>
      <x:c r="G278" s="27" t="str">
        <x:v>S05</x:v>
      </x:c>
      <x:c r="H278" s="27" t="str">
        <x:v>Mathematics</x:v>
      </x:c>
      <x:c r="I278" s="27" t="str">
        <x:v>SRC02; SRC07</x:v>
      </x:c>
      <x:c r="J278" s="27" t="str">
        <x:v>Outgoing use and placement rationale.</x:v>
      </x:c>
    </x:row>
    <x:row r="279">
      <x:c r="A279" s="27" t="str">
        <x:v>E00275</x:v>
      </x:c>
      <x:c r="B279" s="27" t="str">
        <x:v>S05-MATH-01</x:v>
      </x:c>
      <x:c r="C279" s="27" t="str">
        <x:v>One-to-one correspondence through action</x:v>
      </x:c>
      <x:c r="D279" s="27" t="str">
        <x:v>VERIFIED_BY</x:v>
      </x:c>
      <x:c r="E279" s="27" t="str">
        <x:v>S05-MATH-01:EVIDENCE</x:v>
      </x:c>
      <x:c r="F279" s="27" t="str">
        <x:v>Places one item in each of several available locations with help or through imitation.</x:v>
      </x:c>
      <x:c r="G279" s="27" t="str">
        <x:v>S05</x:v>
      </x:c>
      <x:c r="H279" s="27" t="str">
        <x:v>Mathematics</x:v>
      </x:c>
      <x:c r="I279" s="27" t="str">
        <x:v>SRC02; SRC07</x:v>
      </x:c>
      <x:c r="J279" s="27" t="str">
        <x:v>Observable evidence of usable learning.</x:v>
      </x:c>
    </x:row>
    <x:row r="280">
      <x:c r="A280" s="27" t="str">
        <x:v>E00276</x:v>
      </x:c>
      <x:c r="B280" s="27" t="str">
        <x:v>S05-MATH-01</x:v>
      </x:c>
      <x:c r="C280" s="27" t="str">
        <x:v>Previous node in domain progression</x:v>
      </x:c>
      <x:c r="D280" s="27" t="str">
        <x:v>DOMAIN_SEQUENCE</x:v>
      </x:c>
      <x:c r="E280" s="27" t="str">
        <x:v>S05-MATH-02</x:v>
      </x:c>
      <x:c r="F280" s="27" t="str">
        <x:v>Action sequence imitation</x:v>
      </x:c>
      <x:c r="G280" s="27" t="str">
        <x:v>S05</x:v>
      </x:c>
      <x:c r="H280" s="27" t="str">
        <x:v>Mathematics</x:v>
      </x:c>
      <x:c r="I280" s="27" t="str">
        <x:v>SRC02; SRC05; SRC07</x:v>
      </x:c>
      <x:c r="J280" s="27" t="str">
        <x:v>Ordered spiral link; consult explicit prerequisites for logical dependency.</x:v>
      </x:c>
    </x:row>
    <x:row r="281">
      <x:c r="A281" s="27" t="str">
        <x:v>E00277</x:v>
      </x:c>
      <x:c r="B281" s="27" t="str">
        <x:v>S05-MATH-02:PREREQ</x:v>
      </x:c>
      <x:c r="C281" s="27" t="str">
        <x:v>Immediate imitation and working memory.</x:v>
      </x:c>
      <x:c r="D281" s="27" t="str">
        <x:v>PREREQUISITE</x:v>
      </x:c>
      <x:c r="E281" s="27" t="str">
        <x:v>S05-MATH-02</x:v>
      </x:c>
      <x:c r="F281" s="27" t="str">
        <x:v>Action sequence imitation</x:v>
      </x:c>
      <x:c r="G281" s="27" t="str">
        <x:v>S05</x:v>
      </x:c>
      <x:c r="H281" s="27" t="str">
        <x:v>Mathematics</x:v>
      </x:c>
      <x:c r="I281" s="27" t="str">
        <x:v>SRC02; SRC05; SRC07</x:v>
      </x:c>
      <x:c r="J281" s="27" t="str">
        <x:v>Incoming prerequisite relationship.</x:v>
      </x:c>
    </x:row>
    <x:row r="282">
      <x:c r="A282" s="27" t="str">
        <x:v>E00278</x:v>
      </x:c>
      <x:c r="B282" s="27" t="str">
        <x:v>S05-MATH-02:GROUND</x:v>
      </x:c>
      <x:c r="C282" s="27" t="str">
        <x:v>G2 — Intentional action–result</x:v>
      </x:c>
      <x:c r="D282" s="27" t="str">
        <x:v>GROUNDED_BY</x:v>
      </x:c>
      <x:c r="E282" s="27" t="str">
        <x:v>S05-MATH-02</x:v>
      </x:c>
      <x:c r="F282" s="27" t="str">
        <x:v>Action sequence imitation</x:v>
      </x:c>
      <x:c r="G282" s="27" t="str">
        <x:v>S05</x:v>
      </x:c>
      <x:c r="H282" s="27" t="str">
        <x:v>Mathematics</x:v>
      </x:c>
      <x:c r="I282" s="27" t="str">
        <x:v>SRC02; SRC05; SRC07</x:v>
      </x:c>
      <x:c r="J282" s="27" t="str">
        <x:v>Grounding form used to preserve meaning.</x:v>
      </x:c>
    </x:row>
    <x:row r="283">
      <x:c r="A283" s="27" t="str">
        <x:v>E00279</x:v>
      </x:c>
      <x:c r="B283" s="27" t="str">
        <x:v>S05-MATH-02</x:v>
      </x:c>
      <x:c r="C283" s="27" t="str">
        <x:v>Action sequence imitation</x:v>
      </x:c>
      <x:c r="D283" s="27" t="str">
        <x:v>CONNECTS_TO</x:v>
      </x:c>
      <x:c r="E283" s="27" t="str">
        <x:v>S05-MATH-02:CROSS</x:v>
      </x:c>
      <x:c r="F283" s="27" t="str">
        <x:v>Physical quantity and spatial action; science measurement/models; computing/algorithms; finance; music rhythm/pattern; geographic data.</x:v>
      </x:c>
      <x:c r="G283" s="27" t="str">
        <x:v>S05</x:v>
      </x:c>
      <x:c r="H283" s="27" t="str">
        <x:v>Mathematics</x:v>
      </x:c>
      <x:c r="I283" s="27" t="str">
        <x:v>SRC02; SRC05; SRC07</x:v>
      </x:c>
      <x:c r="J283" s="27" t="str">
        <x:v>Parallel subject and representation links.</x:v>
      </x:c>
    </x:row>
    <x:row r="284">
      <x:c r="A284" s="27" t="str">
        <x:v>E00280</x:v>
      </x:c>
      <x:c r="B284" s="27" t="str">
        <x:v>S05-MATH-02</x:v>
      </x:c>
      <x:c r="C284" s="27" t="str">
        <x:v>Action sequence imitation</x:v>
      </x:c>
      <x:c r="D284" s="27" t="str">
        <x:v>UNLOCKS</x:v>
      </x:c>
      <x:c r="E284" s="27" t="str">
        <x:v>S05-MATH-02:NEXT</x:v>
      </x:c>
      <x:c r="F284" s="27" t="str">
        <x:v>Ordered action chains prepare routines, narratives, procedures, and algorithms.</x:v>
      </x:c>
      <x:c r="G284" s="27" t="str">
        <x:v>S05</x:v>
      </x:c>
      <x:c r="H284" s="27" t="str">
        <x:v>Mathematics</x:v>
      </x:c>
      <x:c r="I284" s="27" t="str">
        <x:v>SRC02; SRC05; SRC07</x:v>
      </x:c>
      <x:c r="J284" s="27" t="str">
        <x:v>Outgoing use and placement rationale.</x:v>
      </x:c>
    </x:row>
    <x:row r="285">
      <x:c r="A285" s="27" t="str">
        <x:v>E00281</x:v>
      </x:c>
      <x:c r="B285" s="27" t="str">
        <x:v>S05-MATH-02</x:v>
      </x:c>
      <x:c r="C285" s="27" t="str">
        <x:v>Action sequence imitation</x:v>
      </x:c>
      <x:c r="D285" s="27" t="str">
        <x:v>VERIFIED_BY</x:v>
      </x:c>
      <x:c r="E285" s="27" t="str">
        <x:v>S05-MATH-02:EVIDENCE</x:v>
      </x:c>
      <x:c r="F285" s="27" t="str">
        <x:v>Copies a short sequence such as put in then shake, or clap then tap.</x:v>
      </x:c>
      <x:c r="G285" s="27" t="str">
        <x:v>S05</x:v>
      </x:c>
      <x:c r="H285" s="27" t="str">
        <x:v>Mathematics</x:v>
      </x:c>
      <x:c r="I285" s="27" t="str">
        <x:v>SRC02; SRC05; SRC07</x:v>
      </x:c>
      <x:c r="J285" s="27" t="str">
        <x:v>Observable evidence of usable learning.</x:v>
      </x:c>
    </x:row>
    <x:row r="286">
      <x:c r="A286" s="27" t="str">
        <x:v>E00282</x:v>
      </x:c>
      <x:c r="B286" s="27" t="str">
        <x:v>S04-SCI-01</x:v>
      </x:c>
      <x:c r="C286" s="27" t="str">
        <x:v>Previous node in domain progression</x:v>
      </x:c>
      <x:c r="D286" s="27" t="str">
        <x:v>DOMAIN_SEQUENCE</x:v>
      </x:c>
      <x:c r="E286" s="27" t="str">
        <x:v>S05-SCI-01</x:v>
      </x:c>
      <x:c r="F286" s="27" t="str">
        <x:v>Simple tool relation</x:v>
      </x:c>
      <x:c r="G286" s="27" t="str">
        <x:v>S05</x:v>
      </x:c>
      <x:c r="H286" s="27" t="str">
        <x:v>Science &amp; Engineering</x:v>
      </x:c>
      <x:c r="I286" s="27" t="str">
        <x:v>SRC02; SRC11</x:v>
      </x:c>
      <x:c r="J286" s="27" t="str">
        <x:v>Ordered spiral link; consult explicit prerequisites for logical dependency.</x:v>
      </x:c>
    </x:row>
    <x:row r="287">
      <x:c r="A287" s="27" t="str">
        <x:v>E00283</x:v>
      </x:c>
      <x:c r="B287" s="27" t="str">
        <x:v>S05-SCI-01:PREREQ</x:v>
      </x:c>
      <x:c r="C287" s="27" t="str">
        <x:v>Means–end action and imitation.</x:v>
      </x:c>
      <x:c r="D287" s="27" t="str">
        <x:v>PREREQUISITE</x:v>
      </x:c>
      <x:c r="E287" s="27" t="str">
        <x:v>S05-SCI-01</x:v>
      </x:c>
      <x:c r="F287" s="27" t="str">
        <x:v>Simple tool relation</x:v>
      </x:c>
      <x:c r="G287" s="27" t="str">
        <x:v>S05</x:v>
      </x:c>
      <x:c r="H287" s="27" t="str">
        <x:v>Science &amp; Engineering</x:v>
      </x:c>
      <x:c r="I287" s="27" t="str">
        <x:v>SRC02; SRC11</x:v>
      </x:c>
      <x:c r="J287" s="27" t="str">
        <x:v>Incoming prerequisite relationship.</x:v>
      </x:c>
    </x:row>
    <x:row r="288">
      <x:c r="A288" s="27" t="str">
        <x:v>E00284</x:v>
      </x:c>
      <x:c r="B288" s="27" t="str">
        <x:v>S05-SCI-01:GROUND</x:v>
      </x:c>
      <x:c r="C288" s="27" t="str">
        <x:v>G2 — Intentional action–result</x:v>
      </x:c>
      <x:c r="D288" s="27" t="str">
        <x:v>GROUNDED_BY</x:v>
      </x:c>
      <x:c r="E288" s="27" t="str">
        <x:v>S05-SCI-01</x:v>
      </x:c>
      <x:c r="F288" s="27" t="str">
        <x:v>Simple tool relation</x:v>
      </x:c>
      <x:c r="G288" s="27" t="str">
        <x:v>S05</x:v>
      </x:c>
      <x:c r="H288" s="27" t="str">
        <x:v>Science &amp; Engineering</x:v>
      </x:c>
      <x:c r="I288" s="27" t="str">
        <x:v>SRC02; SRC11</x:v>
      </x:c>
      <x:c r="J288" s="27" t="str">
        <x:v>Grounding form used to preserve meaning.</x:v>
      </x:c>
    </x:row>
    <x:row r="289">
      <x:c r="A289" s="27" t="str">
        <x:v>E00285</x:v>
      </x:c>
      <x:c r="B289" s="27" t="str">
        <x:v>S05-SCI-01</x:v>
      </x:c>
      <x:c r="C289" s="27" t="str">
        <x:v>Simple tool relation</x:v>
      </x:c>
      <x:c r="D289" s="27" t="str">
        <x:v>CONNECTS_TO</x:v>
      </x:c>
      <x:c r="E289" s="27" t="str">
        <x:v>S05-SCI-01:CROSS</x:v>
      </x:c>
      <x:c r="F289" s="27" t="str">
        <x:v>Sensory observation and action; mathematics/data; reading/writing evidence; computing/models; health and environmental/civic decisions.</x:v>
      </x:c>
      <x:c r="G289" s="27" t="str">
        <x:v>S05</x:v>
      </x:c>
      <x:c r="H289" s="27" t="str">
        <x:v>Science &amp; Engineering</x:v>
      </x:c>
      <x:c r="I289" s="27" t="str">
        <x:v>SRC02; SRC11</x:v>
      </x:c>
      <x:c r="J289" s="27" t="str">
        <x:v>Parallel subject and representation links.</x:v>
      </x:c>
    </x:row>
    <x:row r="290">
      <x:c r="A290" s="27" t="str">
        <x:v>E00286</x:v>
      </x:c>
      <x:c r="B290" s="27" t="str">
        <x:v>S05-SCI-01</x:v>
      </x:c>
      <x:c r="C290" s="27" t="str">
        <x:v>Simple tool relation</x:v>
      </x:c>
      <x:c r="D290" s="27" t="str">
        <x:v>UNLOCKS</x:v>
      </x:c>
      <x:c r="E290" s="27" t="str">
        <x:v>S05-SCI-01:NEXT</x:v>
      </x:c>
      <x:c r="F290" s="27" t="str">
        <x:v>Tool relations make mechanisms and designed solutions visible.</x:v>
      </x:c>
      <x:c r="G290" s="27" t="str">
        <x:v>S05</x:v>
      </x:c>
      <x:c r="H290" s="27" t="str">
        <x:v>Science &amp; Engineering</x:v>
      </x:c>
      <x:c r="I290" s="27" t="str">
        <x:v>SRC02; SRC11</x:v>
      </x:c>
      <x:c r="J290" s="27" t="str">
        <x:v>Outgoing use and placement rationale.</x:v>
      </x:c>
    </x:row>
    <x:row r="291">
      <x:c r="A291" s="27" t="str">
        <x:v>E00287</x:v>
      </x:c>
      <x:c r="B291" s="27" t="str">
        <x:v>S05-SCI-01</x:v>
      </x:c>
      <x:c r="C291" s="27" t="str">
        <x:v>Simple tool relation</x:v>
      </x:c>
      <x:c r="D291" s="27" t="str">
        <x:v>VERIFIED_BY</x:v>
      </x:c>
      <x:c r="E291" s="27" t="str">
        <x:v>S05-SCI-01:EVIDENCE</x:v>
      </x:c>
      <x:c r="F291" s="27" t="str">
        <x:v>Pulls, pushes, opens, or activates a simple feature to achieve a goal.</x:v>
      </x:c>
      <x:c r="G291" s="27" t="str">
        <x:v>S05</x:v>
      </x:c>
      <x:c r="H291" s="27" t="str">
        <x:v>Science &amp; Engineering</x:v>
      </x:c>
      <x:c r="I291" s="27" t="str">
        <x:v>SRC02; SRC11</x:v>
      </x:c>
      <x:c r="J291" s="27" t="str">
        <x:v>Observable evidence of usable learning.</x:v>
      </x:c>
    </x:row>
    <x:row r="292">
      <x:c r="A292" s="27" t="str">
        <x:v>E00288</x:v>
      </x:c>
      <x:c r="B292" s="27" t="str">
        <x:v>S04-HLTH-01</x:v>
      </x:c>
      <x:c r="C292" s="27" t="str">
        <x:v>Previous node in domain progression</x:v>
      </x:c>
      <x:c r="D292" s="27" t="str">
        <x:v>DOMAIN_SEQUENCE</x:v>
      </x:c>
      <x:c r="E292" s="27" t="str">
        <x:v>S05-HLTH-01</x:v>
      </x:c>
      <x:c r="F292" s="27" t="str">
        <x:v>Self-directed locomotion</x:v>
      </x:c>
      <x:c r="G292" s="27" t="str">
        <x:v>S05</x:v>
      </x:c>
      <x:c r="H292" s="27" t="str">
        <x:v>Physical &amp; Health</x:v>
      </x:c>
      <x:c r="I292" s="27" t="str">
        <x:v>SRC02; SRC03; SRC14</x:v>
      </x:c>
      <x:c r="J292" s="27" t="str">
        <x:v>Ordered spiral link; consult explicit prerequisites for logical dependency.</x:v>
      </x:c>
    </x:row>
    <x:row r="293">
      <x:c r="A293" s="27" t="str">
        <x:v>E00289</x:v>
      </x:c>
      <x:c r="B293" s="27" t="str">
        <x:v>S05-HLTH-01:PREREQ</x:v>
      </x:c>
      <x:c r="C293" s="27" t="str">
        <x:v>Postural control, balance, and motivation.</x:v>
      </x:c>
      <x:c r="D293" s="27" t="str">
        <x:v>PREREQUISITE</x:v>
      </x:c>
      <x:c r="E293" s="27" t="str">
        <x:v>S05-HLTH-01</x:v>
      </x:c>
      <x:c r="F293" s="27" t="str">
        <x:v>Self-directed locomotion</x:v>
      </x:c>
      <x:c r="G293" s="27" t="str">
        <x:v>S05</x:v>
      </x:c>
      <x:c r="H293" s="27" t="str">
        <x:v>Physical &amp; Health</x:v>
      </x:c>
      <x:c r="I293" s="27" t="str">
        <x:v>SRC02; SRC03; SRC14</x:v>
      </x:c>
      <x:c r="J293" s="27" t="str">
        <x:v>Incoming prerequisite relationship.</x:v>
      </x:c>
    </x:row>
    <x:row r="294">
      <x:c r="A294" s="27" t="str">
        <x:v>E00290</x:v>
      </x:c>
      <x:c r="B294" s="27" t="str">
        <x:v>S05-HLTH-01:GROUND</x:v>
      </x:c>
      <x:c r="C294" s="27" t="str">
        <x:v>G2 — Intentional action–result</x:v>
      </x:c>
      <x:c r="D294" s="27" t="str">
        <x:v>GROUNDED_BY</x:v>
      </x:c>
      <x:c r="E294" s="27" t="str">
        <x:v>S05-HLTH-01</x:v>
      </x:c>
      <x:c r="F294" s="27" t="str">
        <x:v>Self-directed locomotion</x:v>
      </x:c>
      <x:c r="G294" s="27" t="str">
        <x:v>S05</x:v>
      </x:c>
      <x:c r="H294" s="27" t="str">
        <x:v>Physical &amp; Health</x:v>
      </x:c>
      <x:c r="I294" s="27" t="str">
        <x:v>SRC02; SRC03; SRC14</x:v>
      </x:c>
      <x:c r="J294" s="27" t="str">
        <x:v>Grounding form used to preserve meaning.</x:v>
      </x:c>
    </x:row>
    <x:row r="295">
      <x:c r="A295" s="27" t="str">
        <x:v>E00291</x:v>
      </x:c>
      <x:c r="B295" s="27" t="str">
        <x:v>S05-HLTH-01</x:v>
      </x:c>
      <x:c r="C295" s="27" t="str">
        <x:v>Self-directed locomotion</x:v>
      </x:c>
      <x:c r="D295" s="27" t="str">
        <x:v>CONNECTS_TO</x:v>
      </x:c>
      <x:c r="E295" s="27" t="str">
        <x:v>S05-HLTH-01:CROSS</x:v>
      </x:c>
      <x:c r="F295" s="27" t="str">
        <x:v>Motor/sensory development; life science; measurement/data; SEL/self-management; communication, safety, and decision-making.</x:v>
      </x:c>
      <x:c r="G295" s="27" t="str">
        <x:v>S05</x:v>
      </x:c>
      <x:c r="H295" s="27" t="str">
        <x:v>Physical &amp; Health</x:v>
      </x:c>
      <x:c r="I295" s="27" t="str">
        <x:v>SRC02; SRC03; SRC14</x:v>
      </x:c>
      <x:c r="J295" s="27" t="str">
        <x:v>Parallel subject and representation links.</x:v>
      </x:c>
    </x:row>
    <x:row r="296">
      <x:c r="A296" s="27" t="str">
        <x:v>E00292</x:v>
      </x:c>
      <x:c r="B296" s="27" t="str">
        <x:v>S05-HLTH-01</x:v>
      </x:c>
      <x:c r="C296" s="27" t="str">
        <x:v>Self-directed locomotion</x:v>
      </x:c>
      <x:c r="D296" s="27" t="str">
        <x:v>UNLOCKS</x:v>
      </x:c>
      <x:c r="E296" s="27" t="str">
        <x:v>S05-HLTH-01:NEXT</x:v>
      </x:c>
      <x:c r="F296" s="27" t="str">
        <x:v>Independent mobility expands spatial mapping, exploration, social choice, and safety learning.</x:v>
      </x:c>
      <x:c r="G296" s="27" t="str">
        <x:v>S05</x:v>
      </x:c>
      <x:c r="H296" s="27" t="str">
        <x:v>Physical &amp; Health</x:v>
      </x:c>
      <x:c r="I296" s="27" t="str">
        <x:v>SRC02; SRC03; SRC14</x:v>
      </x:c>
      <x:c r="J296" s="27" t="str">
        <x:v>Outgoing use and placement rationale.</x:v>
      </x:c>
    </x:row>
    <x:row r="297">
      <x:c r="A297" s="27" t="str">
        <x:v>E00293</x:v>
      </x:c>
      <x:c r="B297" s="27" t="str">
        <x:v>S05-HLTH-01</x:v>
      </x:c>
      <x:c r="C297" s="27" t="str">
        <x:v>Self-directed locomotion</x:v>
      </x:c>
      <x:c r="D297" s="27" t="str">
        <x:v>VERIFIED_BY</x:v>
      </x:c>
      <x:c r="E297" s="27" t="str">
        <x:v>S05-HLTH-01:EVIDENCE</x:v>
      </x:c>
      <x:c r="F297" s="27" t="str">
        <x:v>Moves toward a chosen person, object, or location using an effective method.</x:v>
      </x:c>
      <x:c r="G297" s="27" t="str">
        <x:v>S05</x:v>
      </x:c>
      <x:c r="H297" s="27" t="str">
        <x:v>Physical &amp; Health</x:v>
      </x:c>
      <x:c r="I297" s="27" t="str">
        <x:v>SRC02; SRC03; SRC14</x:v>
      </x:c>
      <x:c r="J297" s="27" t="str">
        <x:v>Observable evidence of usable learning.</x:v>
      </x:c>
    </x:row>
    <x:row r="298">
      <x:c r="A298" s="27" t="str">
        <x:v>E00294</x:v>
      </x:c>
      <x:c r="B298" s="27" t="str">
        <x:v>S05-LEARN-02</x:v>
      </x:c>
      <x:c r="C298" s="27" t="str">
        <x:v>Previous node in domain progression</x:v>
      </x:c>
      <x:c r="D298" s="27" t="str">
        <x:v>DOMAIN_SEQUENCE</x:v>
      </x:c>
      <x:c r="E298" s="27" t="str">
        <x:v>S06-LEARN-01</x:v>
      </x:c>
      <x:c r="F298" s="27" t="str">
        <x:v>Object-to-function knowledge</x:v>
      </x:c>
      <x:c r="G298" s="27" t="str">
        <x:v>S06</x:v>
      </x:c>
      <x:c r="H298" s="27" t="str">
        <x:v>Learning Foundations</x:v>
      </x:c>
      <x:c r="I298" s="27" t="str">
        <x:v>SRC02; SRC03; SRC04</x:v>
      </x:c>
      <x:c r="J298" s="27" t="str">
        <x:v>Ordered spiral link; consult explicit prerequisites for logical dependency.</x:v>
      </x:c>
    </x:row>
    <x:row r="299">
      <x:c r="A299" s="27" t="str">
        <x:v>E00295</x:v>
      </x:c>
      <x:c r="B299" s="27" t="str">
        <x:v>S06-LEARN-01:PREREQ</x:v>
      </x:c>
      <x:c r="C299" s="27" t="str">
        <x:v>Object permanence, imitation, and repeated routines.</x:v>
      </x:c>
      <x:c r="D299" s="27" t="str">
        <x:v>PREREQUISITE</x:v>
      </x:c>
      <x:c r="E299" s="27" t="str">
        <x:v>S06-LEARN-01</x:v>
      </x:c>
      <x:c r="F299" s="27" t="str">
        <x:v>Object-to-function knowledge</x:v>
      </x:c>
      <x:c r="G299" s="27" t="str">
        <x:v>S06</x:v>
      </x:c>
      <x:c r="H299" s="27" t="str">
        <x:v>Learning Foundations</x:v>
      </x:c>
      <x:c r="I299" s="27" t="str">
        <x:v>SRC02; SRC03; SRC04</x:v>
      </x:c>
      <x:c r="J299" s="27" t="str">
        <x:v>Incoming prerequisite relationship.</x:v>
      </x:c>
    </x:row>
    <x:row r="300">
      <x:c r="A300" s="27" t="str">
        <x:v>E00296</x:v>
      </x:c>
      <x:c r="B300" s="27" t="str">
        <x:v>S06-LEARN-01:GROUND</x:v>
      </x:c>
      <x:c r="C300" s="27" t="str">
        <x:v>G2 — Intentional action–result</x:v>
      </x:c>
      <x:c r="D300" s="27" t="str">
        <x:v>GROUNDED_BY</x:v>
      </x:c>
      <x:c r="E300" s="27" t="str">
        <x:v>S06-LEARN-01</x:v>
      </x:c>
      <x:c r="F300" s="27" t="str">
        <x:v>Object-to-function knowledge</x:v>
      </x:c>
      <x:c r="G300" s="27" t="str">
        <x:v>S06</x:v>
      </x:c>
      <x:c r="H300" s="27" t="str">
        <x:v>Learning Foundations</x:v>
      </x:c>
      <x:c r="I300" s="27" t="str">
        <x:v>SRC02; SRC03; SRC04</x:v>
      </x:c>
      <x:c r="J300" s="27" t="str">
        <x:v>Grounding form used to preserve meaning.</x:v>
      </x:c>
    </x:row>
    <x:row r="301">
      <x:c r="A301" s="27" t="str">
        <x:v>E00297</x:v>
      </x:c>
      <x:c r="B301" s="27" t="str">
        <x:v>S06-LEARN-01</x:v>
      </x:c>
      <x:c r="C301" s="27" t="str">
        <x:v>Object-to-function knowledge</x:v>
      </x:c>
      <x:c r="D301" s="27" t="str">
        <x:v>CONNECTS_TO</x:v>
      </x:c>
      <x:c r="E301" s="27" t="str">
        <x:v>S06-LEARN-01:CROSS</x:v>
      </x:c>
      <x:c r="F301" s="27" t="str">
        <x:v>All domains: attention, memory, strategy choice, monitoring, retrieval, and transfer.</x:v>
      </x:c>
      <x:c r="G301" s="27" t="str">
        <x:v>S06</x:v>
      </x:c>
      <x:c r="H301" s="27" t="str">
        <x:v>Learning Foundations</x:v>
      </x:c>
      <x:c r="I301" s="27" t="str">
        <x:v>SRC02; SRC03; SRC04</x:v>
      </x:c>
      <x:c r="J301" s="27" t="str">
        <x:v>Parallel subject and representation links.</x:v>
      </x:c>
    </x:row>
    <x:row r="302">
      <x:c r="A302" s="27" t="str">
        <x:v>E00298</x:v>
      </x:c>
      <x:c r="B302" s="27" t="str">
        <x:v>S06-LEARN-01</x:v>
      </x:c>
      <x:c r="C302" s="27" t="str">
        <x:v>Object-to-function knowledge</x:v>
      </x:c>
      <x:c r="D302" s="27" t="str">
        <x:v>UNLOCKS</x:v>
      </x:c>
      <x:c r="E302" s="27" t="str">
        <x:v>S06-LEARN-01:NEXT</x:v>
      </x:c>
      <x:c r="F302" s="27" t="str">
        <x:v>Stable function knowledge supports categories, pretend play, tools, and semantic memory.</x:v>
      </x:c>
      <x:c r="G302" s="27" t="str">
        <x:v>S06</x:v>
      </x:c>
      <x:c r="H302" s="27" t="str">
        <x:v>Learning Foundations</x:v>
      </x:c>
      <x:c r="I302" s="27" t="str">
        <x:v>SRC02; SRC03; SRC04</x:v>
      </x:c>
      <x:c r="J302" s="27" t="str">
        <x:v>Outgoing use and placement rationale.</x:v>
      </x:c>
    </x:row>
    <x:row r="303">
      <x:c r="A303" s="27" t="str">
        <x:v>E00299</x:v>
      </x:c>
      <x:c r="B303" s="27" t="str">
        <x:v>S06-LEARN-01</x:v>
      </x:c>
      <x:c r="C303" s="27" t="str">
        <x:v>Object-to-function knowledge</x:v>
      </x:c>
      <x:c r="D303" s="27" t="str">
        <x:v>VERIFIED_BY</x:v>
      </x:c>
      <x:c r="E303" s="27" t="str">
        <x:v>S06-LEARN-01:EVIDENCE</x:v>
      </x:c>
      <x:c r="F303" s="27" t="str">
        <x:v>Selects or uses a familiar object appropriately within a routine.</x:v>
      </x:c>
      <x:c r="G303" s="27" t="str">
        <x:v>S06</x:v>
      </x:c>
      <x:c r="H303" s="27" t="str">
        <x:v>Learning Foundations</x:v>
      </x:c>
      <x:c r="I303" s="27" t="str">
        <x:v>SRC02; SRC03; SRC04</x:v>
      </x:c>
      <x:c r="J303" s="27" t="str">
        <x:v>Observable evidence of usable learning.</x:v>
      </x:c>
    </x:row>
    <x:row r="304">
      <x:c r="A304" s="27" t="str">
        <x:v>E00300</x:v>
      </x:c>
      <x:c r="B304" s="27" t="str">
        <x:v>S06-LEARN-01</x:v>
      </x:c>
      <x:c r="C304" s="27" t="str">
        <x:v>Previous node in domain progression</x:v>
      </x:c>
      <x:c r="D304" s="27" t="str">
        <x:v>DOMAIN_SEQUENCE</x:v>
      </x:c>
      <x:c r="E304" s="27" t="str">
        <x:v>S06-LEARN-02</x:v>
      </x:c>
      <x:c r="F304" s="27" t="str">
        <x:v>Deferred imitation</x:v>
      </x:c>
      <x:c r="G304" s="27" t="str">
        <x:v>S06</x:v>
      </x:c>
      <x:c r="H304" s="27" t="str">
        <x:v>Learning Foundations</x:v>
      </x:c>
      <x:c r="I304" s="27" t="str">
        <x:v>SRC02; SRC04; SRC05</x:v>
      </x:c>
      <x:c r="J304" s="27" t="str">
        <x:v>Ordered spiral link; consult explicit prerequisites for logical dependency.</x:v>
      </x:c>
    </x:row>
    <x:row r="305">
      <x:c r="A305" s="27" t="str">
        <x:v>E00301</x:v>
      </x:c>
      <x:c r="B305" s="27" t="str">
        <x:v>S06-LEARN-02:PREREQ</x:v>
      </x:c>
      <x:c r="C305" s="27" t="str">
        <x:v>Immediate imitation and stronger mental representation.</x:v>
      </x:c>
      <x:c r="D305" s="27" t="str">
        <x:v>PREREQUISITE</x:v>
      </x:c>
      <x:c r="E305" s="27" t="str">
        <x:v>S06-LEARN-02</x:v>
      </x:c>
      <x:c r="F305" s="27" t="str">
        <x:v>Deferred imitation</x:v>
      </x:c>
      <x:c r="G305" s="27" t="str">
        <x:v>S06</x:v>
      </x:c>
      <x:c r="H305" s="27" t="str">
        <x:v>Learning Foundations</x:v>
      </x:c>
      <x:c r="I305" s="27" t="str">
        <x:v>SRC02; SRC04; SRC05</x:v>
      </x:c>
      <x:c r="J305" s="27" t="str">
        <x:v>Incoming prerequisite relationship.</x:v>
      </x:c>
    </x:row>
    <x:row r="306">
      <x:c r="A306" s="27" t="str">
        <x:v>E00302</x:v>
      </x:c>
      <x:c r="B306" s="27" t="str">
        <x:v>S06-LEARN-02:GROUND</x:v>
      </x:c>
      <x:c r="C306" s="27" t="str">
        <x:v>G2 — Intentional action–result</x:v>
      </x:c>
      <x:c r="D306" s="27" t="str">
        <x:v>GROUNDED_BY</x:v>
      </x:c>
      <x:c r="E306" s="27" t="str">
        <x:v>S06-LEARN-02</x:v>
      </x:c>
      <x:c r="F306" s="27" t="str">
        <x:v>Deferred imitation</x:v>
      </x:c>
      <x:c r="G306" s="27" t="str">
        <x:v>S06</x:v>
      </x:c>
      <x:c r="H306" s="27" t="str">
        <x:v>Learning Foundations</x:v>
      </x:c>
      <x:c r="I306" s="27" t="str">
        <x:v>SRC02; SRC04; SRC05</x:v>
      </x:c>
      <x:c r="J306" s="27" t="str">
        <x:v>Grounding form used to preserve meaning.</x:v>
      </x:c>
    </x:row>
    <x:row r="307">
      <x:c r="A307" s="27" t="str">
        <x:v>E00303</x:v>
      </x:c>
      <x:c r="B307" s="27" t="str">
        <x:v>S06-LEARN-02</x:v>
      </x:c>
      <x:c r="C307" s="27" t="str">
        <x:v>Deferred imitation</x:v>
      </x:c>
      <x:c r="D307" s="27" t="str">
        <x:v>CONNECTS_TO</x:v>
      </x:c>
      <x:c r="E307" s="27" t="str">
        <x:v>S06-LEARN-02:CROSS</x:v>
      </x:c>
      <x:c r="F307" s="27" t="str">
        <x:v>All domains: attention, memory, strategy choice, monitoring, retrieval, and transfer.</x:v>
      </x:c>
      <x:c r="G307" s="27" t="str">
        <x:v>S06</x:v>
      </x:c>
      <x:c r="H307" s="27" t="str">
        <x:v>Learning Foundations</x:v>
      </x:c>
      <x:c r="I307" s="27" t="str">
        <x:v>SRC02; SRC04; SRC05</x:v>
      </x:c>
      <x:c r="J307" s="27" t="str">
        <x:v>Parallel subject and representation links.</x:v>
      </x:c>
    </x:row>
    <x:row r="308">
      <x:c r="A308" s="27" t="str">
        <x:v>E00304</x:v>
      </x:c>
      <x:c r="B308" s="27" t="str">
        <x:v>S06-LEARN-02</x:v>
      </x:c>
      <x:c r="C308" s="27" t="str">
        <x:v>Deferred imitation</x:v>
      </x:c>
      <x:c r="D308" s="27" t="str">
        <x:v>UNLOCKS</x:v>
      </x:c>
      <x:c r="E308" s="27" t="str">
        <x:v>S06-LEARN-02:NEXT</x:v>
      </x:c>
      <x:c r="F308" s="27" t="str">
        <x:v>Deferred imitation shows that actions can be stored, recalled, and generalized.</x:v>
      </x:c>
      <x:c r="G308" s="27" t="str">
        <x:v>S06</x:v>
      </x:c>
      <x:c r="H308" s="27" t="str">
        <x:v>Learning Foundations</x:v>
      </x:c>
      <x:c r="I308" s="27" t="str">
        <x:v>SRC02; SRC04; SRC05</x:v>
      </x:c>
      <x:c r="J308" s="27" t="str">
        <x:v>Outgoing use and placement rationale.</x:v>
      </x:c>
    </x:row>
    <x:row r="309">
      <x:c r="A309" s="27" t="str">
        <x:v>E00305</x:v>
      </x:c>
      <x:c r="B309" s="27" t="str">
        <x:v>S06-LEARN-02</x:v>
      </x:c>
      <x:c r="C309" s="27" t="str">
        <x:v>Deferred imitation</x:v>
      </x:c>
      <x:c r="D309" s="27" t="str">
        <x:v>VERIFIED_BY</x:v>
      </x:c>
      <x:c r="E309" s="27" t="str">
        <x:v>S06-LEARN-02:EVIDENCE</x:v>
      </x:c>
      <x:c r="F309" s="27" t="str">
        <x:v>Later repeats a demonstrated gesture, sound, or object use.</x:v>
      </x:c>
      <x:c r="G309" s="27" t="str">
        <x:v>S06</x:v>
      </x:c>
      <x:c r="H309" s="27" t="str">
        <x:v>Learning Foundations</x:v>
      </x:c>
      <x:c r="I309" s="27" t="str">
        <x:v>SRC02; SRC04; SRC05</x:v>
      </x:c>
      <x:c r="J309" s="27" t="str">
        <x:v>Observable evidence of usable learning.</x:v>
      </x:c>
    </x:row>
    <x:row r="310">
      <x:c r="A310" s="27" t="str">
        <x:v>E00306</x:v>
      </x:c>
      <x:c r="B310" s="27" t="str">
        <x:v>S05-SEL-01</x:v>
      </x:c>
      <x:c r="C310" s="27" t="str">
        <x:v>Previous node in domain progression</x:v>
      </x:c>
      <x:c r="D310" s="27" t="str">
        <x:v>DOMAIN_SEQUENCE</x:v>
      </x:c>
      <x:c r="E310" s="27" t="str">
        <x:v>S06-SEL-01</x:v>
      </x:c>
      <x:c r="F310" s="27" t="str">
        <x:v>Agency and preference</x:v>
      </x:c>
      <x:c r="G310" s="27" t="str">
        <x:v>S06</x:v>
      </x:c>
      <x:c r="H310" s="27" t="str">
        <x:v>Social-Emotional</x:v>
      </x:c>
      <x:c r="I310" s="27" t="str">
        <x:v>SRC02; SRC03; SRC18</x:v>
      </x:c>
      <x:c r="J310" s="27" t="str">
        <x:v>Ordered spiral link; consult explicit prerequisites for logical dependency.</x:v>
      </x:c>
    </x:row>
    <x:row r="311">
      <x:c r="A311" s="27" t="str">
        <x:v>E00307</x:v>
      </x:c>
      <x:c r="B311" s="27" t="str">
        <x:v>S06-SEL-01:PREREQ</x:v>
      </x:c>
      <x:c r="C311" s="27" t="str">
        <x:v>Intentional communication and mobility.</x:v>
      </x:c>
      <x:c r="D311" s="27" t="str">
        <x:v>PREREQUISITE</x:v>
      </x:c>
      <x:c r="E311" s="27" t="str">
        <x:v>S06-SEL-01</x:v>
      </x:c>
      <x:c r="F311" s="27" t="str">
        <x:v>Agency and preference</x:v>
      </x:c>
      <x:c r="G311" s="27" t="str">
        <x:v>S06</x:v>
      </x:c>
      <x:c r="H311" s="27" t="str">
        <x:v>Social-Emotional</x:v>
      </x:c>
      <x:c r="I311" s="27" t="str">
        <x:v>SRC02; SRC03; SRC18</x:v>
      </x:c>
      <x:c r="J311" s="27" t="str">
        <x:v>Incoming prerequisite relationship.</x:v>
      </x:c>
    </x:row>
    <x:row r="312">
      <x:c r="A312" s="27" t="str">
        <x:v>E00308</x:v>
      </x:c>
      <x:c r="B312" s="27" t="str">
        <x:v>S06-SEL-01:GROUND</x:v>
      </x:c>
      <x:c r="C312" s="27" t="str">
        <x:v>G2 — Intentional action–result</x:v>
      </x:c>
      <x:c r="D312" s="27" t="str">
        <x:v>GROUNDED_BY</x:v>
      </x:c>
      <x:c r="E312" s="27" t="str">
        <x:v>S06-SEL-01</x:v>
      </x:c>
      <x:c r="F312" s="27" t="str">
        <x:v>Agency and preference</x:v>
      </x:c>
      <x:c r="G312" s="27" t="str">
        <x:v>S06</x:v>
      </x:c>
      <x:c r="H312" s="27" t="str">
        <x:v>Social-Emotional</x:v>
      </x:c>
      <x:c r="I312" s="27" t="str">
        <x:v>SRC02; SRC03; SRC18</x:v>
      </x:c>
      <x:c r="J312" s="27" t="str">
        <x:v>Grounding form used to preserve meaning.</x:v>
      </x:c>
    </x:row>
    <x:row r="313">
      <x:c r="A313" s="27" t="str">
        <x:v>E00309</x:v>
      </x:c>
      <x:c r="B313" s="27" t="str">
        <x:v>S06-SEL-01</x:v>
      </x:c>
      <x:c r="C313" s="27" t="str">
        <x:v>Agency and preference</x:v>
      </x:c>
      <x:c r="D313" s="27" t="str">
        <x:v>CONNECTS_TO</x:v>
      </x:c>
      <x:c r="E313" s="27" t="str">
        <x:v>S06-SEL-01:CROSS</x:v>
      </x:c>
      <x:c r="F313" s="27" t="str">
        <x:v>Language and communication; health; collaboration in science, arts, civics, and projects; responsible digital/financial decisions.</x:v>
      </x:c>
      <x:c r="G313" s="27" t="str">
        <x:v>S06</x:v>
      </x:c>
      <x:c r="H313" s="27" t="str">
        <x:v>Social-Emotional</x:v>
      </x:c>
      <x:c r="I313" s="27" t="str">
        <x:v>SRC02; SRC03; SRC18</x:v>
      </x:c>
      <x:c r="J313" s="27" t="str">
        <x:v>Parallel subject and representation links.</x:v>
      </x:c>
    </x:row>
    <x:row r="314">
      <x:c r="A314" s="27" t="str">
        <x:v>E00310</x:v>
      </x:c>
      <x:c r="B314" s="27" t="str">
        <x:v>S06-SEL-01</x:v>
      </x:c>
      <x:c r="C314" s="27" t="str">
        <x:v>Agency and preference</x:v>
      </x:c>
      <x:c r="D314" s="27" t="str">
        <x:v>UNLOCKS</x:v>
      </x:c>
      <x:c r="E314" s="27" t="str">
        <x:v>S06-SEL-01:NEXT</x:v>
      </x:c>
      <x:c r="F314" s="27" t="str">
        <x:v>Agency motivates persistence and provides material for self-regulation and responsible choice.</x:v>
      </x:c>
      <x:c r="G314" s="27" t="str">
        <x:v>S06</x:v>
      </x:c>
      <x:c r="H314" s="27" t="str">
        <x:v>Social-Emotional</x:v>
      </x:c>
      <x:c r="I314" s="27" t="str">
        <x:v>SRC02; SRC03; SRC18</x:v>
      </x:c>
      <x:c r="J314" s="27" t="str">
        <x:v>Outgoing use and placement rationale.</x:v>
      </x:c>
    </x:row>
    <x:row r="315">
      <x:c r="A315" s="27" t="str">
        <x:v>E00311</x:v>
      </x:c>
      <x:c r="B315" s="27" t="str">
        <x:v>S06-SEL-01</x:v>
      </x:c>
      <x:c r="C315" s="27" t="str">
        <x:v>Agency and preference</x:v>
      </x:c>
      <x:c r="D315" s="27" t="str">
        <x:v>VERIFIED_BY</x:v>
      </x:c>
      <x:c r="E315" s="27" t="str">
        <x:v>S06-SEL-01:EVIDENCE</x:v>
      </x:c>
      <x:c r="F315" s="27" t="str">
        <x:v>Clearly selects, rejects, requests help, or attempts a task independently.</x:v>
      </x:c>
      <x:c r="G315" s="27" t="str">
        <x:v>S06</x:v>
      </x:c>
      <x:c r="H315" s="27" t="str">
        <x:v>Social-Emotional</x:v>
      </x:c>
      <x:c r="I315" s="27" t="str">
        <x:v>SRC02; SRC03; SRC18</x:v>
      </x:c>
      <x:c r="J315" s="27" t="str">
        <x:v>Observable evidence of usable learning.</x:v>
      </x:c>
    </x:row>
    <x:row r="316">
      <x:c r="A316" s="27" t="str">
        <x:v>E00312</x:v>
      </x:c>
      <x:c r="B316" s="27" t="str">
        <x:v>S06-SEL-01</x:v>
      </x:c>
      <x:c r="C316" s="27" t="str">
        <x:v>Previous node in domain progression</x:v>
      </x:c>
      <x:c r="D316" s="27" t="str">
        <x:v>DOMAIN_SEQUENCE</x:v>
      </x:c>
      <x:c r="E316" s="27" t="str">
        <x:v>S06-SEL-02</x:v>
      </x:c>
      <x:c r="F316" s="27" t="str">
        <x:v>Parallel social engagement</x:v>
      </x:c>
      <x:c r="G316" s="27" t="str">
        <x:v>S06</x:v>
      </x:c>
      <x:c r="H316" s="27" t="str">
        <x:v>Social-Emotional</x:v>
      </x:c>
      <x:c r="I316" s="27" t="str">
        <x:v>SRC02; SRC18</x:v>
      </x:c>
      <x:c r="J316" s="27" t="str">
        <x:v>Ordered spiral link; consult explicit prerequisites for logical dependency.</x:v>
      </x:c>
    </x:row>
    <x:row r="317">
      <x:c r="A317" s="27" t="str">
        <x:v>E00313</x:v>
      </x:c>
      <x:c r="B317" s="27" t="str">
        <x:v>S06-SEL-02:PREREQ</x:v>
      </x:c>
      <x:c r="C317" s="27" t="str">
        <x:v>Social referencing and object play.</x:v>
      </x:c>
      <x:c r="D317" s="27" t="str">
        <x:v>PREREQUISITE</x:v>
      </x:c>
      <x:c r="E317" s="27" t="str">
        <x:v>S06-SEL-02</x:v>
      </x:c>
      <x:c r="F317" s="27" t="str">
        <x:v>Parallel social engagement</x:v>
      </x:c>
      <x:c r="G317" s="27" t="str">
        <x:v>S06</x:v>
      </x:c>
      <x:c r="H317" s="27" t="str">
        <x:v>Social-Emotional</x:v>
      </x:c>
      <x:c r="I317" s="27" t="str">
        <x:v>SRC02; SRC18</x:v>
      </x:c>
      <x:c r="J317" s="27" t="str">
        <x:v>Incoming prerequisite relationship.</x:v>
      </x:c>
    </x:row>
    <x:row r="318">
      <x:c r="A318" s="27" t="str">
        <x:v>E00314</x:v>
      </x:c>
      <x:c r="B318" s="27" t="str">
        <x:v>S06-SEL-02:GROUND</x:v>
      </x:c>
      <x:c r="C318" s="27" t="str">
        <x:v>G2 — Intentional action–result</x:v>
      </x:c>
      <x:c r="D318" s="27" t="str">
        <x:v>GROUNDED_BY</x:v>
      </x:c>
      <x:c r="E318" s="27" t="str">
        <x:v>S06-SEL-02</x:v>
      </x:c>
      <x:c r="F318" s="27" t="str">
        <x:v>Parallel social engagement</x:v>
      </x:c>
      <x:c r="G318" s="27" t="str">
        <x:v>S06</x:v>
      </x:c>
      <x:c r="H318" s="27" t="str">
        <x:v>Social-Emotional</x:v>
      </x:c>
      <x:c r="I318" s="27" t="str">
        <x:v>SRC02; SRC18</x:v>
      </x:c>
      <x:c r="J318" s="27" t="str">
        <x:v>Grounding form used to preserve meaning.</x:v>
      </x:c>
    </x:row>
    <x:row r="319">
      <x:c r="A319" s="27" t="str">
        <x:v>E00315</x:v>
      </x:c>
      <x:c r="B319" s="27" t="str">
        <x:v>S06-SEL-02</x:v>
      </x:c>
      <x:c r="C319" s="27" t="str">
        <x:v>Parallel social engagement</x:v>
      </x:c>
      <x:c r="D319" s="27" t="str">
        <x:v>CONNECTS_TO</x:v>
      </x:c>
      <x:c r="E319" s="27" t="str">
        <x:v>S06-SEL-02:CROSS</x:v>
      </x:c>
      <x:c r="F319" s="27" t="str">
        <x:v>Language and communication; health; collaboration in science, arts, civics, and projects; responsible digital/financial decisions.</x:v>
      </x:c>
      <x:c r="G319" s="27" t="str">
        <x:v>S06</x:v>
      </x:c>
      <x:c r="H319" s="27" t="str">
        <x:v>Social-Emotional</x:v>
      </x:c>
      <x:c r="I319" s="27" t="str">
        <x:v>SRC02; SRC18</x:v>
      </x:c>
      <x:c r="J319" s="27" t="str">
        <x:v>Parallel subject and representation links.</x:v>
      </x:c>
    </x:row>
    <x:row r="320">
      <x:c r="A320" s="27" t="str">
        <x:v>E00316</x:v>
      </x:c>
      <x:c r="B320" s="27" t="str">
        <x:v>S06-SEL-02</x:v>
      </x:c>
      <x:c r="C320" s="27" t="str">
        <x:v>Parallel social engagement</x:v>
      </x:c>
      <x:c r="D320" s="27" t="str">
        <x:v>UNLOCKS</x:v>
      </x:c>
      <x:c r="E320" s="27" t="str">
        <x:v>S06-SEL-02:NEXT</x:v>
      </x:c>
      <x:c r="F320" s="27" t="str">
        <x:v>Parallel engagement develops shared space, turn awareness, and later cooperative play.</x:v>
      </x:c>
      <x:c r="G320" s="27" t="str">
        <x:v>S06</x:v>
      </x:c>
      <x:c r="H320" s="27" t="str">
        <x:v>Social-Emotional</x:v>
      </x:c>
      <x:c r="I320" s="27" t="str">
        <x:v>SRC02; SRC18</x:v>
      </x:c>
      <x:c r="J320" s="27" t="str">
        <x:v>Outgoing use and placement rationale.</x:v>
      </x:c>
    </x:row>
    <x:row r="321">
      <x:c r="A321" s="27" t="str">
        <x:v>E00317</x:v>
      </x:c>
      <x:c r="B321" s="27" t="str">
        <x:v>S06-SEL-02</x:v>
      </x:c>
      <x:c r="C321" s="27" t="str">
        <x:v>Parallel social engagement</x:v>
      </x:c>
      <x:c r="D321" s="27" t="str">
        <x:v>VERIFIED_BY</x:v>
      </x:c>
      <x:c r="E321" s="27" t="str">
        <x:v>S06-SEL-02:EVIDENCE</x:v>
      </x:c>
      <x:c r="F321" s="27" t="str">
        <x:v>Maintains play near another child with occasional coordinated attention or exchange.</x:v>
      </x:c>
      <x:c r="G321" s="27" t="str">
        <x:v>S06</x:v>
      </x:c>
      <x:c r="H321" s="27" t="str">
        <x:v>Social-Emotional</x:v>
      </x:c>
      <x:c r="I321" s="27" t="str">
        <x:v>SRC02; SRC18</x:v>
      </x:c>
      <x:c r="J321" s="27" t="str">
        <x:v>Observable evidence of usable learning.</x:v>
      </x:c>
    </x:row>
    <x:row r="322">
      <x:c r="A322" s="27" t="str">
        <x:v>E00318</x:v>
      </x:c>
      <x:c r="B322" s="27" t="str">
        <x:v>S05-LANG-03</x:v>
      </x:c>
      <x:c r="C322" s="27" t="str">
        <x:v>Previous node in domain progression</x:v>
      </x:c>
      <x:c r="D322" s="27" t="str">
        <x:v>DOMAIN_SEQUENCE</x:v>
      </x:c>
      <x:c r="E322" s="27" t="str">
        <x:v>S06-LANG-01</x:v>
      </x:c>
      <x:c r="F322" s="27" t="str">
        <x:v>Familiar word recognition</x:v>
      </x:c>
      <x:c r="G322" s="27" t="str">
        <x:v>S06</x:v>
      </x:c>
      <x:c r="H322" s="27" t="str">
        <x:v>Language &amp; Communication</x:v>
      </x:c>
      <x:c r="I322" s="27" t="str">
        <x:v>SRC02; SRC03</x:v>
      </x:c>
      <x:c r="J322" s="27" t="str">
        <x:v>Ordered spiral link; consult explicit prerequisites for logical dependency.</x:v>
      </x:c>
    </x:row>
    <x:row r="323">
      <x:c r="A323" s="27" t="str">
        <x:v>E00319</x:v>
      </x:c>
      <x:c r="B323" s="27" t="str">
        <x:v>S06-LANG-01:PREREQ</x:v>
      </x:c>
      <x:c r="C323" s="27" t="str">
        <x:v>Stable symbol-meaning links and joint attention.</x:v>
      </x:c>
      <x:c r="D323" s="27" t="str">
        <x:v>PREREQUISITE</x:v>
      </x:c>
      <x:c r="E323" s="27" t="str">
        <x:v>S06-LANG-01</x:v>
      </x:c>
      <x:c r="F323" s="27" t="str">
        <x:v>Familiar word recognition</x:v>
      </x:c>
      <x:c r="G323" s="27" t="str">
        <x:v>S06</x:v>
      </x:c>
      <x:c r="H323" s="27" t="str">
        <x:v>Language &amp; Communication</x:v>
      </x:c>
      <x:c r="I323" s="27" t="str">
        <x:v>SRC02; SRC03</x:v>
      </x:c>
      <x:c r="J323" s="27" t="str">
        <x:v>Incoming prerequisite relationship.</x:v>
      </x:c>
    </x:row>
    <x:row r="324">
      <x:c r="A324" s="27" t="str">
        <x:v>E00320</x:v>
      </x:c>
      <x:c r="B324" s="27" t="str">
        <x:v>S06-LANG-01:GROUND</x:v>
      </x:c>
      <x:c r="C324" s="27" t="str">
        <x:v>G2 — Intentional action–result</x:v>
      </x:c>
      <x:c r="D324" s="27" t="str">
        <x:v>GROUNDED_BY</x:v>
      </x:c>
      <x:c r="E324" s="27" t="str">
        <x:v>S06-LANG-01</x:v>
      </x:c>
      <x:c r="F324" s="27" t="str">
        <x:v>Familiar word recognition</x:v>
      </x:c>
      <x:c r="G324" s="27" t="str">
        <x:v>S06</x:v>
      </x:c>
      <x:c r="H324" s="27" t="str">
        <x:v>Language &amp; Communication</x:v>
      </x:c>
      <x:c r="I324" s="27" t="str">
        <x:v>SRC02; SRC03</x:v>
      </x:c>
      <x:c r="J324" s="27" t="str">
        <x:v>Grounding form used to preserve meaning.</x:v>
      </x:c>
    </x:row>
    <x:row r="325">
      <x:c r="A325" s="27" t="str">
        <x:v>E00321</x:v>
      </x:c>
      <x:c r="B325" s="27" t="str">
        <x:v>S06-LANG-01</x:v>
      </x:c>
      <x:c r="C325" s="27" t="str">
        <x:v>Familiar word recognition</x:v>
      </x:c>
      <x:c r="D325" s="27" t="str">
        <x:v>CONNECTS_TO</x:v>
      </x:c>
      <x:c r="E325" s="27" t="str">
        <x:v>S06-LANG-01:CROSS</x:v>
      </x:c>
      <x:c r="F325" s="27" t="str">
        <x:v>Reading and writing; vocabulary for math/science/social studies; discussion, music prosody, and world-language learning.</x:v>
      </x:c>
      <x:c r="G325" s="27" t="str">
        <x:v>S06</x:v>
      </x:c>
      <x:c r="H325" s="27" t="str">
        <x:v>Language &amp; Communication</x:v>
      </x:c>
      <x:c r="I325" s="27" t="str">
        <x:v>SRC02; SRC03</x:v>
      </x:c>
      <x:c r="J325" s="27" t="str">
        <x:v>Parallel subject and representation links.</x:v>
      </x:c>
    </x:row>
    <x:row r="326">
      <x:c r="A326" s="27" t="str">
        <x:v>E00322</x:v>
      </x:c>
      <x:c r="B326" s="27" t="str">
        <x:v>S06-LANG-01</x:v>
      </x:c>
      <x:c r="C326" s="27" t="str">
        <x:v>Familiar word recognition</x:v>
      </x:c>
      <x:c r="D326" s="27" t="str">
        <x:v>UNLOCKS</x:v>
      </x:c>
      <x:c r="E326" s="27" t="str">
        <x:v>S06-LANG-01:NEXT</x:v>
      </x:c>
      <x:c r="F326" s="27" t="str">
        <x:v>Receptive vocabulary supplies meanings before expressive use and supports directions.</x:v>
      </x:c>
      <x:c r="G326" s="27" t="str">
        <x:v>S06</x:v>
      </x:c>
      <x:c r="H326" s="27" t="str">
        <x:v>Language &amp; Communication</x:v>
      </x:c>
      <x:c r="I326" s="27" t="str">
        <x:v>SRC02; SRC03</x:v>
      </x:c>
      <x:c r="J326" s="27" t="str">
        <x:v>Outgoing use and placement rationale.</x:v>
      </x:c>
    </x:row>
    <x:row r="327">
      <x:c r="A327" s="27" t="str">
        <x:v>E00323</x:v>
      </x:c>
      <x:c r="B327" s="27" t="str">
        <x:v>S06-LANG-01</x:v>
      </x:c>
      <x:c r="C327" s="27" t="str">
        <x:v>Familiar word recognition</x:v>
      </x:c>
      <x:c r="D327" s="27" t="str">
        <x:v>VERIFIED_BY</x:v>
      </x:c>
      <x:c r="E327" s="27" t="str">
        <x:v>S06-LANG-01:EVIDENCE</x:v>
      </x:c>
      <x:c r="F327" s="27" t="str">
        <x:v>Looks at, touches, or retrieves a named familiar referent among alternatives.</x:v>
      </x:c>
      <x:c r="G327" s="27" t="str">
        <x:v>S06</x:v>
      </x:c>
      <x:c r="H327" s="27" t="str">
        <x:v>Language &amp; Communication</x:v>
      </x:c>
      <x:c r="I327" s="27" t="str">
        <x:v>SRC02; SRC03</x:v>
      </x:c>
      <x:c r="J327" s="27" t="str">
        <x:v>Observable evidence of usable learning.</x:v>
      </x:c>
    </x:row>
    <x:row r="328">
      <x:c r="A328" s="27" t="str">
        <x:v>E00324</x:v>
      </x:c>
      <x:c r="B328" s="27" t="str">
        <x:v>S06-LANG-01</x:v>
      </x:c>
      <x:c r="C328" s="27" t="str">
        <x:v>Previous node in domain progression</x:v>
      </x:c>
      <x:c r="D328" s="27" t="str">
        <x:v>DOMAIN_SEQUENCE</x:v>
      </x:c>
      <x:c r="E328" s="27" t="str">
        <x:v>S06-LANG-02</x:v>
      </x:c>
      <x:c r="F328" s="27" t="str">
        <x:v>Single-word communication</x:v>
      </x:c>
      <x:c r="G328" s="27" t="str">
        <x:v>S06</x:v>
      </x:c>
      <x:c r="H328" s="27" t="str">
        <x:v>Language &amp; Communication</x:v>
      </x:c>
      <x:c r="I328" s="27" t="str">
        <x:v>SRC02; SRC03</x:v>
      </x:c>
      <x:c r="J328" s="27" t="str">
        <x:v>Ordered spiral link; consult explicit prerequisites for logical dependency.</x:v>
      </x:c>
    </x:row>
    <x:row r="329">
      <x:c r="A329" s="27" t="str">
        <x:v>E00325</x:v>
      </x:c>
      <x:c r="B329" s="27" t="str">
        <x:v>S06-LANG-02:PREREQ</x:v>
      </x:c>
      <x:c r="C329" s="27" t="str">
        <x:v>Meaningful first symbols and receptive vocabulary.</x:v>
      </x:c>
      <x:c r="D329" s="27" t="str">
        <x:v>PREREQUISITE</x:v>
      </x:c>
      <x:c r="E329" s="27" t="str">
        <x:v>S06-LANG-02</x:v>
      </x:c>
      <x:c r="F329" s="27" t="str">
        <x:v>Single-word communication</x:v>
      </x:c>
      <x:c r="G329" s="27" t="str">
        <x:v>S06</x:v>
      </x:c>
      <x:c r="H329" s="27" t="str">
        <x:v>Language &amp; Communication</x:v>
      </x:c>
      <x:c r="I329" s="27" t="str">
        <x:v>SRC02; SRC03</x:v>
      </x:c>
      <x:c r="J329" s="27" t="str">
        <x:v>Incoming prerequisite relationship.</x:v>
      </x:c>
    </x:row>
    <x:row r="330">
      <x:c r="A330" s="27" t="str">
        <x:v>E00326</x:v>
      </x:c>
      <x:c r="B330" s="27" t="str">
        <x:v>S06-LANG-02:GROUND</x:v>
      </x:c>
      <x:c r="C330" s="27" t="str">
        <x:v>G2 — Intentional action–result</x:v>
      </x:c>
      <x:c r="D330" s="27" t="str">
        <x:v>GROUNDED_BY</x:v>
      </x:c>
      <x:c r="E330" s="27" t="str">
        <x:v>S06-LANG-02</x:v>
      </x:c>
      <x:c r="F330" s="27" t="str">
        <x:v>Single-word communication</x:v>
      </x:c>
      <x:c r="G330" s="27" t="str">
        <x:v>S06</x:v>
      </x:c>
      <x:c r="H330" s="27" t="str">
        <x:v>Language &amp; Communication</x:v>
      </x:c>
      <x:c r="I330" s="27" t="str">
        <x:v>SRC02; SRC03</x:v>
      </x:c>
      <x:c r="J330" s="27" t="str">
        <x:v>Grounding form used to preserve meaning.</x:v>
      </x:c>
    </x:row>
    <x:row r="331">
      <x:c r="A331" s="27" t="str">
        <x:v>E00327</x:v>
      </x:c>
      <x:c r="B331" s="27" t="str">
        <x:v>S06-LANG-02</x:v>
      </x:c>
      <x:c r="C331" s="27" t="str">
        <x:v>Single-word communication</x:v>
      </x:c>
      <x:c r="D331" s="27" t="str">
        <x:v>CONNECTS_TO</x:v>
      </x:c>
      <x:c r="E331" s="27" t="str">
        <x:v>S06-LANG-02:CROSS</x:v>
      </x:c>
      <x:c r="F331" s="27" t="str">
        <x:v>Reading and writing; vocabulary for math/science/social studies; discussion, music prosody, and world-language learning.</x:v>
      </x:c>
      <x:c r="G331" s="27" t="str">
        <x:v>S06</x:v>
      </x:c>
      <x:c r="H331" s="27" t="str">
        <x:v>Language &amp; Communication</x:v>
      </x:c>
      <x:c r="I331" s="27" t="str">
        <x:v>SRC02; SRC03</x:v>
      </x:c>
      <x:c r="J331" s="27" t="str">
        <x:v>Parallel subject and representation links.</x:v>
      </x:c>
    </x:row>
    <x:row r="332">
      <x:c r="A332" s="27" t="str">
        <x:v>E00328</x:v>
      </x:c>
      <x:c r="B332" s="27" t="str">
        <x:v>S06-LANG-02</x:v>
      </x:c>
      <x:c r="C332" s="27" t="str">
        <x:v>Single-word communication</x:v>
      </x:c>
      <x:c r="D332" s="27" t="str">
        <x:v>UNLOCKS</x:v>
      </x:c>
      <x:c r="E332" s="27" t="str">
        <x:v>S06-LANG-02:NEXT</x:v>
      </x:c>
      <x:c r="F332" s="27" t="str">
        <x:v>A flexible word inventory can be combined to express relations.</x:v>
      </x:c>
      <x:c r="G332" s="27" t="str">
        <x:v>S06</x:v>
      </x:c>
      <x:c r="H332" s="27" t="str">
        <x:v>Language &amp; Communication</x:v>
      </x:c>
      <x:c r="I332" s="27" t="str">
        <x:v>SRC02; SRC03</x:v>
      </x:c>
      <x:c r="J332" s="27" t="str">
        <x:v>Outgoing use and placement rationale.</x:v>
      </x:c>
    </x:row>
    <x:row r="333">
      <x:c r="A333" s="27" t="str">
        <x:v>E00329</x:v>
      </x:c>
      <x:c r="B333" s="27" t="str">
        <x:v>S06-LANG-02</x:v>
      </x:c>
      <x:c r="C333" s="27" t="str">
        <x:v>Single-word communication</x:v>
      </x:c>
      <x:c r="D333" s="27" t="str">
        <x:v>VERIFIED_BY</x:v>
      </x:c>
      <x:c r="E333" s="27" t="str">
        <x:v>S06-LANG-02:EVIDENCE</x:v>
      </x:c>
      <x:c r="F333" s="27" t="str">
        <x:v>Uses words consistently for more than one communicative purpose.</x:v>
      </x:c>
      <x:c r="G333" s="27" t="str">
        <x:v>S06</x:v>
      </x:c>
      <x:c r="H333" s="27" t="str">
        <x:v>Language &amp; Communication</x:v>
      </x:c>
      <x:c r="I333" s="27" t="str">
        <x:v>SRC02; SRC03</x:v>
      </x:c>
      <x:c r="J333" s="27" t="str">
        <x:v>Observable evidence of usable learning.</x:v>
      </x:c>
    </x:row>
    <x:row r="334">
      <x:c r="A334" s="27" t="str">
        <x:v>E00330</x:v>
      </x:c>
      <x:c r="B334" s="27" t="str">
        <x:v>S05-MATH-02</x:v>
      </x:c>
      <x:c r="C334" s="27" t="str">
        <x:v>Previous node in domain progression</x:v>
      </x:c>
      <x:c r="D334" s="27" t="str">
        <x:v>DOMAIN_SEQUENCE</x:v>
      </x:c>
      <x:c r="E334" s="27" t="str">
        <x:v>S06-MATH-01</x:v>
      </x:c>
      <x:c r="F334" s="27" t="str">
        <x:v>Functional grouping</x:v>
      </x:c>
      <x:c r="G334" s="27" t="str">
        <x:v>S06</x:v>
      </x:c>
      <x:c r="H334" s="27" t="str">
        <x:v>Mathematics</x:v>
      </x:c>
      <x:c r="I334" s="27" t="str">
        <x:v>SRC02; SRC07</x:v>
      </x:c>
      <x:c r="J334" s="27" t="str">
        <x:v>Ordered spiral link; consult explicit prerequisites for logical dependency.</x:v>
      </x:c>
    </x:row>
    <x:row r="335">
      <x:c r="A335" s="27" t="str">
        <x:v>E00331</x:v>
      </x:c>
      <x:c r="B335" s="27" t="str">
        <x:v>S06-MATH-01:PREREQ</x:v>
      </x:c>
      <x:c r="C335" s="27" t="str">
        <x:v>Object-to-function knowledge and matching.</x:v>
      </x:c>
      <x:c r="D335" s="27" t="str">
        <x:v>PREREQUISITE</x:v>
      </x:c>
      <x:c r="E335" s="27" t="str">
        <x:v>S06-MATH-01</x:v>
      </x:c>
      <x:c r="F335" s="27" t="str">
        <x:v>Functional grouping</x:v>
      </x:c>
      <x:c r="G335" s="27" t="str">
        <x:v>S06</x:v>
      </x:c>
      <x:c r="H335" s="27" t="str">
        <x:v>Mathematics</x:v>
      </x:c>
      <x:c r="I335" s="27" t="str">
        <x:v>SRC02; SRC07</x:v>
      </x:c>
      <x:c r="J335" s="27" t="str">
        <x:v>Incoming prerequisite relationship.</x:v>
      </x:c>
    </x:row>
    <x:row r="336">
      <x:c r="A336" s="27" t="str">
        <x:v>E00332</x:v>
      </x:c>
      <x:c r="B336" s="27" t="str">
        <x:v>S06-MATH-01:GROUND</x:v>
      </x:c>
      <x:c r="C336" s="27" t="str">
        <x:v>G2 — Intentional action–result</x:v>
      </x:c>
      <x:c r="D336" s="27" t="str">
        <x:v>GROUNDED_BY</x:v>
      </x:c>
      <x:c r="E336" s="27" t="str">
        <x:v>S06-MATH-01</x:v>
      </x:c>
      <x:c r="F336" s="27" t="str">
        <x:v>Functional grouping</x:v>
      </x:c>
      <x:c r="G336" s="27" t="str">
        <x:v>S06</x:v>
      </x:c>
      <x:c r="H336" s="27" t="str">
        <x:v>Mathematics</x:v>
      </x:c>
      <x:c r="I336" s="27" t="str">
        <x:v>SRC02; SRC07</x:v>
      </x:c>
      <x:c r="J336" s="27" t="str">
        <x:v>Grounding form used to preserve meaning.</x:v>
      </x:c>
    </x:row>
    <x:row r="337">
      <x:c r="A337" s="27" t="str">
        <x:v>E00333</x:v>
      </x:c>
      <x:c r="B337" s="27" t="str">
        <x:v>S06-MATH-01</x:v>
      </x:c>
      <x:c r="C337" s="27" t="str">
        <x:v>Functional grouping</x:v>
      </x:c>
      <x:c r="D337" s="27" t="str">
        <x:v>CONNECTS_TO</x:v>
      </x:c>
      <x:c r="E337" s="27" t="str">
        <x:v>S06-MATH-01:CROSS</x:v>
      </x:c>
      <x:c r="F337" s="27" t="str">
        <x:v>Physical quantity and spatial action; science measurement/models; computing/algorithms; finance; music rhythm/pattern; geographic data.</x:v>
      </x:c>
      <x:c r="G337" s="27" t="str">
        <x:v>S06</x:v>
      </x:c>
      <x:c r="H337" s="27" t="str">
        <x:v>Mathematics</x:v>
      </x:c>
      <x:c r="I337" s="27" t="str">
        <x:v>SRC02; SRC07</x:v>
      </x:c>
      <x:c r="J337" s="27" t="str">
        <x:v>Parallel subject and representation links.</x:v>
      </x:c>
    </x:row>
    <x:row r="338">
      <x:c r="A338" s="27" t="str">
        <x:v>E00334</x:v>
      </x:c>
      <x:c r="B338" s="27" t="str">
        <x:v>S06-MATH-01</x:v>
      </x:c>
      <x:c r="C338" s="27" t="str">
        <x:v>Functional grouping</x:v>
      </x:c>
      <x:c r="D338" s="27" t="str">
        <x:v>UNLOCKS</x:v>
      </x:c>
      <x:c r="E338" s="27" t="str">
        <x:v>S06-MATH-01:NEXT</x:v>
      </x:c>
      <x:c r="F338" s="27" t="str">
        <x:v>Category formation reduces memory load and prepares sorting by explicit attributes.</x:v>
      </x:c>
      <x:c r="G338" s="27" t="str">
        <x:v>S06</x:v>
      </x:c>
      <x:c r="H338" s="27" t="str">
        <x:v>Mathematics</x:v>
      </x:c>
      <x:c r="I338" s="27" t="str">
        <x:v>SRC02; SRC07</x:v>
      </x:c>
      <x:c r="J338" s="27" t="str">
        <x:v>Outgoing use and placement rationale.</x:v>
      </x:c>
    </x:row>
    <x:row r="339">
      <x:c r="A339" s="27" t="str">
        <x:v>E00335</x:v>
      </x:c>
      <x:c r="B339" s="27" t="str">
        <x:v>S06-MATH-01</x:v>
      </x:c>
      <x:c r="C339" s="27" t="str">
        <x:v>Functional grouping</x:v>
      </x:c>
      <x:c r="D339" s="27" t="str">
        <x:v>VERIFIED_BY</x:v>
      </x:c>
      <x:c r="E339" s="27" t="str">
        <x:v>S06-MATH-01:EVIDENCE</x:v>
      </x:c>
      <x:c r="F339" s="27" t="str">
        <x:v>Puts related familiar items together or chooses a requested category member.</x:v>
      </x:c>
      <x:c r="G339" s="27" t="str">
        <x:v>S06</x:v>
      </x:c>
      <x:c r="H339" s="27" t="str">
        <x:v>Mathematics</x:v>
      </x:c>
      <x:c r="I339" s="27" t="str">
        <x:v>SRC02; SRC07</x:v>
      </x:c>
      <x:c r="J339" s="27" t="str">
        <x:v>Observable evidence of usable learning.</x:v>
      </x:c>
    </x:row>
    <x:row r="340">
      <x:c r="A340" s="27" t="str">
        <x:v>E00336</x:v>
      </x:c>
      <x:c r="B340" s="27" t="str">
        <x:v>S06-MATH-01</x:v>
      </x:c>
      <x:c r="C340" s="27" t="str">
        <x:v>Previous node in domain progression</x:v>
      </x:c>
      <x:c r="D340" s="27" t="str">
        <x:v>DOMAIN_SEQUENCE</x:v>
      </x:c>
      <x:c r="E340" s="27" t="str">
        <x:v>S06-MATH-02</x:v>
      </x:c>
      <x:c r="F340" s="27" t="str">
        <x:v>More, all gone, one</x:v>
      </x:c>
      <x:c r="G340" s="27" t="str">
        <x:v>S06</x:v>
      </x:c>
      <x:c r="H340" s="27" t="str">
        <x:v>Mathematics</x:v>
      </x:c>
      <x:c r="I340" s="27" t="str">
        <x:v>SRC02; SRC07</x:v>
      </x:c>
      <x:c r="J340" s="27" t="str">
        <x:v>Ordered spiral link; consult explicit prerequisites for logical dependency.</x:v>
      </x:c>
    </x:row>
    <x:row r="341">
      <x:c r="A341" s="27" t="str">
        <x:v>E00337</x:v>
      </x:c>
      <x:c r="B341" s="27" t="str">
        <x:v>S06-MATH-02:PREREQ</x:v>
      </x:c>
      <x:c r="C341" s="27" t="str">
        <x:v>One-to-one action and stable word meanings.</x:v>
      </x:c>
      <x:c r="D341" s="27" t="str">
        <x:v>PREREQUISITE</x:v>
      </x:c>
      <x:c r="E341" s="27" t="str">
        <x:v>S06-MATH-02</x:v>
      </x:c>
      <x:c r="F341" s="27" t="str">
        <x:v>More, all gone, one</x:v>
      </x:c>
      <x:c r="G341" s="27" t="str">
        <x:v>S06</x:v>
      </x:c>
      <x:c r="H341" s="27" t="str">
        <x:v>Mathematics</x:v>
      </x:c>
      <x:c r="I341" s="27" t="str">
        <x:v>SRC02; SRC07</x:v>
      </x:c>
      <x:c r="J341" s="27" t="str">
        <x:v>Incoming prerequisite relationship.</x:v>
      </x:c>
    </x:row>
    <x:row r="342">
      <x:c r="A342" s="27" t="str">
        <x:v>E00338</x:v>
      </x:c>
      <x:c r="B342" s="27" t="str">
        <x:v>S06-MATH-02:GROUND</x:v>
      </x:c>
      <x:c r="C342" s="27" t="str">
        <x:v>G2 — Intentional action–result</x:v>
      </x:c>
      <x:c r="D342" s="27" t="str">
        <x:v>GROUNDED_BY</x:v>
      </x:c>
      <x:c r="E342" s="27" t="str">
        <x:v>S06-MATH-02</x:v>
      </x:c>
      <x:c r="F342" s="27" t="str">
        <x:v>More, all gone, one</x:v>
      </x:c>
      <x:c r="G342" s="27" t="str">
        <x:v>S06</x:v>
      </x:c>
      <x:c r="H342" s="27" t="str">
        <x:v>Mathematics</x:v>
      </x:c>
      <x:c r="I342" s="27" t="str">
        <x:v>SRC02; SRC07</x:v>
      </x:c>
      <x:c r="J342" s="27" t="str">
        <x:v>Grounding form used to preserve meaning.</x:v>
      </x:c>
    </x:row>
    <x:row r="343">
      <x:c r="A343" s="27" t="str">
        <x:v>E00339</x:v>
      </x:c>
      <x:c r="B343" s="27" t="str">
        <x:v>S06-MATH-02</x:v>
      </x:c>
      <x:c r="C343" s="27" t="str">
        <x:v>More, all gone, one</x:v>
      </x:c>
      <x:c r="D343" s="27" t="str">
        <x:v>CONNECTS_TO</x:v>
      </x:c>
      <x:c r="E343" s="27" t="str">
        <x:v>S06-MATH-02:CROSS</x:v>
      </x:c>
      <x:c r="F343" s="27" t="str">
        <x:v>Physical quantity and spatial action; science measurement/models; computing/algorithms; finance; music rhythm/pattern; geographic data.</x:v>
      </x:c>
      <x:c r="G343" s="27" t="str">
        <x:v>S06</x:v>
      </x:c>
      <x:c r="H343" s="27" t="str">
        <x:v>Mathematics</x:v>
      </x:c>
      <x:c r="I343" s="27" t="str">
        <x:v>SRC02; SRC07</x:v>
      </x:c>
      <x:c r="J343" s="27" t="str">
        <x:v>Parallel subject and representation links.</x:v>
      </x:c>
    </x:row>
    <x:row r="344">
      <x:c r="A344" s="27" t="str">
        <x:v>E00340</x:v>
      </x:c>
      <x:c r="B344" s="27" t="str">
        <x:v>S06-MATH-02</x:v>
      </x:c>
      <x:c r="C344" s="27" t="str">
        <x:v>More, all gone, one</x:v>
      </x:c>
      <x:c r="D344" s="27" t="str">
        <x:v>UNLOCKS</x:v>
      </x:c>
      <x:c r="E344" s="27" t="str">
        <x:v>S06-MATH-02:NEXT</x:v>
      </x:c>
      <x:c r="F344" s="27" t="str">
        <x:v>Quantity language links perceptual amount to explicit concepts later used in counting and operations.</x:v>
      </x:c>
      <x:c r="G344" s="27" t="str">
        <x:v>S06</x:v>
      </x:c>
      <x:c r="H344" s="27" t="str">
        <x:v>Mathematics</x:v>
      </x:c>
      <x:c r="I344" s="27" t="str">
        <x:v>SRC02; SRC07</x:v>
      </x:c>
      <x:c r="J344" s="27" t="str">
        <x:v>Outgoing use and placement rationale.</x:v>
      </x:c>
    </x:row>
    <x:row r="345">
      <x:c r="A345" s="27" t="str">
        <x:v>E00341</x:v>
      </x:c>
      <x:c r="B345" s="27" t="str">
        <x:v>S06-MATH-02</x:v>
      </x:c>
      <x:c r="C345" s="27" t="str">
        <x:v>More, all gone, one</x:v>
      </x:c>
      <x:c r="D345" s="27" t="str">
        <x:v>VERIFIED_BY</x:v>
      </x:c>
      <x:c r="E345" s="27" t="str">
        <x:v>S06-MATH-02:EVIDENCE</x:v>
      </x:c>
      <x:c r="F345" s="27" t="str">
        <x:v>Uses or responds to more, one, or all gone appropriately in a routine.</x:v>
      </x:c>
      <x:c r="G345" s="27" t="str">
        <x:v>S06</x:v>
      </x:c>
      <x:c r="H345" s="27" t="str">
        <x:v>Mathematics</x:v>
      </x:c>
      <x:c r="I345" s="27" t="str">
        <x:v>SRC02; SRC07</x:v>
      </x:c>
      <x:c r="J345" s="27" t="str">
        <x:v>Observable evidence of usable learning.</x:v>
      </x:c>
    </x:row>
    <x:row r="346">
      <x:c r="A346" s="27" t="str">
        <x:v>E00342</x:v>
      </x:c>
      <x:c r="B346" s="27" t="str">
        <x:v>S05-SCI-01</x:v>
      </x:c>
      <x:c r="C346" s="27" t="str">
        <x:v>Previous node in domain progression</x:v>
      </x:c>
      <x:c r="D346" s="27" t="str">
        <x:v>DOMAIN_SEQUENCE</x:v>
      </x:c>
      <x:c r="E346" s="27" t="str">
        <x:v>S06-SCI-01</x:v>
      </x:c>
      <x:c r="F346" s="27" t="str">
        <x:v>Routine outcome prediction</x:v>
      </x:c>
      <x:c r="G346" s="27" t="str">
        <x:v>S06</x:v>
      </x:c>
      <x:c r="H346" s="27" t="str">
        <x:v>Science &amp; Engineering</x:v>
      </x:c>
      <x:c r="I346" s="27" t="str">
        <x:v>SRC02; SRC11</x:v>
      </x:c>
      <x:c r="J346" s="27" t="str">
        <x:v>Ordered spiral link; consult explicit prerequisites for logical dependency.</x:v>
      </x:c>
    </x:row>
    <x:row r="347">
      <x:c r="A347" s="27" t="str">
        <x:v>E00343</x:v>
      </x:c>
      <x:c r="B347" s="27" t="str">
        <x:v>S06-SCI-01:PREREQ</x:v>
      </x:c>
      <x:c r="C347" s="27" t="str">
        <x:v>Brief expectation, memory, and action sequences.</x:v>
      </x:c>
      <x:c r="D347" s="27" t="str">
        <x:v>PREREQUISITE</x:v>
      </x:c>
      <x:c r="E347" s="27" t="str">
        <x:v>S06-SCI-01</x:v>
      </x:c>
      <x:c r="F347" s="27" t="str">
        <x:v>Routine outcome prediction</x:v>
      </x:c>
      <x:c r="G347" s="27" t="str">
        <x:v>S06</x:v>
      </x:c>
      <x:c r="H347" s="27" t="str">
        <x:v>Science &amp; Engineering</x:v>
      </x:c>
      <x:c r="I347" s="27" t="str">
        <x:v>SRC02; SRC11</x:v>
      </x:c>
      <x:c r="J347" s="27" t="str">
        <x:v>Incoming prerequisite relationship.</x:v>
      </x:c>
    </x:row>
    <x:row r="348">
      <x:c r="A348" s="27" t="str">
        <x:v>E00344</x:v>
      </x:c>
      <x:c r="B348" s="27" t="str">
        <x:v>S06-SCI-01:GROUND</x:v>
      </x:c>
      <x:c r="C348" s="27" t="str">
        <x:v>G2 — Intentional action–result</x:v>
      </x:c>
      <x:c r="D348" s="27" t="str">
        <x:v>GROUNDED_BY</x:v>
      </x:c>
      <x:c r="E348" s="27" t="str">
        <x:v>S06-SCI-01</x:v>
      </x:c>
      <x:c r="F348" s="27" t="str">
        <x:v>Routine outcome prediction</x:v>
      </x:c>
      <x:c r="G348" s="27" t="str">
        <x:v>S06</x:v>
      </x:c>
      <x:c r="H348" s="27" t="str">
        <x:v>Science &amp; Engineering</x:v>
      </x:c>
      <x:c r="I348" s="27" t="str">
        <x:v>SRC02; SRC11</x:v>
      </x:c>
      <x:c r="J348" s="27" t="str">
        <x:v>Grounding form used to preserve meaning.</x:v>
      </x:c>
    </x:row>
    <x:row r="349">
      <x:c r="A349" s="27" t="str">
        <x:v>E00345</x:v>
      </x:c>
      <x:c r="B349" s="27" t="str">
        <x:v>S06-SCI-01</x:v>
      </x:c>
      <x:c r="C349" s="27" t="str">
        <x:v>Routine outcome prediction</x:v>
      </x:c>
      <x:c r="D349" s="27" t="str">
        <x:v>CONNECTS_TO</x:v>
      </x:c>
      <x:c r="E349" s="27" t="str">
        <x:v>S06-SCI-01:CROSS</x:v>
      </x:c>
      <x:c r="F349" s="27" t="str">
        <x:v>Sensory observation and action; mathematics/data; reading/writing evidence; computing/models; health and environmental/civic decisions.</x:v>
      </x:c>
      <x:c r="G349" s="27" t="str">
        <x:v>S06</x:v>
      </x:c>
      <x:c r="H349" s="27" t="str">
        <x:v>Science &amp; Engineering</x:v>
      </x:c>
      <x:c r="I349" s="27" t="str">
        <x:v>SRC02; SRC11</x:v>
      </x:c>
      <x:c r="J349" s="27" t="str">
        <x:v>Parallel subject and representation links.</x:v>
      </x:c>
    </x:row>
    <x:row r="350">
      <x:c r="A350" s="27" t="str">
        <x:v>E00346</x:v>
      </x:c>
      <x:c r="B350" s="27" t="str">
        <x:v>S06-SCI-01</x:v>
      </x:c>
      <x:c r="C350" s="27" t="str">
        <x:v>Routine outcome prediction</x:v>
      </x:c>
      <x:c r="D350" s="27" t="str">
        <x:v>UNLOCKS</x:v>
      </x:c>
      <x:c r="E350" s="27" t="str">
        <x:v>S06-SCI-01:NEXT</x:v>
      </x:c>
      <x:c r="F350" s="27" t="str">
        <x:v>Prediction converts remembered patterns into testable expectations.</x:v>
      </x:c>
      <x:c r="G350" s="27" t="str">
        <x:v>S06</x:v>
      </x:c>
      <x:c r="H350" s="27" t="str">
        <x:v>Science &amp; Engineering</x:v>
      </x:c>
      <x:c r="I350" s="27" t="str">
        <x:v>SRC02; SRC11</x:v>
      </x:c>
      <x:c r="J350" s="27" t="str">
        <x:v>Outgoing use and placement rationale.</x:v>
      </x:c>
    </x:row>
    <x:row r="351">
      <x:c r="A351" s="27" t="str">
        <x:v>E00347</x:v>
      </x:c>
      <x:c r="B351" s="27" t="str">
        <x:v>S06-SCI-01</x:v>
      </x:c>
      <x:c r="C351" s="27" t="str">
        <x:v>Routine outcome prediction</x:v>
      </x:c>
      <x:c r="D351" s="27" t="str">
        <x:v>VERIFIED_BY</x:v>
      </x:c>
      <x:c r="E351" s="27" t="str">
        <x:v>S06-SCI-01:EVIDENCE</x:v>
      </x:c>
      <x:c r="F351" s="27" t="str">
        <x:v>Signals or prepares for the next step before it occurs.</x:v>
      </x:c>
      <x:c r="G351" s="27" t="str">
        <x:v>S06</x:v>
      </x:c>
      <x:c r="H351" s="27" t="str">
        <x:v>Science &amp; Engineering</x:v>
      </x:c>
      <x:c r="I351" s="27" t="str">
        <x:v>SRC02; SRC11</x:v>
      </x:c>
      <x:c r="J351" s="27" t="str">
        <x:v>Observable evidence of usable learning.</x:v>
      </x:c>
    </x:row>
    <x:row r="352">
      <x:c r="A352" s="27" t="str">
        <x:v>E00348</x:v>
      </x:c>
      <x:c r="B352" s="27" t="str">
        <x:v>S04-ARTS-01</x:v>
      </x:c>
      <x:c r="C352" s="27" t="str">
        <x:v>Previous node in domain progression</x:v>
      </x:c>
      <x:c r="D352" s="27" t="str">
        <x:v>DOMAIN_SEQUENCE</x:v>
      </x:c>
      <x:c r="E352" s="27" t="str">
        <x:v>S06-ARTS-01</x:v>
      </x:c>
      <x:c r="F352" s="27" t="str">
        <x:v>Imitative mark and sound making</x:v>
      </x:c>
      <x:c r="G352" s="27" t="str">
        <x:v>S06</x:v>
      </x:c>
      <x:c r="H352" s="27" t="str">
        <x:v>Music &amp; Arts</x:v>
      </x:c>
      <x:c r="I352" s="27" t="str">
        <x:v>SRC02; SRC13</x:v>
      </x:c>
      <x:c r="J352" s="27" t="str">
        <x:v>Ordered spiral link; consult explicit prerequisites for logical dependency.</x:v>
      </x:c>
    </x:row>
    <x:row r="353">
      <x:c r="A353" s="27" t="str">
        <x:v>E00349</x:v>
      </x:c>
      <x:c r="B353" s="27" t="str">
        <x:v>S06-ARTS-01:PREREQ</x:v>
      </x:c>
      <x:c r="C353" s="27" t="str">
        <x:v>Deferred imitation, grasp, and action control.</x:v>
      </x:c>
      <x:c r="D353" s="27" t="str">
        <x:v>PREREQUISITE</x:v>
      </x:c>
      <x:c r="E353" s="27" t="str">
        <x:v>S06-ARTS-01</x:v>
      </x:c>
      <x:c r="F353" s="27" t="str">
        <x:v>Imitative mark and sound making</x:v>
      </x:c>
      <x:c r="G353" s="27" t="str">
        <x:v>S06</x:v>
      </x:c>
      <x:c r="H353" s="27" t="str">
        <x:v>Music &amp; Arts</x:v>
      </x:c>
      <x:c r="I353" s="27" t="str">
        <x:v>SRC02; SRC13</x:v>
      </x:c>
      <x:c r="J353" s="27" t="str">
        <x:v>Incoming prerequisite relationship.</x:v>
      </x:c>
    </x:row>
    <x:row r="354">
      <x:c r="A354" s="27" t="str">
        <x:v>E00350</x:v>
      </x:c>
      <x:c r="B354" s="27" t="str">
        <x:v>S06-ARTS-01:GROUND</x:v>
      </x:c>
      <x:c r="C354" s="27" t="str">
        <x:v>G2 — Intentional action–result</x:v>
      </x:c>
      <x:c r="D354" s="27" t="str">
        <x:v>GROUNDED_BY</x:v>
      </x:c>
      <x:c r="E354" s="27" t="str">
        <x:v>S06-ARTS-01</x:v>
      </x:c>
      <x:c r="F354" s="27" t="str">
        <x:v>Imitative mark and sound making</x:v>
      </x:c>
      <x:c r="G354" s="27" t="str">
        <x:v>S06</x:v>
      </x:c>
      <x:c r="H354" s="27" t="str">
        <x:v>Music &amp; Arts</x:v>
      </x:c>
      <x:c r="I354" s="27" t="str">
        <x:v>SRC02; SRC13</x:v>
      </x:c>
      <x:c r="J354" s="27" t="str">
        <x:v>Grounding form used to preserve meaning.</x:v>
      </x:c>
    </x:row>
    <x:row r="355">
      <x:c r="A355" s="27" t="str">
        <x:v>E00351</x:v>
      </x:c>
      <x:c r="B355" s="27" t="str">
        <x:v>S06-ARTS-01</x:v>
      </x:c>
      <x:c r="C355" s="27" t="str">
        <x:v>Imitative mark and sound making</x:v>
      </x:c>
      <x:c r="D355" s="27" t="str">
        <x:v>CONNECTS_TO</x:v>
      </x:c>
      <x:c r="E355" s="27" t="str">
        <x:v>S06-ARTS-01:CROSS</x:v>
      </x:c>
      <x:c r="F355" s="27" t="str">
        <x:v>Sensory discrimination; motor timing; language/prosody; mathematics/pattern; history/culture; emotion, design, and technology.</x:v>
      </x:c>
      <x:c r="G355" s="27" t="str">
        <x:v>S06</x:v>
      </x:c>
      <x:c r="H355" s="27" t="str">
        <x:v>Music &amp; Arts</x:v>
      </x:c>
      <x:c r="I355" s="27" t="str">
        <x:v>SRC02; SRC13</x:v>
      </x:c>
      <x:c r="J355" s="27" t="str">
        <x:v>Parallel subject and representation links.</x:v>
      </x:c>
    </x:row>
    <x:row r="356">
      <x:c r="A356" s="27" t="str">
        <x:v>E00352</x:v>
      </x:c>
      <x:c r="B356" s="27" t="str">
        <x:v>S06-ARTS-01</x:v>
      </x:c>
      <x:c r="C356" s="27" t="str">
        <x:v>Imitative mark and sound making</x:v>
      </x:c>
      <x:c r="D356" s="27" t="str">
        <x:v>UNLOCKS</x:v>
      </x:c>
      <x:c r="E356" s="27" t="str">
        <x:v>S06-ARTS-01:NEXT</x:v>
      </x:c>
      <x:c r="F356" s="27" t="str">
        <x:v>Intentional representation leads toward drawing, writing, instrumental performance, and notation.</x:v>
      </x:c>
      <x:c r="G356" s="27" t="str">
        <x:v>S06</x:v>
      </x:c>
      <x:c r="H356" s="27" t="str">
        <x:v>Music &amp; Arts</x:v>
      </x:c>
      <x:c r="I356" s="27" t="str">
        <x:v>SRC02; SRC13</x:v>
      </x:c>
      <x:c r="J356" s="27" t="str">
        <x:v>Outgoing use and placement rationale.</x:v>
      </x:c>
    </x:row>
    <x:row r="357">
      <x:c r="A357" s="27" t="str">
        <x:v>E00353</x:v>
      </x:c>
      <x:c r="B357" s="27" t="str">
        <x:v>S06-ARTS-01</x:v>
      </x:c>
      <x:c r="C357" s="27" t="str">
        <x:v>Imitative mark and sound making</x:v>
      </x:c>
      <x:c r="D357" s="27" t="str">
        <x:v>VERIFIED_BY</x:v>
      </x:c>
      <x:c r="E357" s="27" t="str">
        <x:v>S06-ARTS-01:EVIDENCE</x:v>
      </x:c>
      <x:c r="F357" s="27" t="str">
        <x:v>Attempts a demonstrated scribble direction, tap pattern, or vocal contour.</x:v>
      </x:c>
      <x:c r="G357" s="27" t="str">
        <x:v>S06</x:v>
      </x:c>
      <x:c r="H357" s="27" t="str">
        <x:v>Music &amp; Arts</x:v>
      </x:c>
      <x:c r="I357" s="27" t="str">
        <x:v>SRC02; SRC13</x:v>
      </x:c>
      <x:c r="J357" s="27" t="str">
        <x:v>Observable evidence of usable learning.</x:v>
      </x:c>
    </x:row>
    <x:row r="358">
      <x:c r="A358" s="27" t="str">
        <x:v>E00354</x:v>
      </x:c>
      <x:c r="B358" s="27" t="str">
        <x:v>S05-HLTH-01</x:v>
      </x:c>
      <x:c r="C358" s="27" t="str">
        <x:v>Previous node in domain progression</x:v>
      </x:c>
      <x:c r="D358" s="27" t="str">
        <x:v>DOMAIN_SEQUENCE</x:v>
      </x:c>
      <x:c r="E358" s="27" t="str">
        <x:v>S06-HLTH-01</x:v>
      </x:c>
      <x:c r="F358" s="27" t="str">
        <x:v>Release and placement</x:v>
      </x:c>
      <x:c r="G358" s="27" t="str">
        <x:v>S06</x:v>
      </x:c>
      <x:c r="H358" s="27" t="str">
        <x:v>Physical &amp; Health</x:v>
      </x:c>
      <x:c r="I358" s="27" t="str">
        <x:v>SRC02; SRC03; SRC14</x:v>
      </x:c>
      <x:c r="J358" s="27" t="str">
        <x:v>Ordered spiral link; consult explicit prerequisites for logical dependency.</x:v>
      </x:c>
    </x:row>
    <x:row r="359">
      <x:c r="A359" s="27" t="str">
        <x:v>E00355</x:v>
      </x:c>
      <x:c r="B359" s="27" t="str">
        <x:v>S06-HLTH-01:PREREQ</x:v>
      </x:c>
      <x:c r="C359" s="27" t="str">
        <x:v>Purposeful grasp and hand-eye coordination.</x:v>
      </x:c>
      <x:c r="D359" s="27" t="str">
        <x:v>PREREQUISITE</x:v>
      </x:c>
      <x:c r="E359" s="27" t="str">
        <x:v>S06-HLTH-01</x:v>
      </x:c>
      <x:c r="F359" s="27" t="str">
        <x:v>Release and placement</x:v>
      </x:c>
      <x:c r="G359" s="27" t="str">
        <x:v>S06</x:v>
      </x:c>
      <x:c r="H359" s="27" t="str">
        <x:v>Physical &amp; Health</x:v>
      </x:c>
      <x:c r="I359" s="27" t="str">
        <x:v>SRC02; SRC03; SRC14</x:v>
      </x:c>
      <x:c r="J359" s="27" t="str">
        <x:v>Incoming prerequisite relationship.</x:v>
      </x:c>
    </x:row>
    <x:row r="360">
      <x:c r="A360" s="27" t="str">
        <x:v>E00356</x:v>
      </x:c>
      <x:c r="B360" s="27" t="str">
        <x:v>S06-HLTH-01:GROUND</x:v>
      </x:c>
      <x:c r="C360" s="27" t="str">
        <x:v>G2 — Intentional action–result</x:v>
      </x:c>
      <x:c r="D360" s="27" t="str">
        <x:v>GROUNDED_BY</x:v>
      </x:c>
      <x:c r="E360" s="27" t="str">
        <x:v>S06-HLTH-01</x:v>
      </x:c>
      <x:c r="F360" s="27" t="str">
        <x:v>Release and placement</x:v>
      </x:c>
      <x:c r="G360" s="27" t="str">
        <x:v>S06</x:v>
      </x:c>
      <x:c r="H360" s="27" t="str">
        <x:v>Physical &amp; Health</x:v>
      </x:c>
      <x:c r="I360" s="27" t="str">
        <x:v>SRC02; SRC03; SRC14</x:v>
      </x:c>
      <x:c r="J360" s="27" t="str">
        <x:v>Grounding form used to preserve meaning.</x:v>
      </x:c>
    </x:row>
    <x:row r="361">
      <x:c r="A361" s="27" t="str">
        <x:v>E00357</x:v>
      </x:c>
      <x:c r="B361" s="27" t="str">
        <x:v>S06-HLTH-01</x:v>
      </x:c>
      <x:c r="C361" s="27" t="str">
        <x:v>Release and placement</x:v>
      </x:c>
      <x:c r="D361" s="27" t="str">
        <x:v>CONNECTS_TO</x:v>
      </x:c>
      <x:c r="E361" s="27" t="str">
        <x:v>S06-HLTH-01:CROSS</x:v>
      </x:c>
      <x:c r="F361" s="27" t="str">
        <x:v>Motor/sensory development; life science; measurement/data; SEL/self-management; communication, safety, and decision-making.</x:v>
      </x:c>
      <x:c r="G361" s="27" t="str">
        <x:v>S06</x:v>
      </x:c>
      <x:c r="H361" s="27" t="str">
        <x:v>Physical &amp; Health</x:v>
      </x:c>
      <x:c r="I361" s="27" t="str">
        <x:v>SRC02; SRC03; SRC14</x:v>
      </x:c>
      <x:c r="J361" s="27" t="str">
        <x:v>Parallel subject and representation links.</x:v>
      </x:c>
    </x:row>
    <x:row r="362">
      <x:c r="A362" s="27" t="str">
        <x:v>E00358</x:v>
      </x:c>
      <x:c r="B362" s="27" t="str">
        <x:v>S06-HLTH-01</x:v>
      </x:c>
      <x:c r="C362" s="27" t="str">
        <x:v>Release and placement</x:v>
      </x:c>
      <x:c r="D362" s="27" t="str">
        <x:v>UNLOCKS</x:v>
      </x:c>
      <x:c r="E362" s="27" t="str">
        <x:v>S06-HLTH-01:NEXT</x:v>
      </x:c>
      <x:c r="F362" s="27" t="str">
        <x:v>Controlled placement supports puzzles, construction, self-care, art, and writing tools.</x:v>
      </x:c>
      <x:c r="G362" s="27" t="str">
        <x:v>S06</x:v>
      </x:c>
      <x:c r="H362" s="27" t="str">
        <x:v>Physical &amp; Health</x:v>
      </x:c>
      <x:c r="I362" s="27" t="str">
        <x:v>SRC02; SRC03; SRC14</x:v>
      </x:c>
      <x:c r="J362" s="27" t="str">
        <x:v>Outgoing use and placement rationale.</x:v>
      </x:c>
    </x:row>
    <x:row r="363">
      <x:c r="A363" s="27" t="str">
        <x:v>E00359</x:v>
      </x:c>
      <x:c r="B363" s="27" t="str">
        <x:v>S06-HLTH-01</x:v>
      </x:c>
      <x:c r="C363" s="27" t="str">
        <x:v>Release and placement</x:v>
      </x:c>
      <x:c r="D363" s="27" t="str">
        <x:v>VERIFIED_BY</x:v>
      </x:c>
      <x:c r="E363" s="27" t="str">
        <x:v>S06-HLTH-01:EVIDENCE</x:v>
      </x:c>
      <x:c r="F363" s="27" t="str">
        <x:v>Places, drops, stacks, or fits objects with increasing accuracy.</x:v>
      </x:c>
      <x:c r="G363" s="27" t="str">
        <x:v>S06</x:v>
      </x:c>
      <x:c r="H363" s="27" t="str">
        <x:v>Physical &amp; Health</x:v>
      </x:c>
      <x:c r="I363" s="27" t="str">
        <x:v>SRC02; SRC03; SRC14</x:v>
      </x:c>
      <x:c r="J363" s="27" t="str">
        <x:v>Observable evidence of usable learning.</x:v>
      </x:c>
    </x:row>
    <x:row r="364">
      <x:c r="A364" s="27" t="str">
        <x:v>E00360</x:v>
      </x:c>
      <x:c r="B364" s="27" t="str">
        <x:v>S06-LEARN-02</x:v>
      </x:c>
      <x:c r="C364" s="27" t="str">
        <x:v>Previous node in domain progression</x:v>
      </x:c>
      <x:c r="D364" s="27" t="str">
        <x:v>DOMAIN_SEQUENCE</x:v>
      </x:c>
      <x:c r="E364" s="27" t="str">
        <x:v>S07-LEARN-01</x:v>
      </x:c>
      <x:c r="F364" s="27" t="str">
        <x:v>Simple pretend substitution</x:v>
      </x:c>
      <x:c r="G364" s="27" t="str">
        <x:v>S07</x:v>
      </x:c>
      <x:c r="H364" s="27" t="str">
        <x:v>Learning Foundations</x:v>
      </x:c>
      <x:c r="I364" s="27" t="str">
        <x:v>SRC02; SRC03; SRC04</x:v>
      </x:c>
      <x:c r="J364" s="27" t="str">
        <x:v>Ordered spiral link; consult explicit prerequisites for logical dependency.</x:v>
      </x:c>
    </x:row>
    <x:row r="365">
      <x:c r="A365" s="27" t="str">
        <x:v>E00361</x:v>
      </x:c>
      <x:c r="B365" s="27" t="str">
        <x:v>S07-LEARN-01:PREREQ</x:v>
      </x:c>
      <x:c r="C365" s="27" t="str">
        <x:v>Object function, deferred imitation, and mental representation.</x:v>
      </x:c>
      <x:c r="D365" s="27" t="str">
        <x:v>PREREQUISITE</x:v>
      </x:c>
      <x:c r="E365" s="27" t="str">
        <x:v>S07-LEARN-01</x:v>
      </x:c>
      <x:c r="F365" s="27" t="str">
        <x:v>Simple pretend substitution</x:v>
      </x:c>
      <x:c r="G365" s="27" t="str">
        <x:v>S07</x:v>
      </x:c>
      <x:c r="H365" s="27" t="str">
        <x:v>Learning Foundations</x:v>
      </x:c>
      <x:c r="I365" s="27" t="str">
        <x:v>SRC02; SRC03; SRC04</x:v>
      </x:c>
      <x:c r="J365" s="27" t="str">
        <x:v>Incoming prerequisite relationship.</x:v>
      </x:c>
    </x:row>
    <x:row r="366">
      <x:c r="A366" s="27" t="str">
        <x:v>E00362</x:v>
      </x:c>
      <x:c r="B366" s="27" t="str">
        <x:v>S07-LEARN-01:GROUND</x:v>
      </x:c>
      <x:c r="C366" s="27" t="str">
        <x:v>G3 — Shared reference and symbol</x:v>
      </x:c>
      <x:c r="D366" s="27" t="str">
        <x:v>GROUNDED_BY</x:v>
      </x:c>
      <x:c r="E366" s="27" t="str">
        <x:v>S07-LEARN-01</x:v>
      </x:c>
      <x:c r="F366" s="27" t="str">
        <x:v>Simple pretend substitution</x:v>
      </x:c>
      <x:c r="G366" s="27" t="str">
        <x:v>S07</x:v>
      </x:c>
      <x:c r="H366" s="27" t="str">
        <x:v>Learning Foundations</x:v>
      </x:c>
      <x:c r="I366" s="27" t="str">
        <x:v>SRC02; SRC03; SRC04</x:v>
      </x:c>
      <x:c r="J366" s="27" t="str">
        <x:v>Grounding form used to preserve meaning.</x:v>
      </x:c>
    </x:row>
    <x:row r="367">
      <x:c r="A367" s="27" t="str">
        <x:v>E00363</x:v>
      </x:c>
      <x:c r="B367" s="27" t="str">
        <x:v>S07-LEARN-01</x:v>
      </x:c>
      <x:c r="C367" s="27" t="str">
        <x:v>Simple pretend substitution</x:v>
      </x:c>
      <x:c r="D367" s="27" t="str">
        <x:v>CONNECTS_TO</x:v>
      </x:c>
      <x:c r="E367" s="27" t="str">
        <x:v>S07-LEARN-01:CROSS</x:v>
      </x:c>
      <x:c r="F367" s="27" t="str">
        <x:v>All domains: attention, memory, strategy choice, monitoring, retrieval, and transfer.</x:v>
      </x:c>
      <x:c r="G367" s="27" t="str">
        <x:v>S07</x:v>
      </x:c>
      <x:c r="H367" s="27" t="str">
        <x:v>Learning Foundations</x:v>
      </x:c>
      <x:c r="I367" s="27" t="str">
        <x:v>SRC02; SRC03; SRC04</x:v>
      </x:c>
      <x:c r="J367" s="27" t="str">
        <x:v>Parallel subject and representation links.</x:v>
      </x:c>
    </x:row>
    <x:row r="368">
      <x:c r="A368" s="27" t="str">
        <x:v>E00364</x:v>
      </x:c>
      <x:c r="B368" s="27" t="str">
        <x:v>S07-LEARN-01</x:v>
      </x:c>
      <x:c r="C368" s="27" t="str">
        <x:v>Simple pretend substitution</x:v>
      </x:c>
      <x:c r="D368" s="27" t="str">
        <x:v>UNLOCKS</x:v>
      </x:c>
      <x:c r="E368" s="27" t="str">
        <x:v>S07-LEARN-01:NEXT</x:v>
      </x:c>
      <x:c r="F368" s="27" t="str">
        <x:v>Pretend substitution is the same representational move later used by words, numerals, maps, and algebraic symbols.</x:v>
      </x:c>
      <x:c r="G368" s="27" t="str">
        <x:v>S07</x:v>
      </x:c>
      <x:c r="H368" s="27" t="str">
        <x:v>Learning Foundations</x:v>
      </x:c>
      <x:c r="I368" s="27" t="str">
        <x:v>SRC02; SRC03; SRC04</x:v>
      </x:c>
      <x:c r="J368" s="27" t="str">
        <x:v>Outgoing use and placement rationale.</x:v>
      </x:c>
    </x:row>
    <x:row r="369">
      <x:c r="A369" s="27" t="str">
        <x:v>E00365</x:v>
      </x:c>
      <x:c r="B369" s="27" t="str">
        <x:v>S07-LEARN-01</x:v>
      </x:c>
      <x:c r="C369" s="27" t="str">
        <x:v>Simple pretend substitution</x:v>
      </x:c>
      <x:c r="D369" s="27" t="str">
        <x:v>VERIFIED_BY</x:v>
      </x:c>
      <x:c r="E369" s="27" t="str">
        <x:v>S07-LEARN-01:EVIDENCE</x:v>
      </x:c>
      <x:c r="F369" s="27" t="str">
        <x:v>Carries out a recognizable pretend action without the real event occurring.</x:v>
      </x:c>
      <x:c r="G369" s="27" t="str">
        <x:v>S07</x:v>
      </x:c>
      <x:c r="H369" s="27" t="str">
        <x:v>Learning Foundations</x:v>
      </x:c>
      <x:c r="I369" s="27" t="str">
        <x:v>SRC02; SRC03; SRC04</x:v>
      </x:c>
      <x:c r="J369" s="27" t="str">
        <x:v>Observable evidence of usable learning.</x:v>
      </x:c>
    </x:row>
    <x:row r="370">
      <x:c r="A370" s="27" t="str">
        <x:v>E00366</x:v>
      </x:c>
      <x:c r="B370" s="27" t="str">
        <x:v>S07-LEARN-01</x:v>
      </x:c>
      <x:c r="C370" s="27" t="str">
        <x:v>Previous node in domain progression</x:v>
      </x:c>
      <x:c r="D370" s="27" t="str">
        <x:v>DOMAIN_SEQUENCE</x:v>
      </x:c>
      <x:c r="E370" s="27" t="str">
        <x:v>S07-LEARN-02</x:v>
      </x:c>
      <x:c r="F370" s="27" t="str">
        <x:v>One-rule inhibition</x:v>
      </x:c>
      <x:c r="G370" s="27" t="str">
        <x:v>S07</x:v>
      </x:c>
      <x:c r="H370" s="27" t="str">
        <x:v>Learning Foundations</x:v>
      </x:c>
      <x:c r="I370" s="27" t="str">
        <x:v>SRC02; SRC05; SRC18</x:v>
      </x:c>
      <x:c r="J370" s="27" t="str">
        <x:v>Ordered spiral link; consult explicit prerequisites for logical dependency.</x:v>
      </x:c>
    </x:row>
    <x:row r="371">
      <x:c r="A371" s="27" t="str">
        <x:v>E00367</x:v>
      </x:c>
      <x:c r="B371" s="27" t="str">
        <x:v>S07-LEARN-02:PREREQ</x:v>
      </x:c>
      <x:c r="C371" s="27" t="str">
        <x:v>Co-regulation, direction comprehension, and working memory.</x:v>
      </x:c>
      <x:c r="D371" s="27" t="str">
        <x:v>PREREQUISITE</x:v>
      </x:c>
      <x:c r="E371" s="27" t="str">
        <x:v>S07-LEARN-02</x:v>
      </x:c>
      <x:c r="F371" s="27" t="str">
        <x:v>One-rule inhibition</x:v>
      </x:c>
      <x:c r="G371" s="27" t="str">
        <x:v>S07</x:v>
      </x:c>
      <x:c r="H371" s="27" t="str">
        <x:v>Learning Foundations</x:v>
      </x:c>
      <x:c r="I371" s="27" t="str">
        <x:v>SRC02; SRC05; SRC18</x:v>
      </x:c>
      <x:c r="J371" s="27" t="str">
        <x:v>Incoming prerequisite relationship.</x:v>
      </x:c>
    </x:row>
    <x:row r="372">
      <x:c r="A372" s="27" t="str">
        <x:v>E00368</x:v>
      </x:c>
      <x:c r="B372" s="27" t="str">
        <x:v>S07-LEARN-02:GROUND</x:v>
      </x:c>
      <x:c r="C372" s="27" t="str">
        <x:v>G3 — Shared reference and symbol</x:v>
      </x:c>
      <x:c r="D372" s="27" t="str">
        <x:v>GROUNDED_BY</x:v>
      </x:c>
      <x:c r="E372" s="27" t="str">
        <x:v>S07-LEARN-02</x:v>
      </x:c>
      <x:c r="F372" s="27" t="str">
        <x:v>One-rule inhibition</x:v>
      </x:c>
      <x:c r="G372" s="27" t="str">
        <x:v>S07</x:v>
      </x:c>
      <x:c r="H372" s="27" t="str">
        <x:v>Learning Foundations</x:v>
      </x:c>
      <x:c r="I372" s="27" t="str">
        <x:v>SRC02; SRC05; SRC18</x:v>
      </x:c>
      <x:c r="J372" s="27" t="str">
        <x:v>Grounding form used to preserve meaning.</x:v>
      </x:c>
    </x:row>
    <x:row r="373">
      <x:c r="A373" s="27" t="str">
        <x:v>E00369</x:v>
      </x:c>
      <x:c r="B373" s="27" t="str">
        <x:v>S07-LEARN-02</x:v>
      </x:c>
      <x:c r="C373" s="27" t="str">
        <x:v>One-rule inhibition</x:v>
      </x:c>
      <x:c r="D373" s="27" t="str">
        <x:v>CONNECTS_TO</x:v>
      </x:c>
      <x:c r="E373" s="27" t="str">
        <x:v>S07-LEARN-02:CROSS</x:v>
      </x:c>
      <x:c r="F373" s="27" t="str">
        <x:v>All domains: attention, memory, strategy choice, monitoring, retrieval, and transfer.</x:v>
      </x:c>
      <x:c r="G373" s="27" t="str">
        <x:v>S07</x:v>
      </x:c>
      <x:c r="H373" s="27" t="str">
        <x:v>Learning Foundations</x:v>
      </x:c>
      <x:c r="I373" s="27" t="str">
        <x:v>SRC02; SRC05; SRC18</x:v>
      </x:c>
      <x:c r="J373" s="27" t="str">
        <x:v>Parallel subject and representation links.</x:v>
      </x:c>
    </x:row>
    <x:row r="374">
      <x:c r="A374" s="27" t="str">
        <x:v>E00370</x:v>
      </x:c>
      <x:c r="B374" s="27" t="str">
        <x:v>S07-LEARN-02</x:v>
      </x:c>
      <x:c r="C374" s="27" t="str">
        <x:v>One-rule inhibition</x:v>
      </x:c>
      <x:c r="D374" s="27" t="str">
        <x:v>UNLOCKS</x:v>
      </x:c>
      <x:c r="E374" s="27" t="str">
        <x:v>S07-LEARN-02:NEXT</x:v>
      </x:c>
      <x:c r="F374" s="27" t="str">
        <x:v>Holding one rule while inhibiting an impulse begins deliberate self-control.</x:v>
      </x:c>
      <x:c r="G374" s="27" t="str">
        <x:v>S07</x:v>
      </x:c>
      <x:c r="H374" s="27" t="str">
        <x:v>Learning Foundations</x:v>
      </x:c>
      <x:c r="I374" s="27" t="str">
        <x:v>SRC02; SRC05; SRC18</x:v>
      </x:c>
      <x:c r="J374" s="27" t="str">
        <x:v>Outgoing use and placement rationale.</x:v>
      </x:c>
    </x:row>
    <x:row r="375">
      <x:c r="A375" s="27" t="str">
        <x:v>E00371</x:v>
      </x:c>
      <x:c r="B375" s="27" t="str">
        <x:v>S07-LEARN-02</x:v>
      </x:c>
      <x:c r="C375" s="27" t="str">
        <x:v>One-rule inhibition</x:v>
      </x:c>
      <x:c r="D375" s="27" t="str">
        <x:v>VERIFIED_BY</x:v>
      </x:c>
      <x:c r="E375" s="27" t="str">
        <x:v>S07-LEARN-02:EVIDENCE</x:v>
      </x:c>
      <x:c r="F375" s="27" t="str">
        <x:v>Stops, waits briefly, or switches action after a familiar cue.</x:v>
      </x:c>
      <x:c r="G375" s="27" t="str">
        <x:v>S07</x:v>
      </x:c>
      <x:c r="H375" s="27" t="str">
        <x:v>Learning Foundations</x:v>
      </x:c>
      <x:c r="I375" s="27" t="str">
        <x:v>SRC02; SRC05; SRC18</x:v>
      </x:c>
      <x:c r="J375" s="27" t="str">
        <x:v>Observable evidence of usable learning.</x:v>
      </x:c>
    </x:row>
    <x:row r="376">
      <x:c r="A376" s="27" t="str">
        <x:v>E00372</x:v>
      </x:c>
      <x:c r="B376" s="27" t="str">
        <x:v>S06-SEL-02</x:v>
      </x:c>
      <x:c r="C376" s="27" t="str">
        <x:v>Previous node in domain progression</x:v>
      </x:c>
      <x:c r="D376" s="27" t="str">
        <x:v>DOMAIN_SEQUENCE</x:v>
      </x:c>
      <x:c r="E376" s="27" t="str">
        <x:v>S07-SEL-01</x:v>
      </x:c>
      <x:c r="F376" s="27" t="str">
        <x:v>Basic emotion recognition</x:v>
      </x:c>
      <x:c r="G376" s="27" t="str">
        <x:v>S07</x:v>
      </x:c>
      <x:c r="H376" s="27" t="str">
        <x:v>Social-Emotional</x:v>
      </x:c>
      <x:c r="I376" s="27" t="str">
        <x:v>SRC02; SRC18</x:v>
      </x:c>
      <x:c r="J376" s="27" t="str">
        <x:v>Ordered spiral link; consult explicit prerequisites for logical dependency.</x:v>
      </x:c>
    </x:row>
    <x:row r="377">
      <x:c r="A377" s="27" t="str">
        <x:v>E00373</x:v>
      </x:c>
      <x:c r="B377" s="27" t="str">
        <x:v>S07-SEL-01:PREREQ</x:v>
      </x:c>
      <x:c r="C377" s="27" t="str">
        <x:v>Emotion differentiation and vocabulary.</x:v>
      </x:c>
      <x:c r="D377" s="27" t="str">
        <x:v>PREREQUISITE</x:v>
      </x:c>
      <x:c r="E377" s="27" t="str">
        <x:v>S07-SEL-01</x:v>
      </x:c>
      <x:c r="F377" s="27" t="str">
        <x:v>Basic emotion recognition</x:v>
      </x:c>
      <x:c r="G377" s="27" t="str">
        <x:v>S07</x:v>
      </x:c>
      <x:c r="H377" s="27" t="str">
        <x:v>Social-Emotional</x:v>
      </x:c>
      <x:c r="I377" s="27" t="str">
        <x:v>SRC02; SRC18</x:v>
      </x:c>
      <x:c r="J377" s="27" t="str">
        <x:v>Incoming prerequisite relationship.</x:v>
      </x:c>
    </x:row>
    <x:row r="378">
      <x:c r="A378" s="27" t="str">
        <x:v>E00374</x:v>
      </x:c>
      <x:c r="B378" s="27" t="str">
        <x:v>S07-SEL-01:GROUND</x:v>
      </x:c>
      <x:c r="C378" s="27" t="str">
        <x:v>G3 — Shared reference and symbol</x:v>
      </x:c>
      <x:c r="D378" s="27" t="str">
        <x:v>GROUNDED_BY</x:v>
      </x:c>
      <x:c r="E378" s="27" t="str">
        <x:v>S07-SEL-01</x:v>
      </x:c>
      <x:c r="F378" s="27" t="str">
        <x:v>Basic emotion recognition</x:v>
      </x:c>
      <x:c r="G378" s="27" t="str">
        <x:v>S07</x:v>
      </x:c>
      <x:c r="H378" s="27" t="str">
        <x:v>Social-Emotional</x:v>
      </x:c>
      <x:c r="I378" s="27" t="str">
        <x:v>SRC02; SRC18</x:v>
      </x:c>
      <x:c r="J378" s="27" t="str">
        <x:v>Grounding form used to preserve meaning.</x:v>
      </x:c>
    </x:row>
    <x:row r="379">
      <x:c r="A379" s="27" t="str">
        <x:v>E00375</x:v>
      </x:c>
      <x:c r="B379" s="27" t="str">
        <x:v>S07-SEL-01</x:v>
      </x:c>
      <x:c r="C379" s="27" t="str">
        <x:v>Basic emotion recognition</x:v>
      </x:c>
      <x:c r="D379" s="27" t="str">
        <x:v>CONNECTS_TO</x:v>
      </x:c>
      <x:c r="E379" s="27" t="str">
        <x:v>S07-SEL-01:CROSS</x:v>
      </x:c>
      <x:c r="F379" s="27" t="str">
        <x:v>Language and communication; health; collaboration in science, arts, civics, and projects; responsible digital/financial decisions.</x:v>
      </x:c>
      <x:c r="G379" s="27" t="str">
        <x:v>S07</x:v>
      </x:c>
      <x:c r="H379" s="27" t="str">
        <x:v>Social-Emotional</x:v>
      </x:c>
      <x:c r="I379" s="27" t="str">
        <x:v>SRC02; SRC18</x:v>
      </x:c>
      <x:c r="J379" s="27" t="str">
        <x:v>Parallel subject and representation links.</x:v>
      </x:c>
    </x:row>
    <x:row r="380">
      <x:c r="A380" s="27" t="str">
        <x:v>E00376</x:v>
      </x:c>
      <x:c r="B380" s="27" t="str">
        <x:v>S07-SEL-01</x:v>
      </x:c>
      <x:c r="C380" s="27" t="str">
        <x:v>Basic emotion recognition</x:v>
      </x:c>
      <x:c r="D380" s="27" t="str">
        <x:v>UNLOCKS</x:v>
      </x:c>
      <x:c r="E380" s="27" t="str">
        <x:v>S07-SEL-01:NEXT</x:v>
      </x:c>
      <x:c r="F380" s="27" t="str">
        <x:v>Recognizing emotion supports empathy, communication, and regulation strategies.</x:v>
      </x:c>
      <x:c r="G380" s="27" t="str">
        <x:v>S07</x:v>
      </x:c>
      <x:c r="H380" s="27" t="str">
        <x:v>Social-Emotional</x:v>
      </x:c>
      <x:c r="I380" s="27" t="str">
        <x:v>SRC02; SRC18</x:v>
      </x:c>
      <x:c r="J380" s="27" t="str">
        <x:v>Outgoing use and placement rationale.</x:v>
      </x:c>
    </x:row>
    <x:row r="381">
      <x:c r="A381" s="27" t="str">
        <x:v>E00377</x:v>
      </x:c>
      <x:c r="B381" s="27" t="str">
        <x:v>S07-SEL-01</x:v>
      </x:c>
      <x:c r="C381" s="27" t="str">
        <x:v>Basic emotion recognition</x:v>
      </x:c>
      <x:c r="D381" s="27" t="str">
        <x:v>VERIFIED_BY</x:v>
      </x:c>
      <x:c r="E381" s="27" t="str">
        <x:v>S07-SEL-01:EVIDENCE</x:v>
      </x:c>
      <x:c r="F381" s="27" t="str">
        <x:v>Labels, points to, or responds appropriately to a clear emotion cue.</x:v>
      </x:c>
      <x:c r="G381" s="27" t="str">
        <x:v>S07</x:v>
      </x:c>
      <x:c r="H381" s="27" t="str">
        <x:v>Social-Emotional</x:v>
      </x:c>
      <x:c r="I381" s="27" t="str">
        <x:v>SRC02; SRC18</x:v>
      </x:c>
      <x:c r="J381" s="27" t="str">
        <x:v>Observable evidence of usable learning.</x:v>
      </x:c>
    </x:row>
    <x:row r="382">
      <x:c r="A382" s="27" t="str">
        <x:v>E00378</x:v>
      </x:c>
      <x:c r="B382" s="27" t="str">
        <x:v>S07-SEL-01</x:v>
      </x:c>
      <x:c r="C382" s="27" t="str">
        <x:v>Previous node in domain progression</x:v>
      </x:c>
      <x:c r="D382" s="27" t="str">
        <x:v>DOMAIN_SEQUENCE</x:v>
      </x:c>
      <x:c r="E382" s="27" t="str">
        <x:v>S07-SEL-02</x:v>
      </x:c>
      <x:c r="F382" s="27" t="str">
        <x:v>Turn exchange</x:v>
      </x:c>
      <x:c r="G382" s="27" t="str">
        <x:v>S07</x:v>
      </x:c>
      <x:c r="H382" s="27" t="str">
        <x:v>Social-Emotional</x:v>
      </x:c>
      <x:c r="I382" s="27" t="str">
        <x:v>SRC02; SRC18</x:v>
      </x:c>
      <x:c r="J382" s="27" t="str">
        <x:v>Ordered spiral link; consult explicit prerequisites for logical dependency.</x:v>
      </x:c>
    </x:row>
    <x:row r="383">
      <x:c r="A383" s="27" t="str">
        <x:v>E00379</x:v>
      </x:c>
      <x:c r="B383" s="27" t="str">
        <x:v>S07-SEL-02:PREREQ</x:v>
      </x:c>
      <x:c r="C383" s="27" t="str">
        <x:v>Parallel engagement, imitation, and one-rule inhibition.</x:v>
      </x:c>
      <x:c r="D383" s="27" t="str">
        <x:v>PREREQUISITE</x:v>
      </x:c>
      <x:c r="E383" s="27" t="str">
        <x:v>S07-SEL-02</x:v>
      </x:c>
      <x:c r="F383" s="27" t="str">
        <x:v>Turn exchange</x:v>
      </x:c>
      <x:c r="G383" s="27" t="str">
        <x:v>S07</x:v>
      </x:c>
      <x:c r="H383" s="27" t="str">
        <x:v>Social-Emotional</x:v>
      </x:c>
      <x:c r="I383" s="27" t="str">
        <x:v>SRC02; SRC18</x:v>
      </x:c>
      <x:c r="J383" s="27" t="str">
        <x:v>Incoming prerequisite relationship.</x:v>
      </x:c>
    </x:row>
    <x:row r="384">
      <x:c r="A384" s="27" t="str">
        <x:v>E00380</x:v>
      </x:c>
      <x:c r="B384" s="27" t="str">
        <x:v>S07-SEL-02:GROUND</x:v>
      </x:c>
      <x:c r="C384" s="27" t="str">
        <x:v>G3 — Shared reference and symbol</x:v>
      </x:c>
      <x:c r="D384" s="27" t="str">
        <x:v>GROUNDED_BY</x:v>
      </x:c>
      <x:c r="E384" s="27" t="str">
        <x:v>S07-SEL-02</x:v>
      </x:c>
      <x:c r="F384" s="27" t="str">
        <x:v>Turn exchange</x:v>
      </x:c>
      <x:c r="G384" s="27" t="str">
        <x:v>S07</x:v>
      </x:c>
      <x:c r="H384" s="27" t="str">
        <x:v>Social-Emotional</x:v>
      </x:c>
      <x:c r="I384" s="27" t="str">
        <x:v>SRC02; SRC18</x:v>
      </x:c>
      <x:c r="J384" s="27" t="str">
        <x:v>Grounding form used to preserve meaning.</x:v>
      </x:c>
    </x:row>
    <x:row r="385">
      <x:c r="A385" s="27" t="str">
        <x:v>E00381</x:v>
      </x:c>
      <x:c r="B385" s="27" t="str">
        <x:v>S07-SEL-02</x:v>
      </x:c>
      <x:c r="C385" s="27" t="str">
        <x:v>Turn exchange</x:v>
      </x:c>
      <x:c r="D385" s="27" t="str">
        <x:v>CONNECTS_TO</x:v>
      </x:c>
      <x:c r="E385" s="27" t="str">
        <x:v>S07-SEL-02:CROSS</x:v>
      </x:c>
      <x:c r="F385" s="27" t="str">
        <x:v>Language and communication; health; collaboration in science, arts, civics, and projects; responsible digital/financial decisions.</x:v>
      </x:c>
      <x:c r="G385" s="27" t="str">
        <x:v>S07</x:v>
      </x:c>
      <x:c r="H385" s="27" t="str">
        <x:v>Social-Emotional</x:v>
      </x:c>
      <x:c r="I385" s="27" t="str">
        <x:v>SRC02; SRC18</x:v>
      </x:c>
      <x:c r="J385" s="27" t="str">
        <x:v>Parallel subject and representation links.</x:v>
      </x:c>
    </x:row>
    <x:row r="386">
      <x:c r="A386" s="27" t="str">
        <x:v>E00382</x:v>
      </x:c>
      <x:c r="B386" s="27" t="str">
        <x:v>S07-SEL-02</x:v>
      </x:c>
      <x:c r="C386" s="27" t="str">
        <x:v>Turn exchange</x:v>
      </x:c>
      <x:c r="D386" s="27" t="str">
        <x:v>UNLOCKS</x:v>
      </x:c>
      <x:c r="E386" s="27" t="str">
        <x:v>S07-SEL-02:NEXT</x:v>
      </x:c>
      <x:c r="F386" s="27" t="str">
        <x:v>Turn exchange supports conversation, games, ensemble work, and collaboration.</x:v>
      </x:c>
      <x:c r="G386" s="27" t="str">
        <x:v>S07</x:v>
      </x:c>
      <x:c r="H386" s="27" t="str">
        <x:v>Social-Emotional</x:v>
      </x:c>
      <x:c r="I386" s="27" t="str">
        <x:v>SRC02; SRC18</x:v>
      </x:c>
      <x:c r="J386" s="27" t="str">
        <x:v>Outgoing use and placement rationale.</x:v>
      </x:c>
    </x:row>
    <x:row r="387">
      <x:c r="A387" s="27" t="str">
        <x:v>E00383</x:v>
      </x:c>
      <x:c r="B387" s="27" t="str">
        <x:v>S07-SEL-02</x:v>
      </x:c>
      <x:c r="C387" s="27" t="str">
        <x:v>Turn exchange</x:v>
      </x:c>
      <x:c r="D387" s="27" t="str">
        <x:v>VERIFIED_BY</x:v>
      </x:c>
      <x:c r="E387" s="27" t="str">
        <x:v>S07-SEL-02:EVIDENCE</x:v>
      </x:c>
      <x:c r="F387" s="27" t="str">
        <x:v>Waits for and takes several alternating turns with support.</x:v>
      </x:c>
      <x:c r="G387" s="27" t="str">
        <x:v>S07</x:v>
      </x:c>
      <x:c r="H387" s="27" t="str">
        <x:v>Social-Emotional</x:v>
      </x:c>
      <x:c r="I387" s="27" t="str">
        <x:v>SRC02; SRC18</x:v>
      </x:c>
      <x:c r="J387" s="27" t="str">
        <x:v>Observable evidence of usable learning.</x:v>
      </x:c>
    </x:row>
    <x:row r="388">
      <x:c r="A388" s="27" t="str">
        <x:v>E00384</x:v>
      </x:c>
      <x:c r="B388" s="27" t="str">
        <x:v>S06-LANG-02</x:v>
      </x:c>
      <x:c r="C388" s="27" t="str">
        <x:v>Previous node in domain progression</x:v>
      </x:c>
      <x:c r="D388" s="27" t="str">
        <x:v>DOMAIN_SEQUENCE</x:v>
      </x:c>
      <x:c r="E388" s="27" t="str">
        <x:v>S07-LANG-01</x:v>
      </x:c>
      <x:c r="F388" s="27" t="str">
        <x:v>Two-word combinations</x:v>
      </x:c>
      <x:c r="G388" s="27" t="str">
        <x:v>S07</x:v>
      </x:c>
      <x:c r="H388" s="27" t="str">
        <x:v>Language &amp; Communication</x:v>
      </x:c>
      <x:c r="I388" s="27" t="str">
        <x:v>SRC02; SRC03</x:v>
      </x:c>
      <x:c r="J388" s="27" t="str">
        <x:v>Ordered spiral link; consult explicit prerequisites for logical dependency.</x:v>
      </x:c>
    </x:row>
    <x:row r="389">
      <x:c r="A389" s="27" t="str">
        <x:v>E00385</x:v>
      </x:c>
      <x:c r="B389" s="27" t="str">
        <x:v>S07-LANG-01:PREREQ</x:v>
      </x:c>
      <x:c r="C389" s="27" t="str">
        <x:v>A flexible single-word vocabulary and symbolic representation.</x:v>
      </x:c>
      <x:c r="D389" s="27" t="str">
        <x:v>PREREQUISITE</x:v>
      </x:c>
      <x:c r="E389" s="27" t="str">
        <x:v>S07-LANG-01</x:v>
      </x:c>
      <x:c r="F389" s="27" t="str">
        <x:v>Two-word combinations</x:v>
      </x:c>
      <x:c r="G389" s="27" t="str">
        <x:v>S07</x:v>
      </x:c>
      <x:c r="H389" s="27" t="str">
        <x:v>Language &amp; Communication</x:v>
      </x:c>
      <x:c r="I389" s="27" t="str">
        <x:v>SRC02; SRC03</x:v>
      </x:c>
      <x:c r="J389" s="27" t="str">
        <x:v>Incoming prerequisite relationship.</x:v>
      </x:c>
    </x:row>
    <x:row r="390">
      <x:c r="A390" s="27" t="str">
        <x:v>E00386</x:v>
      </x:c>
      <x:c r="B390" s="27" t="str">
        <x:v>S07-LANG-01:GROUND</x:v>
      </x:c>
      <x:c r="C390" s="27" t="str">
        <x:v>G3 — Shared reference and symbol</x:v>
      </x:c>
      <x:c r="D390" s="27" t="str">
        <x:v>GROUNDED_BY</x:v>
      </x:c>
      <x:c r="E390" s="27" t="str">
        <x:v>S07-LANG-01</x:v>
      </x:c>
      <x:c r="F390" s="27" t="str">
        <x:v>Two-word combinations</x:v>
      </x:c>
      <x:c r="G390" s="27" t="str">
        <x:v>S07</x:v>
      </x:c>
      <x:c r="H390" s="27" t="str">
        <x:v>Language &amp; Communication</x:v>
      </x:c>
      <x:c r="I390" s="27" t="str">
        <x:v>SRC02; SRC03</x:v>
      </x:c>
      <x:c r="J390" s="27" t="str">
        <x:v>Grounding form used to preserve meaning.</x:v>
      </x:c>
    </x:row>
    <x:row r="391">
      <x:c r="A391" s="27" t="str">
        <x:v>E00387</x:v>
      </x:c>
      <x:c r="B391" s="27" t="str">
        <x:v>S07-LANG-01</x:v>
      </x:c>
      <x:c r="C391" s="27" t="str">
        <x:v>Two-word combinations</x:v>
      </x:c>
      <x:c r="D391" s="27" t="str">
        <x:v>CONNECTS_TO</x:v>
      </x:c>
      <x:c r="E391" s="27" t="str">
        <x:v>S07-LANG-01:CROSS</x:v>
      </x:c>
      <x:c r="F391" s="27" t="str">
        <x:v>Reading and writing; vocabulary for math/science/social studies; discussion, music prosody, and world-language learning.</x:v>
      </x:c>
      <x:c r="G391" s="27" t="str">
        <x:v>S07</x:v>
      </x:c>
      <x:c r="H391" s="27" t="str">
        <x:v>Language &amp; Communication</x:v>
      </x:c>
      <x:c r="I391" s="27" t="str">
        <x:v>SRC02; SRC03</x:v>
      </x:c>
      <x:c r="J391" s="27" t="str">
        <x:v>Parallel subject and representation links.</x:v>
      </x:c>
    </x:row>
    <x:row r="392">
      <x:c r="A392" s="27" t="str">
        <x:v>E00388</x:v>
      </x:c>
      <x:c r="B392" s="27" t="str">
        <x:v>S07-LANG-01</x:v>
      </x:c>
      <x:c r="C392" s="27" t="str">
        <x:v>Two-word combinations</x:v>
      </x:c>
      <x:c r="D392" s="27" t="str">
        <x:v>UNLOCKS</x:v>
      </x:c>
      <x:c r="E392" s="27" t="str">
        <x:v>S07-LANG-01:NEXT</x:v>
      </x:c>
      <x:c r="F392" s="27" t="str">
        <x:v>Word combinations make semantic and grammatical relations explicit.</x:v>
      </x:c>
      <x:c r="G392" s="27" t="str">
        <x:v>S07</x:v>
      </x:c>
      <x:c r="H392" s="27" t="str">
        <x:v>Language &amp; Communication</x:v>
      </x:c>
      <x:c r="I392" s="27" t="str">
        <x:v>SRC02; SRC03</x:v>
      </x:c>
      <x:c r="J392" s="27" t="str">
        <x:v>Outgoing use and placement rationale.</x:v>
      </x:c>
    </x:row>
    <x:row r="393">
      <x:c r="A393" s="27" t="str">
        <x:v>E00389</x:v>
      </x:c>
      <x:c r="B393" s="27" t="str">
        <x:v>S07-LANG-01</x:v>
      </x:c>
      <x:c r="C393" s="27" t="str">
        <x:v>Two-word combinations</x:v>
      </x:c>
      <x:c r="D393" s="27" t="str">
        <x:v>VERIFIED_BY</x:v>
      </x:c>
      <x:c r="E393" s="27" t="str">
        <x:v>S07-LANG-01:EVIDENCE</x:v>
      </x:c>
      <x:c r="F393" s="27" t="str">
        <x:v>Produces several spontaneous two-part messages with differing meanings.</x:v>
      </x:c>
      <x:c r="G393" s="27" t="str">
        <x:v>S07</x:v>
      </x:c>
      <x:c r="H393" s="27" t="str">
        <x:v>Language &amp; Communication</x:v>
      </x:c>
      <x:c r="I393" s="27" t="str">
        <x:v>SRC02; SRC03</x:v>
      </x:c>
      <x:c r="J393" s="27" t="str">
        <x:v>Observable evidence of usable learning.</x:v>
      </x:c>
    </x:row>
    <x:row r="394">
      <x:c r="A394" s="27" t="str">
        <x:v>E00390</x:v>
      </x:c>
      <x:c r="B394" s="27" t="str">
        <x:v>S07-LANG-01</x:v>
      </x:c>
      <x:c r="C394" s="27" t="str">
        <x:v>Previous node in domain progression</x:v>
      </x:c>
      <x:c r="D394" s="27" t="str">
        <x:v>DOMAIN_SEQUENCE</x:v>
      </x:c>
      <x:c r="E394" s="27" t="str">
        <x:v>S07-LANG-02</x:v>
      </x:c>
      <x:c r="F394" s="27" t="str">
        <x:v>Two-element directions</x:v>
      </x:c>
      <x:c r="G394" s="27" t="str">
        <x:v>S07</x:v>
      </x:c>
      <x:c r="H394" s="27" t="str">
        <x:v>Language &amp; Communication</x:v>
      </x:c>
      <x:c r="I394" s="27" t="str">
        <x:v>SRC02; SRC03</x:v>
      </x:c>
      <x:c r="J394" s="27" t="str">
        <x:v>Ordered spiral link; consult explicit prerequisites for logical dependency.</x:v>
      </x:c>
    </x:row>
    <x:row r="395">
      <x:c r="A395" s="27" t="str">
        <x:v>E00391</x:v>
      </x:c>
      <x:c r="B395" s="27" t="str">
        <x:v>S07-LANG-02:PREREQ</x:v>
      </x:c>
      <x:c r="C395" s="27" t="str">
        <x:v>One-step comprehension and relation words.</x:v>
      </x:c>
      <x:c r="D395" s="27" t="str">
        <x:v>PREREQUISITE</x:v>
      </x:c>
      <x:c r="E395" s="27" t="str">
        <x:v>S07-LANG-02</x:v>
      </x:c>
      <x:c r="F395" s="27" t="str">
        <x:v>Two-element directions</x:v>
      </x:c>
      <x:c r="G395" s="27" t="str">
        <x:v>S07</x:v>
      </x:c>
      <x:c r="H395" s="27" t="str">
        <x:v>Language &amp; Communication</x:v>
      </x:c>
      <x:c r="I395" s="27" t="str">
        <x:v>SRC02; SRC03</x:v>
      </x:c>
      <x:c r="J395" s="27" t="str">
        <x:v>Incoming prerequisite relationship.</x:v>
      </x:c>
    </x:row>
    <x:row r="396">
      <x:c r="A396" s="27" t="str">
        <x:v>E00392</x:v>
      </x:c>
      <x:c r="B396" s="27" t="str">
        <x:v>S07-LANG-02:GROUND</x:v>
      </x:c>
      <x:c r="C396" s="27" t="str">
        <x:v>G3 — Shared reference and symbol</x:v>
      </x:c>
      <x:c r="D396" s="27" t="str">
        <x:v>GROUNDED_BY</x:v>
      </x:c>
      <x:c r="E396" s="27" t="str">
        <x:v>S07-LANG-02</x:v>
      </x:c>
      <x:c r="F396" s="27" t="str">
        <x:v>Two-element directions</x:v>
      </x:c>
      <x:c r="G396" s="27" t="str">
        <x:v>S07</x:v>
      </x:c>
      <x:c r="H396" s="27" t="str">
        <x:v>Language &amp; Communication</x:v>
      </x:c>
      <x:c r="I396" s="27" t="str">
        <x:v>SRC02; SRC03</x:v>
      </x:c>
      <x:c r="J396" s="27" t="str">
        <x:v>Grounding form used to preserve meaning.</x:v>
      </x:c>
    </x:row>
    <x:row r="397">
      <x:c r="A397" s="27" t="str">
        <x:v>E00393</x:v>
      </x:c>
      <x:c r="B397" s="27" t="str">
        <x:v>S07-LANG-02</x:v>
      </x:c>
      <x:c r="C397" s="27" t="str">
        <x:v>Two-element directions</x:v>
      </x:c>
      <x:c r="D397" s="27" t="str">
        <x:v>CONNECTS_TO</x:v>
      </x:c>
      <x:c r="E397" s="27" t="str">
        <x:v>S07-LANG-02:CROSS</x:v>
      </x:c>
      <x:c r="F397" s="27" t="str">
        <x:v>Reading and writing; vocabulary for math/science/social studies; discussion, music prosody, and world-language learning.</x:v>
      </x:c>
      <x:c r="G397" s="27" t="str">
        <x:v>S07</x:v>
      </x:c>
      <x:c r="H397" s="27" t="str">
        <x:v>Language &amp; Communication</x:v>
      </x:c>
      <x:c r="I397" s="27" t="str">
        <x:v>SRC02; SRC03</x:v>
      </x:c>
      <x:c r="J397" s="27" t="str">
        <x:v>Parallel subject and representation links.</x:v>
      </x:c>
    </x:row>
    <x:row r="398">
      <x:c r="A398" s="27" t="str">
        <x:v>E00394</x:v>
      </x:c>
      <x:c r="B398" s="27" t="str">
        <x:v>S07-LANG-02</x:v>
      </x:c>
      <x:c r="C398" s="27" t="str">
        <x:v>Two-element directions</x:v>
      </x:c>
      <x:c r="D398" s="27" t="str">
        <x:v>UNLOCKS</x:v>
      </x:c>
      <x:c r="E398" s="27" t="str">
        <x:v>S07-LANG-02:NEXT</x:v>
      </x:c>
      <x:c r="F398" s="27" t="str">
        <x:v>Holding two elements supports sentence comprehension and ordered procedures.</x:v>
      </x:c>
      <x:c r="G398" s="27" t="str">
        <x:v>S07</x:v>
      </x:c>
      <x:c r="H398" s="27" t="str">
        <x:v>Language &amp; Communication</x:v>
      </x:c>
      <x:c r="I398" s="27" t="str">
        <x:v>SRC02; SRC03</x:v>
      </x:c>
      <x:c r="J398" s="27" t="str">
        <x:v>Outgoing use and placement rationale.</x:v>
      </x:c>
    </x:row>
    <x:row r="399">
      <x:c r="A399" s="27" t="str">
        <x:v>E00395</x:v>
      </x:c>
      <x:c r="B399" s="27" t="str">
        <x:v>S07-LANG-02</x:v>
      </x:c>
      <x:c r="C399" s="27" t="str">
        <x:v>Two-element directions</x:v>
      </x:c>
      <x:c r="D399" s="27" t="str">
        <x:v>VERIFIED_BY</x:v>
      </x:c>
      <x:c r="E399" s="27" t="str">
        <x:v>S07-LANG-02:EVIDENCE</x:v>
      </x:c>
      <x:c r="F399" s="27" t="str">
        <x:v>Carries out a familiar two-part request with limited gesture support.</x:v>
      </x:c>
      <x:c r="G399" s="27" t="str">
        <x:v>S07</x:v>
      </x:c>
      <x:c r="H399" s="27" t="str">
        <x:v>Language &amp; Communication</x:v>
      </x:c>
      <x:c r="I399" s="27" t="str">
        <x:v>SRC02; SRC03</x:v>
      </x:c>
      <x:c r="J399" s="27" t="str">
        <x:v>Observable evidence of usable learning.</x:v>
      </x:c>
    </x:row>
    <x:row r="400">
      <x:c r="A400" s="27" t="str">
        <x:v>E00396</x:v>
      </x:c>
      <x:c r="B400" s="27" t="str">
        <x:v>S06-MATH-02</x:v>
      </x:c>
      <x:c r="C400" s="27" t="str">
        <x:v>Previous node in domain progression</x:v>
      </x:c>
      <x:c r="D400" s="27" t="str">
        <x:v>DOMAIN_SEQUENCE</x:v>
      </x:c>
      <x:c r="E400" s="27" t="str">
        <x:v>S07-MATH-01</x:v>
      </x:c>
      <x:c r="F400" s="27" t="str">
        <x:v>Exact matching</x:v>
      </x:c>
      <x:c r="G400" s="27" t="str">
        <x:v>S07</x:v>
      </x:c>
      <x:c r="H400" s="27" t="str">
        <x:v>Mathematics</x:v>
      </x:c>
      <x:c r="I400" s="27" t="str">
        <x:v>SRC02; SRC07</x:v>
      </x:c>
      <x:c r="J400" s="27" t="str">
        <x:v>Ordered spiral link; consult explicit prerequisites for logical dependency.</x:v>
      </x:c>
    </x:row>
    <x:row r="401">
      <x:c r="A401" s="27" t="str">
        <x:v>E00397</x:v>
      </x:c>
      <x:c r="B401" s="27" t="str">
        <x:v>S07-MATH-01:PREREQ</x:v>
      </x:c>
      <x:c r="C401" s="27" t="str">
        <x:v>Same-object recognition and controlled placement.</x:v>
      </x:c>
      <x:c r="D401" s="27" t="str">
        <x:v>PREREQUISITE</x:v>
      </x:c>
      <x:c r="E401" s="27" t="str">
        <x:v>S07-MATH-01</x:v>
      </x:c>
      <x:c r="F401" s="27" t="str">
        <x:v>Exact matching</x:v>
      </x:c>
      <x:c r="G401" s="27" t="str">
        <x:v>S07</x:v>
      </x:c>
      <x:c r="H401" s="27" t="str">
        <x:v>Mathematics</x:v>
      </x:c>
      <x:c r="I401" s="27" t="str">
        <x:v>SRC02; SRC07</x:v>
      </x:c>
      <x:c r="J401" s="27" t="str">
        <x:v>Incoming prerequisite relationship.</x:v>
      </x:c>
    </x:row>
    <x:row r="402">
      <x:c r="A402" s="27" t="str">
        <x:v>E00398</x:v>
      </x:c>
      <x:c r="B402" s="27" t="str">
        <x:v>S07-MATH-01:GROUND</x:v>
      </x:c>
      <x:c r="C402" s="27" t="str">
        <x:v>G3 — Shared reference and symbol</x:v>
      </x:c>
      <x:c r="D402" s="27" t="str">
        <x:v>GROUNDED_BY</x:v>
      </x:c>
      <x:c r="E402" s="27" t="str">
        <x:v>S07-MATH-01</x:v>
      </x:c>
      <x:c r="F402" s="27" t="str">
        <x:v>Exact matching</x:v>
      </x:c>
      <x:c r="G402" s="27" t="str">
        <x:v>S07</x:v>
      </x:c>
      <x:c r="H402" s="27" t="str">
        <x:v>Mathematics</x:v>
      </x:c>
      <x:c r="I402" s="27" t="str">
        <x:v>SRC02; SRC07</x:v>
      </x:c>
      <x:c r="J402" s="27" t="str">
        <x:v>Grounding form used to preserve meaning.</x:v>
      </x:c>
    </x:row>
    <x:row r="403">
      <x:c r="A403" s="27" t="str">
        <x:v>E00399</x:v>
      </x:c>
      <x:c r="B403" s="27" t="str">
        <x:v>S07-MATH-01</x:v>
      </x:c>
      <x:c r="C403" s="27" t="str">
        <x:v>Exact matching</x:v>
      </x:c>
      <x:c r="D403" s="27" t="str">
        <x:v>CONNECTS_TO</x:v>
      </x:c>
      <x:c r="E403" s="27" t="str">
        <x:v>S07-MATH-01:CROSS</x:v>
      </x:c>
      <x:c r="F403" s="27" t="str">
        <x:v>Physical quantity and spatial action; science measurement/models; computing/algorithms; finance; music rhythm/pattern; geographic data.</x:v>
      </x:c>
      <x:c r="G403" s="27" t="str">
        <x:v>S07</x:v>
      </x:c>
      <x:c r="H403" s="27" t="str">
        <x:v>Mathematics</x:v>
      </x:c>
      <x:c r="I403" s="27" t="str">
        <x:v>SRC02; SRC07</x:v>
      </x:c>
      <x:c r="J403" s="27" t="str">
        <x:v>Parallel subject and representation links.</x:v>
      </x:c>
    </x:row>
    <x:row r="404">
      <x:c r="A404" s="27" t="str">
        <x:v>E00400</x:v>
      </x:c>
      <x:c r="B404" s="27" t="str">
        <x:v>S07-MATH-01</x:v>
      </x:c>
      <x:c r="C404" s="27" t="str">
        <x:v>Exact matching</x:v>
      </x:c>
      <x:c r="D404" s="27" t="str">
        <x:v>UNLOCKS</x:v>
      </x:c>
      <x:c r="E404" s="27" t="str">
        <x:v>S07-MATH-01:NEXT</x:v>
      </x:c>
      <x:c r="F404" s="27" t="str">
        <x:v>Exact matching is used in classification, letter recognition, one-to-one correspondence, and data coding.</x:v>
      </x:c>
      <x:c r="G404" s="27" t="str">
        <x:v>S07</x:v>
      </x:c>
      <x:c r="H404" s="27" t="str">
        <x:v>Mathematics</x:v>
      </x:c>
      <x:c r="I404" s="27" t="str">
        <x:v>SRC02; SRC07</x:v>
      </x:c>
      <x:c r="J404" s="27" t="str">
        <x:v>Outgoing use and placement rationale.</x:v>
      </x:c>
    </x:row>
    <x:row r="405">
      <x:c r="A405" s="27" t="str">
        <x:v>E00401</x:v>
      </x:c>
      <x:c r="B405" s="27" t="str">
        <x:v>S07-MATH-01</x:v>
      </x:c>
      <x:c r="C405" s="27" t="str">
        <x:v>Exact matching</x:v>
      </x:c>
      <x:c r="D405" s="27" t="str">
        <x:v>VERIFIED_BY</x:v>
      </x:c>
      <x:c r="E405" s="27" t="str">
        <x:v>S07-MATH-01:EVIDENCE</x:v>
      </x:c>
      <x:c r="F405" s="27" t="str">
        <x:v>Selects an identical match from a small set.</x:v>
      </x:c>
      <x:c r="G405" s="27" t="str">
        <x:v>S07</x:v>
      </x:c>
      <x:c r="H405" s="27" t="str">
        <x:v>Mathematics</x:v>
      </x:c>
      <x:c r="I405" s="27" t="str">
        <x:v>SRC02; SRC07</x:v>
      </x:c>
      <x:c r="J405" s="27" t="str">
        <x:v>Observable evidence of usable learning.</x:v>
      </x:c>
    </x:row>
    <x:row r="406">
      <x:c r="A406" s="27" t="str">
        <x:v>E00402</x:v>
      </x:c>
      <x:c r="B406" s="27" t="str">
        <x:v>S07-MATH-01</x:v>
      </x:c>
      <x:c r="C406" s="27" t="str">
        <x:v>Previous node in domain progression</x:v>
      </x:c>
      <x:c r="D406" s="27" t="str">
        <x:v>DOMAIN_SEQUENCE</x:v>
      </x:c>
      <x:c r="E406" s="27" t="str">
        <x:v>S07-MATH-02</x:v>
      </x:c>
      <x:c r="F406" s="27" t="str">
        <x:v>Big/small and more/less contrasts</x:v>
      </x:c>
      <x:c r="G406" s="27" t="str">
        <x:v>S07</x:v>
      </x:c>
      <x:c r="H406" s="27" t="str">
        <x:v>Mathematics</x:v>
      </x:c>
      <x:c r="I406" s="27" t="str">
        <x:v>SRC02; SRC07</x:v>
      </x:c>
      <x:c r="J406" s="27" t="str">
        <x:v>Ordered spiral link; consult explicit prerequisites for logical dependency.</x:v>
      </x:c>
    </x:row>
    <x:row r="407">
      <x:c r="A407" s="27" t="str">
        <x:v>E00403</x:v>
      </x:c>
      <x:c r="B407" s="27" t="str">
        <x:v>S07-MATH-02:PREREQ</x:v>
      </x:c>
      <x:c r="C407" s="27" t="str">
        <x:v>Contrast discrimination and quantity language.</x:v>
      </x:c>
      <x:c r="D407" s="27" t="str">
        <x:v>PREREQUISITE</x:v>
      </x:c>
      <x:c r="E407" s="27" t="str">
        <x:v>S07-MATH-02</x:v>
      </x:c>
      <x:c r="F407" s="27" t="str">
        <x:v>Big/small and more/less contrasts</x:v>
      </x:c>
      <x:c r="G407" s="27" t="str">
        <x:v>S07</x:v>
      </x:c>
      <x:c r="H407" s="27" t="str">
        <x:v>Mathematics</x:v>
      </x:c>
      <x:c r="I407" s="27" t="str">
        <x:v>SRC02; SRC07</x:v>
      </x:c>
      <x:c r="J407" s="27" t="str">
        <x:v>Incoming prerequisite relationship.</x:v>
      </x:c>
    </x:row>
    <x:row r="408">
      <x:c r="A408" s="27" t="str">
        <x:v>E00404</x:v>
      </x:c>
      <x:c r="B408" s="27" t="str">
        <x:v>S07-MATH-02:GROUND</x:v>
      </x:c>
      <x:c r="C408" s="27" t="str">
        <x:v>G3 — Shared reference and symbol</x:v>
      </x:c>
      <x:c r="D408" s="27" t="str">
        <x:v>GROUNDED_BY</x:v>
      </x:c>
      <x:c r="E408" s="27" t="str">
        <x:v>S07-MATH-02</x:v>
      </x:c>
      <x:c r="F408" s="27" t="str">
        <x:v>Big/small and more/less contrasts</x:v>
      </x:c>
      <x:c r="G408" s="27" t="str">
        <x:v>S07</x:v>
      </x:c>
      <x:c r="H408" s="27" t="str">
        <x:v>Mathematics</x:v>
      </x:c>
      <x:c r="I408" s="27" t="str">
        <x:v>SRC02; SRC07</x:v>
      </x:c>
      <x:c r="J408" s="27" t="str">
        <x:v>Grounding form used to preserve meaning.</x:v>
      </x:c>
    </x:row>
    <x:row r="409">
      <x:c r="A409" s="27" t="str">
        <x:v>E00405</x:v>
      </x:c>
      <x:c r="B409" s="27" t="str">
        <x:v>S07-MATH-02</x:v>
      </x:c>
      <x:c r="C409" s="27" t="str">
        <x:v>Big/small and more/less contrasts</x:v>
      </x:c>
      <x:c r="D409" s="27" t="str">
        <x:v>CONNECTS_TO</x:v>
      </x:c>
      <x:c r="E409" s="27" t="str">
        <x:v>S07-MATH-02:CROSS</x:v>
      </x:c>
      <x:c r="F409" s="27" t="str">
        <x:v>Physical quantity and spatial action; science measurement/models; computing/algorithms; finance; music rhythm/pattern; geographic data.</x:v>
      </x:c>
      <x:c r="G409" s="27" t="str">
        <x:v>S07</x:v>
      </x:c>
      <x:c r="H409" s="27" t="str">
        <x:v>Mathematics</x:v>
      </x:c>
      <x:c r="I409" s="27" t="str">
        <x:v>SRC02; SRC07</x:v>
      </x:c>
      <x:c r="J409" s="27" t="str">
        <x:v>Parallel subject and representation links.</x:v>
      </x:c>
    </x:row>
    <x:row r="410">
      <x:c r="A410" s="27" t="str">
        <x:v>E00406</x:v>
      </x:c>
      <x:c r="B410" s="27" t="str">
        <x:v>S07-MATH-02</x:v>
      </x:c>
      <x:c r="C410" s="27" t="str">
        <x:v>Big/small and more/less contrasts</x:v>
      </x:c>
      <x:c r="D410" s="27" t="str">
        <x:v>UNLOCKS</x:v>
      </x:c>
      <x:c r="E410" s="27" t="str">
        <x:v>S07-MATH-02:NEXT</x:v>
      </x:c>
      <x:c r="F410" s="27" t="str">
        <x:v>Comparative relations prepare seriation, measurement, number comparison, and inequality.</x:v>
      </x:c>
      <x:c r="G410" s="27" t="str">
        <x:v>S07</x:v>
      </x:c>
      <x:c r="H410" s="27" t="str">
        <x:v>Mathematics</x:v>
      </x:c>
      <x:c r="I410" s="27" t="str">
        <x:v>SRC02; SRC07</x:v>
      </x:c>
      <x:c r="J410" s="27" t="str">
        <x:v>Outgoing use and placement rationale.</x:v>
      </x:c>
    </x:row>
    <x:row r="411">
      <x:c r="A411" s="27" t="str">
        <x:v>E00407</x:v>
      </x:c>
      <x:c r="B411" s="27" t="str">
        <x:v>S07-MATH-02</x:v>
      </x:c>
      <x:c r="C411" s="27" t="str">
        <x:v>Big/small and more/less contrasts</x:v>
      </x:c>
      <x:c r="D411" s="27" t="str">
        <x:v>VERIFIED_BY</x:v>
      </x:c>
      <x:c r="E411" s="27" t="str">
        <x:v>S07-MATH-02:EVIDENCE</x:v>
      </x:c>
      <x:c r="F411" s="27" t="str">
        <x:v>Chooses the clearly bigger item or fuller/more numerous collection when asked.</x:v>
      </x:c>
      <x:c r="G411" s="27" t="str">
        <x:v>S07</x:v>
      </x:c>
      <x:c r="H411" s="27" t="str">
        <x:v>Mathematics</x:v>
      </x:c>
      <x:c r="I411" s="27" t="str">
        <x:v>SRC02; SRC07</x:v>
      </x:c>
      <x:c r="J411" s="27" t="str">
        <x:v>Observable evidence of usable learning.</x:v>
      </x:c>
    </x:row>
    <x:row r="412">
      <x:c r="A412" s="27" t="str">
        <x:v>E00408</x:v>
      </x:c>
      <x:c r="B412" s="27" t="str">
        <x:v>S06-SCI-01</x:v>
      </x:c>
      <x:c r="C412" s="27" t="str">
        <x:v>Previous node in domain progression</x:v>
      </x:c>
      <x:c r="D412" s="27" t="str">
        <x:v>DOMAIN_SEQUENCE</x:v>
      </x:c>
      <x:c r="E412" s="27" t="str">
        <x:v>S07-SCI-01</x:v>
      </x:c>
      <x:c r="F412" s="27" t="str">
        <x:v>Living/nonliving experience</x:v>
      </x:c>
      <x:c r="G412" s="27" t="str">
        <x:v>S07</x:v>
      </x:c>
      <x:c r="H412" s="27" t="str">
        <x:v>Science &amp; Engineering</x:v>
      </x:c>
      <x:c r="I412" s="27" t="str">
        <x:v>SRC02; SRC11</x:v>
      </x:c>
      <x:c r="J412" s="27" t="str">
        <x:v>Ordered spiral link; consult explicit prerequisites for logical dependency.</x:v>
      </x:c>
    </x:row>
    <x:row r="413">
      <x:c r="A413" s="27" t="str">
        <x:v>E00409</x:v>
      </x:c>
      <x:c r="B413" s="27" t="str">
        <x:v>S07-SCI-01:PREREQ</x:v>
      </x:c>
      <x:c r="C413" s="27" t="str">
        <x:v>Category formation and observation of change.</x:v>
      </x:c>
      <x:c r="D413" s="27" t="str">
        <x:v>PREREQUISITE</x:v>
      </x:c>
      <x:c r="E413" s="27" t="str">
        <x:v>S07-SCI-01</x:v>
      </x:c>
      <x:c r="F413" s="27" t="str">
        <x:v>Living/nonliving experience</x:v>
      </x:c>
      <x:c r="G413" s="27" t="str">
        <x:v>S07</x:v>
      </x:c>
      <x:c r="H413" s="27" t="str">
        <x:v>Science &amp; Engineering</x:v>
      </x:c>
      <x:c r="I413" s="27" t="str">
        <x:v>SRC02; SRC11</x:v>
      </x:c>
      <x:c r="J413" s="27" t="str">
        <x:v>Incoming prerequisite relationship.</x:v>
      </x:c>
    </x:row>
    <x:row r="414">
      <x:c r="A414" s="27" t="str">
        <x:v>E00410</x:v>
      </x:c>
      <x:c r="B414" s="27" t="str">
        <x:v>S07-SCI-01:GROUND</x:v>
      </x:c>
      <x:c r="C414" s="27" t="str">
        <x:v>G3 — Shared reference and symbol</x:v>
      </x:c>
      <x:c r="D414" s="27" t="str">
        <x:v>GROUNDED_BY</x:v>
      </x:c>
      <x:c r="E414" s="27" t="str">
        <x:v>S07-SCI-01</x:v>
      </x:c>
      <x:c r="F414" s="27" t="str">
        <x:v>Living/nonliving experience</x:v>
      </x:c>
      <x:c r="G414" s="27" t="str">
        <x:v>S07</x:v>
      </x:c>
      <x:c r="H414" s="27" t="str">
        <x:v>Science &amp; Engineering</x:v>
      </x:c>
      <x:c r="I414" s="27" t="str">
        <x:v>SRC02; SRC11</x:v>
      </x:c>
      <x:c r="J414" s="27" t="str">
        <x:v>Grounding form used to preserve meaning.</x:v>
      </x:c>
    </x:row>
    <x:row r="415">
      <x:c r="A415" s="27" t="str">
        <x:v>E00411</x:v>
      </x:c>
      <x:c r="B415" s="27" t="str">
        <x:v>S07-SCI-01</x:v>
      </x:c>
      <x:c r="C415" s="27" t="str">
        <x:v>Living/nonliving experience</x:v>
      </x:c>
      <x:c r="D415" s="27" t="str">
        <x:v>CONNECTS_TO</x:v>
      </x:c>
      <x:c r="E415" s="27" t="str">
        <x:v>S07-SCI-01:CROSS</x:v>
      </x:c>
      <x:c r="F415" s="27" t="str">
        <x:v>Sensory observation and action; mathematics/data; reading/writing evidence; computing/models; health and environmental/civic decisions.</x:v>
      </x:c>
      <x:c r="G415" s="27" t="str">
        <x:v>S07</x:v>
      </x:c>
      <x:c r="H415" s="27" t="str">
        <x:v>Science &amp; Engineering</x:v>
      </x:c>
      <x:c r="I415" s="27" t="str">
        <x:v>SRC02; SRC11</x:v>
      </x:c>
      <x:c r="J415" s="27" t="str">
        <x:v>Parallel subject and representation links.</x:v>
      </x:c>
    </x:row>
    <x:row r="416">
      <x:c r="A416" s="27" t="str">
        <x:v>E00412</x:v>
      </x:c>
      <x:c r="B416" s="27" t="str">
        <x:v>S07-SCI-01</x:v>
      </x:c>
      <x:c r="C416" s="27" t="str">
        <x:v>Living/nonliving experience</x:v>
      </x:c>
      <x:c r="D416" s="27" t="str">
        <x:v>UNLOCKS</x:v>
      </x:c>
      <x:c r="E416" s="27" t="str">
        <x:v>S07-SCI-01:NEXT</x:v>
      </x:c>
      <x:c r="F416" s="27" t="str">
        <x:v>These observations seed later life-cycle, structure-function, and ecosystem concepts.</x:v>
      </x:c>
      <x:c r="G416" s="27" t="str">
        <x:v>S07</x:v>
      </x:c>
      <x:c r="H416" s="27" t="str">
        <x:v>Science &amp; Engineering</x:v>
      </x:c>
      <x:c r="I416" s="27" t="str">
        <x:v>SRC02; SRC11</x:v>
      </x:c>
      <x:c r="J416" s="27" t="str">
        <x:v>Outgoing use and placement rationale.</x:v>
      </x:c>
    </x:row>
    <x:row r="417">
      <x:c r="A417" s="27" t="str">
        <x:v>E00413</x:v>
      </x:c>
      <x:c r="B417" s="27" t="str">
        <x:v>S07-SCI-01</x:v>
      </x:c>
      <x:c r="C417" s="27" t="str">
        <x:v>Living/nonliving experience</x:v>
      </x:c>
      <x:c r="D417" s="27" t="str">
        <x:v>VERIFIED_BY</x:v>
      </x:c>
      <x:c r="E417" s="27" t="str">
        <x:v>S07-SCI-01:EVIDENCE</x:v>
      </x:c>
      <x:c r="F417" s="27" t="str">
        <x:v>Provides an appropriate simple care action or identifies a familiar living thing.</x:v>
      </x:c>
      <x:c r="G417" s="27" t="str">
        <x:v>S07</x:v>
      </x:c>
      <x:c r="H417" s="27" t="str">
        <x:v>Science &amp; Engineering</x:v>
      </x:c>
      <x:c r="I417" s="27" t="str">
        <x:v>SRC02; SRC11</x:v>
      </x:c>
      <x:c r="J417" s="27" t="str">
        <x:v>Observable evidence of usable learning.</x:v>
      </x:c>
    </x:row>
    <x:row r="418">
      <x:c r="A418" s="27" t="str">
        <x:v>E00414</x:v>
      </x:c>
      <x:c r="B418" s="27" t="str">
        <x:v>S06-ARTS-01</x:v>
      </x:c>
      <x:c r="C418" s="27" t="str">
        <x:v>Previous node in domain progression</x:v>
      </x:c>
      <x:c r="D418" s="27" t="str">
        <x:v>DOMAIN_SEQUENCE</x:v>
      </x:c>
      <x:c r="E418" s="27" t="str">
        <x:v>S07-ARTS-01</x:v>
      </x:c>
      <x:c r="F418" s="27" t="str">
        <x:v>Short rhythm echo</x:v>
      </x:c>
      <x:c r="G418" s="27" t="str">
        <x:v>S07</x:v>
      </x:c>
      <x:c r="H418" s="27" t="str">
        <x:v>Music &amp; Arts</x:v>
      </x:c>
      <x:c r="I418" s="27" t="str">
        <x:v>SRC02; SRC13</x:v>
      </x:c>
      <x:c r="J418" s="27" t="str">
        <x:v>Ordered spiral link; consult explicit prerequisites for logical dependency.</x:v>
      </x:c>
    </x:row>
    <x:row r="419">
      <x:c r="A419" s="27" t="str">
        <x:v>E00415</x:v>
      </x:c>
      <x:c r="B419" s="27" t="str">
        <x:v>S07-ARTS-01:PREREQ</x:v>
      </x:c>
      <x:c r="C419" s="27" t="str">
        <x:v>Turn exchange, pulse experience, and deferred imitation.</x:v>
      </x:c>
      <x:c r="D419" s="27" t="str">
        <x:v>PREREQUISITE</x:v>
      </x:c>
      <x:c r="E419" s="27" t="str">
        <x:v>S07-ARTS-01</x:v>
      </x:c>
      <x:c r="F419" s="27" t="str">
        <x:v>Short rhythm echo</x:v>
      </x:c>
      <x:c r="G419" s="27" t="str">
        <x:v>S07</x:v>
      </x:c>
      <x:c r="H419" s="27" t="str">
        <x:v>Music &amp; Arts</x:v>
      </x:c>
      <x:c r="I419" s="27" t="str">
        <x:v>SRC02; SRC13</x:v>
      </x:c>
      <x:c r="J419" s="27" t="str">
        <x:v>Incoming prerequisite relationship.</x:v>
      </x:c>
    </x:row>
    <x:row r="420">
      <x:c r="A420" s="27" t="str">
        <x:v>E00416</x:v>
      </x:c>
      <x:c r="B420" s="27" t="str">
        <x:v>S07-ARTS-01:GROUND</x:v>
      </x:c>
      <x:c r="C420" s="27" t="str">
        <x:v>G3 — Shared reference and symbol</x:v>
      </x:c>
      <x:c r="D420" s="27" t="str">
        <x:v>GROUNDED_BY</x:v>
      </x:c>
      <x:c r="E420" s="27" t="str">
        <x:v>S07-ARTS-01</x:v>
      </x:c>
      <x:c r="F420" s="27" t="str">
        <x:v>Short rhythm echo</x:v>
      </x:c>
      <x:c r="G420" s="27" t="str">
        <x:v>S07</x:v>
      </x:c>
      <x:c r="H420" s="27" t="str">
        <x:v>Music &amp; Arts</x:v>
      </x:c>
      <x:c r="I420" s="27" t="str">
        <x:v>SRC02; SRC13</x:v>
      </x:c>
      <x:c r="J420" s="27" t="str">
        <x:v>Grounding form used to preserve meaning.</x:v>
      </x:c>
    </x:row>
    <x:row r="421">
      <x:c r="A421" s="27" t="str">
        <x:v>E00417</x:v>
      </x:c>
      <x:c r="B421" s="27" t="str">
        <x:v>S07-ARTS-01</x:v>
      </x:c>
      <x:c r="C421" s="27" t="str">
        <x:v>Short rhythm echo</x:v>
      </x:c>
      <x:c r="D421" s="27" t="str">
        <x:v>CONNECTS_TO</x:v>
      </x:c>
      <x:c r="E421" s="27" t="str">
        <x:v>S07-ARTS-01:CROSS</x:v>
      </x:c>
      <x:c r="F421" s="27" t="str">
        <x:v>Sensory discrimination; motor timing; language/prosody; mathematics/pattern; history/culture; emotion, design, and technology.</x:v>
      </x:c>
      <x:c r="G421" s="27" t="str">
        <x:v>S07</x:v>
      </x:c>
      <x:c r="H421" s="27" t="str">
        <x:v>Music &amp; Arts</x:v>
      </x:c>
      <x:c r="I421" s="27" t="str">
        <x:v>SRC02; SRC13</x:v>
      </x:c>
      <x:c r="J421" s="27" t="str">
        <x:v>Parallel subject and representation links.</x:v>
      </x:c>
    </x:row>
    <x:row r="422">
      <x:c r="A422" s="27" t="str">
        <x:v>E00418</x:v>
      </x:c>
      <x:c r="B422" s="27" t="str">
        <x:v>S07-ARTS-01</x:v>
      </x:c>
      <x:c r="C422" s="27" t="str">
        <x:v>Short rhythm echo</x:v>
      </x:c>
      <x:c r="D422" s="27" t="str">
        <x:v>UNLOCKS</x:v>
      </x:c>
      <x:c r="E422" s="27" t="str">
        <x:v>S07-ARTS-01:NEXT</x:v>
      </x:c>
      <x:c r="F422" s="27" t="str">
        <x:v>Echoing isolates sequence, duration, and repetition for later rhythm literacy.</x:v>
      </x:c>
      <x:c r="G422" s="27" t="str">
        <x:v>S07</x:v>
      </x:c>
      <x:c r="H422" s="27" t="str">
        <x:v>Music &amp; Arts</x:v>
      </x:c>
      <x:c r="I422" s="27" t="str">
        <x:v>SRC02; SRC13</x:v>
      </x:c>
      <x:c r="J422" s="27" t="str">
        <x:v>Outgoing use and placement rationale.</x:v>
      </x:c>
    </x:row>
    <x:row r="423">
      <x:c r="A423" s="27" t="str">
        <x:v>E00419</x:v>
      </x:c>
      <x:c r="B423" s="27" t="str">
        <x:v>S07-ARTS-01</x:v>
      </x:c>
      <x:c r="C423" s="27" t="str">
        <x:v>Short rhythm echo</x:v>
      </x:c>
      <x:c r="D423" s="27" t="str">
        <x:v>VERIFIED_BY</x:v>
      </x:c>
      <x:c r="E423" s="27" t="str">
        <x:v>S07-ARTS-01:EVIDENCE</x:v>
      </x:c>
      <x:c r="F423" s="27" t="str">
        <x:v>Copies a two- or three-event tap, clap, step, or syllable pattern.</x:v>
      </x:c>
      <x:c r="G423" s="27" t="str">
        <x:v>S07</x:v>
      </x:c>
      <x:c r="H423" s="27" t="str">
        <x:v>Music &amp; Arts</x:v>
      </x:c>
      <x:c r="I423" s="27" t="str">
        <x:v>SRC02; SRC13</x:v>
      </x:c>
      <x:c r="J423" s="27" t="str">
        <x:v>Observable evidence of usable learning.</x:v>
      </x:c>
    </x:row>
    <x:row r="424">
      <x:c r="A424" s="27" t="str">
        <x:v>E00420</x:v>
      </x:c>
      <x:c r="B424" s="27" t="str">
        <x:v>S06-HLTH-01</x:v>
      </x:c>
      <x:c r="C424" s="27" t="str">
        <x:v>Previous node in domain progression</x:v>
      </x:c>
      <x:c r="D424" s="27" t="str">
        <x:v>DOMAIN_SEQUENCE</x:v>
      </x:c>
      <x:c r="E424" s="27" t="str">
        <x:v>S07-HLTH-01</x:v>
      </x:c>
      <x:c r="F424" s="27" t="str">
        <x:v>Walking, carrying, and changing direction</x:v>
      </x:c>
      <x:c r="G424" s="27" t="str">
        <x:v>S07</x:v>
      </x:c>
      <x:c r="H424" s="27" t="str">
        <x:v>Physical &amp; Health</x:v>
      </x:c>
      <x:c r="I424" s="27" t="str">
        <x:v>SRC03; SRC14</x:v>
      </x:c>
      <x:c r="J424" s="27" t="str">
        <x:v>Ordered spiral link; consult explicit prerequisites for logical dependency.</x:v>
      </x:c>
    </x:row>
    <x:row r="425">
      <x:c r="A425" s="27" t="str">
        <x:v>E00421</x:v>
      </x:c>
      <x:c r="B425" s="27" t="str">
        <x:v>S07-HLTH-01:PREREQ</x:v>
      </x:c>
      <x:c r="C425" s="27" t="str">
        <x:v>Self-directed locomotion, balance, and spatial awareness.</x:v>
      </x:c>
      <x:c r="D425" s="27" t="str">
        <x:v>PREREQUISITE</x:v>
      </x:c>
      <x:c r="E425" s="27" t="str">
        <x:v>S07-HLTH-01</x:v>
      </x:c>
      <x:c r="F425" s="27" t="str">
        <x:v>Walking, carrying, and changing direction</x:v>
      </x:c>
      <x:c r="G425" s="27" t="str">
        <x:v>S07</x:v>
      </x:c>
      <x:c r="H425" s="27" t="str">
        <x:v>Physical &amp; Health</x:v>
      </x:c>
      <x:c r="I425" s="27" t="str">
        <x:v>SRC03; SRC14</x:v>
      </x:c>
      <x:c r="J425" s="27" t="str">
        <x:v>Incoming prerequisite relationship.</x:v>
      </x:c>
    </x:row>
    <x:row r="426">
      <x:c r="A426" s="27" t="str">
        <x:v>E00422</x:v>
      </x:c>
      <x:c r="B426" s="27" t="str">
        <x:v>S07-HLTH-01:GROUND</x:v>
      </x:c>
      <x:c r="C426" s="27" t="str">
        <x:v>G3 — Shared reference and symbol</x:v>
      </x:c>
      <x:c r="D426" s="27" t="str">
        <x:v>GROUNDED_BY</x:v>
      </x:c>
      <x:c r="E426" s="27" t="str">
        <x:v>S07-HLTH-01</x:v>
      </x:c>
      <x:c r="F426" s="27" t="str">
        <x:v>Walking, carrying, and changing direction</x:v>
      </x:c>
      <x:c r="G426" s="27" t="str">
        <x:v>S07</x:v>
      </x:c>
      <x:c r="H426" s="27" t="str">
        <x:v>Physical &amp; Health</x:v>
      </x:c>
      <x:c r="I426" s="27" t="str">
        <x:v>SRC03; SRC14</x:v>
      </x:c>
      <x:c r="J426" s="27" t="str">
        <x:v>Grounding form used to preserve meaning.</x:v>
      </x:c>
    </x:row>
    <x:row r="427">
      <x:c r="A427" s="27" t="str">
        <x:v>E00423</x:v>
      </x:c>
      <x:c r="B427" s="27" t="str">
        <x:v>S07-HLTH-01</x:v>
      </x:c>
      <x:c r="C427" s="27" t="str">
        <x:v>Walking, carrying, and changing direction</x:v>
      </x:c>
      <x:c r="D427" s="27" t="str">
        <x:v>CONNECTS_TO</x:v>
      </x:c>
      <x:c r="E427" s="27" t="str">
        <x:v>S07-HLTH-01:CROSS</x:v>
      </x:c>
      <x:c r="F427" s="27" t="str">
        <x:v>Motor/sensory development; life science; measurement/data; SEL/self-management; communication, safety, and decision-making.</x:v>
      </x:c>
      <x:c r="G427" s="27" t="str">
        <x:v>S07</x:v>
      </x:c>
      <x:c r="H427" s="27" t="str">
        <x:v>Physical &amp; Health</x:v>
      </x:c>
      <x:c r="I427" s="27" t="str">
        <x:v>SRC03; SRC14</x:v>
      </x:c>
      <x:c r="J427" s="27" t="str">
        <x:v>Parallel subject and representation links.</x:v>
      </x:c>
    </x:row>
    <x:row r="428">
      <x:c r="A428" s="27" t="str">
        <x:v>E00424</x:v>
      </x:c>
      <x:c r="B428" s="27" t="str">
        <x:v>S07-HLTH-01</x:v>
      </x:c>
      <x:c r="C428" s="27" t="str">
        <x:v>Walking, carrying, and changing direction</x:v>
      </x:c>
      <x:c r="D428" s="27" t="str">
        <x:v>UNLOCKS</x:v>
      </x:c>
      <x:c r="E428" s="27" t="str">
        <x:v>S07-HLTH-01:NEXT</x:v>
      </x:c>
      <x:c r="F428" s="27" t="str">
        <x:v>Controlled locomotion supports outdoor inquiry, games, dance, and classroom independence.</x:v>
      </x:c>
      <x:c r="G428" s="27" t="str">
        <x:v>S07</x:v>
      </x:c>
      <x:c r="H428" s="27" t="str">
        <x:v>Physical &amp; Health</x:v>
      </x:c>
      <x:c r="I428" s="27" t="str">
        <x:v>SRC03; SRC14</x:v>
      </x:c>
      <x:c r="J428" s="27" t="str">
        <x:v>Outgoing use and placement rationale.</x:v>
      </x:c>
    </x:row>
    <x:row r="429">
      <x:c r="A429" s="27" t="str">
        <x:v>E00425</x:v>
      </x:c>
      <x:c r="B429" s="27" t="str">
        <x:v>S07-HLTH-01</x:v>
      </x:c>
      <x:c r="C429" s="27" t="str">
        <x:v>Walking, carrying, and changing direction</x:v>
      </x:c>
      <x:c r="D429" s="27" t="str">
        <x:v>VERIFIED_BY</x:v>
      </x:c>
      <x:c r="E429" s="27" t="str">
        <x:v>S07-HLTH-01:EVIDENCE</x:v>
      </x:c>
      <x:c r="F429" s="27" t="str">
        <x:v>Moves to a destination, changes direction, and carries or pushes an object safely.</x:v>
      </x:c>
      <x:c r="G429" s="27" t="str">
        <x:v>S07</x:v>
      </x:c>
      <x:c r="H429" s="27" t="str">
        <x:v>Physical &amp; Health</x:v>
      </x:c>
      <x:c r="I429" s="27" t="str">
        <x:v>SRC03; SRC14</x:v>
      </x:c>
      <x:c r="J429" s="27" t="str">
        <x:v>Observable evidence of usable learning.</x:v>
      </x:c>
    </x:row>
    <x:row r="430">
      <x:c r="A430" s="27" t="str">
        <x:v>E00426</x:v>
      </x:c>
      <x:c r="B430" s="27" t="str">
        <x:v>S07-LEARN-02</x:v>
      </x:c>
      <x:c r="C430" s="27" t="str">
        <x:v>Previous node in domain progression</x:v>
      </x:c>
      <x:c r="D430" s="27" t="str">
        <x:v>DOMAIN_SEQUENCE</x:v>
      </x:c>
      <x:c r="E430" s="27" t="str">
        <x:v>S08-LEARN-01</x:v>
      </x:c>
      <x:c r="F430" s="27" t="str">
        <x:v>Sorting by one visible attribute</x:v>
      </x:c>
      <x:c r="G430" s="27" t="str">
        <x:v>S08</x:v>
      </x:c>
      <x:c r="H430" s="27" t="str">
        <x:v>Learning Foundations</x:v>
      </x:c>
      <x:c r="I430" s="27" t="str">
        <x:v>SRC02; SRC07</x:v>
      </x:c>
      <x:c r="J430" s="27" t="str">
        <x:v>Ordered spiral link; consult explicit prerequisites for logical dependency.</x:v>
      </x:c>
    </x:row>
    <x:row r="431">
      <x:c r="A431" s="27" t="str">
        <x:v>E00427</x:v>
      </x:c>
      <x:c r="B431" s="27" t="str">
        <x:v>S08-LEARN-01:PREREQ</x:v>
      </x:c>
      <x:c r="C431" s="27" t="str">
        <x:v>Exact matching, category formation, and comparison words.</x:v>
      </x:c>
      <x:c r="D431" s="27" t="str">
        <x:v>PREREQUISITE</x:v>
      </x:c>
      <x:c r="E431" s="27" t="str">
        <x:v>S08-LEARN-01</x:v>
      </x:c>
      <x:c r="F431" s="27" t="str">
        <x:v>Sorting by one visible attribute</x:v>
      </x:c>
      <x:c r="G431" s="27" t="str">
        <x:v>S08</x:v>
      </x:c>
      <x:c r="H431" s="27" t="str">
        <x:v>Learning Foundations</x:v>
      </x:c>
      <x:c r="I431" s="27" t="str">
        <x:v>SRC02; SRC07</x:v>
      </x:c>
      <x:c r="J431" s="27" t="str">
        <x:v>Incoming prerequisite relationship.</x:v>
      </x:c>
    </x:row>
    <x:row r="432">
      <x:c r="A432" s="27" t="str">
        <x:v>E00428</x:v>
      </x:c>
      <x:c r="B432" s="27" t="str">
        <x:v>S08-LEARN-01:GROUND</x:v>
      </x:c>
      <x:c r="C432" s="27" t="str">
        <x:v>G3 — Shared reference and symbol</x:v>
      </x:c>
      <x:c r="D432" s="27" t="str">
        <x:v>GROUNDED_BY</x:v>
      </x:c>
      <x:c r="E432" s="27" t="str">
        <x:v>S08-LEARN-01</x:v>
      </x:c>
      <x:c r="F432" s="27" t="str">
        <x:v>Sorting by one visible attribute</x:v>
      </x:c>
      <x:c r="G432" s="27" t="str">
        <x:v>S08</x:v>
      </x:c>
      <x:c r="H432" s="27" t="str">
        <x:v>Learning Foundations</x:v>
      </x:c>
      <x:c r="I432" s="27" t="str">
        <x:v>SRC02; SRC07</x:v>
      </x:c>
      <x:c r="J432" s="27" t="str">
        <x:v>Grounding form used to preserve meaning.</x:v>
      </x:c>
    </x:row>
    <x:row r="433">
      <x:c r="A433" s="27" t="str">
        <x:v>E00429</x:v>
      </x:c>
      <x:c r="B433" s="27" t="str">
        <x:v>S08-LEARN-01</x:v>
      </x:c>
      <x:c r="C433" s="27" t="str">
        <x:v>Sorting by one visible attribute</x:v>
      </x:c>
      <x:c r="D433" s="27" t="str">
        <x:v>CONNECTS_TO</x:v>
      </x:c>
      <x:c r="E433" s="27" t="str">
        <x:v>S08-LEARN-01:CROSS</x:v>
      </x:c>
      <x:c r="F433" s="27" t="str">
        <x:v>All domains: attention, memory, strategy choice, monitoring, retrieval, and transfer.</x:v>
      </x:c>
      <x:c r="G433" s="27" t="str">
        <x:v>S08</x:v>
      </x:c>
      <x:c r="H433" s="27" t="str">
        <x:v>Learning Foundations</x:v>
      </x:c>
      <x:c r="I433" s="27" t="str">
        <x:v>SRC02; SRC07</x:v>
      </x:c>
      <x:c r="J433" s="27" t="str">
        <x:v>Parallel subject and representation links.</x:v>
      </x:c>
    </x:row>
    <x:row r="434">
      <x:c r="A434" s="27" t="str">
        <x:v>E00430</x:v>
      </x:c>
      <x:c r="B434" s="27" t="str">
        <x:v>S08-LEARN-01</x:v>
      </x:c>
      <x:c r="C434" s="27" t="str">
        <x:v>Sorting by one visible attribute</x:v>
      </x:c>
      <x:c r="D434" s="27" t="str">
        <x:v>UNLOCKS</x:v>
      </x:c>
      <x:c r="E434" s="27" t="str">
        <x:v>S08-LEARN-01:NEXT</x:v>
      </x:c>
      <x:c r="F434" s="27" t="str">
        <x:v>One-rule sorting is the foundation for sets, data categories, scientific classification, and rule-based reasoning.</x:v>
      </x:c>
      <x:c r="G434" s="27" t="str">
        <x:v>S08</x:v>
      </x:c>
      <x:c r="H434" s="27" t="str">
        <x:v>Learning Foundations</x:v>
      </x:c>
      <x:c r="I434" s="27" t="str">
        <x:v>SRC02; SRC07</x:v>
      </x:c>
      <x:c r="J434" s="27" t="str">
        <x:v>Outgoing use and placement rationale.</x:v>
      </x:c>
    </x:row>
    <x:row r="435">
      <x:c r="A435" s="27" t="str">
        <x:v>E00431</x:v>
      </x:c>
      <x:c r="B435" s="27" t="str">
        <x:v>S08-LEARN-01</x:v>
      </x:c>
      <x:c r="C435" s="27" t="str">
        <x:v>Sorting by one visible attribute</x:v>
      </x:c>
      <x:c r="D435" s="27" t="str">
        <x:v>VERIFIED_BY</x:v>
      </x:c>
      <x:c r="E435" s="27" t="str">
        <x:v>S08-LEARN-01:EVIDENCE</x:v>
      </x:c>
      <x:c r="F435" s="27" t="str">
        <x:v>Sorts a mixed collection into two or more consistent groups and can indicate the rule.</x:v>
      </x:c>
      <x:c r="G435" s="27" t="str">
        <x:v>S08</x:v>
      </x:c>
      <x:c r="H435" s="27" t="str">
        <x:v>Learning Foundations</x:v>
      </x:c>
      <x:c r="I435" s="27" t="str">
        <x:v>SRC02; SRC07</x:v>
      </x:c>
      <x:c r="J435" s="27" t="str">
        <x:v>Observable evidence of usable learning.</x:v>
      </x:c>
    </x:row>
    <x:row r="436">
      <x:c r="A436" s="27" t="str">
        <x:v>E00432</x:v>
      </x:c>
      <x:c r="B436" s="27" t="str">
        <x:v>S08-LEARN-01</x:v>
      </x:c>
      <x:c r="C436" s="27" t="str">
        <x:v>Previous node in domain progression</x:v>
      </x:c>
      <x:c r="D436" s="27" t="str">
        <x:v>DOMAIN_SEQUENCE</x:v>
      </x:c>
      <x:c r="E436" s="27" t="str">
        <x:v>S08-LEARN-02</x:v>
      </x:c>
      <x:c r="F436" s="27" t="str">
        <x:v>Short task persistence</x:v>
      </x:c>
      <x:c r="G436" s="27" t="str">
        <x:v>S08</x:v>
      </x:c>
      <x:c r="H436" s="27" t="str">
        <x:v>Learning Foundations</x:v>
      </x:c>
      <x:c r="I436" s="27" t="str">
        <x:v>SRC02; SRC05; SRC18</x:v>
      </x:c>
      <x:c r="J436" s="27" t="str">
        <x:v>Ordered spiral link; consult explicit prerequisites for logical dependency.</x:v>
      </x:c>
    </x:row>
    <x:row r="437">
      <x:c r="A437" s="27" t="str">
        <x:v>E00433</x:v>
      </x:c>
      <x:c r="B437" s="27" t="str">
        <x:v>S08-LEARN-02:PREREQ</x:v>
      </x:c>
      <x:c r="C437" s="27" t="str">
        <x:v>Agency, working memory, and manageable regulation.</x:v>
      </x:c>
      <x:c r="D437" s="27" t="str">
        <x:v>PREREQUISITE</x:v>
      </x:c>
      <x:c r="E437" s="27" t="str">
        <x:v>S08-LEARN-02</x:v>
      </x:c>
      <x:c r="F437" s="27" t="str">
        <x:v>Short task persistence</x:v>
      </x:c>
      <x:c r="G437" s="27" t="str">
        <x:v>S08</x:v>
      </x:c>
      <x:c r="H437" s="27" t="str">
        <x:v>Learning Foundations</x:v>
      </x:c>
      <x:c r="I437" s="27" t="str">
        <x:v>SRC02; SRC05; SRC18</x:v>
      </x:c>
      <x:c r="J437" s="27" t="str">
        <x:v>Incoming prerequisite relationship.</x:v>
      </x:c>
    </x:row>
    <x:row r="438">
      <x:c r="A438" s="27" t="str">
        <x:v>E00434</x:v>
      </x:c>
      <x:c r="B438" s="27" t="str">
        <x:v>S08-LEARN-02:GROUND</x:v>
      </x:c>
      <x:c r="C438" s="27" t="str">
        <x:v>G3 — Shared reference and symbol</x:v>
      </x:c>
      <x:c r="D438" s="27" t="str">
        <x:v>GROUNDED_BY</x:v>
      </x:c>
      <x:c r="E438" s="27" t="str">
        <x:v>S08-LEARN-02</x:v>
      </x:c>
      <x:c r="F438" s="27" t="str">
        <x:v>Short task persistence</x:v>
      </x:c>
      <x:c r="G438" s="27" t="str">
        <x:v>S08</x:v>
      </x:c>
      <x:c r="H438" s="27" t="str">
        <x:v>Learning Foundations</x:v>
      </x:c>
      <x:c r="I438" s="27" t="str">
        <x:v>SRC02; SRC05; SRC18</x:v>
      </x:c>
      <x:c r="J438" s="27" t="str">
        <x:v>Grounding form used to preserve meaning.</x:v>
      </x:c>
    </x:row>
    <x:row r="439">
      <x:c r="A439" s="27" t="str">
        <x:v>E00435</x:v>
      </x:c>
      <x:c r="B439" s="27" t="str">
        <x:v>S08-LEARN-02</x:v>
      </x:c>
      <x:c r="C439" s="27" t="str">
        <x:v>Short task persistence</x:v>
      </x:c>
      <x:c r="D439" s="27" t="str">
        <x:v>CONNECTS_TO</x:v>
      </x:c>
      <x:c r="E439" s="27" t="str">
        <x:v>S08-LEARN-02:CROSS</x:v>
      </x:c>
      <x:c r="F439" s="27" t="str">
        <x:v>All domains: attention, memory, strategy choice, monitoring, retrieval, and transfer.</x:v>
      </x:c>
      <x:c r="G439" s="27" t="str">
        <x:v>S08</x:v>
      </x:c>
      <x:c r="H439" s="27" t="str">
        <x:v>Learning Foundations</x:v>
      </x:c>
      <x:c r="I439" s="27" t="str">
        <x:v>SRC02; SRC05; SRC18</x:v>
      </x:c>
      <x:c r="J439" s="27" t="str">
        <x:v>Parallel subject and representation links.</x:v>
      </x:c>
    </x:row>
    <x:row r="440">
      <x:c r="A440" s="27" t="str">
        <x:v>E00436</x:v>
      </x:c>
      <x:c r="B440" s="27" t="str">
        <x:v>S08-LEARN-02</x:v>
      </x:c>
      <x:c r="C440" s="27" t="str">
        <x:v>Short task persistence</x:v>
      </x:c>
      <x:c r="D440" s="27" t="str">
        <x:v>UNLOCKS</x:v>
      </x:c>
      <x:c r="E440" s="27" t="str">
        <x:v>S08-LEARN-02:NEXT</x:v>
      </x:c>
      <x:c r="F440" s="27" t="str">
        <x:v>Persistence makes multi-step learning and error correction possible.</x:v>
      </x:c>
      <x:c r="G440" s="27" t="str">
        <x:v>S08</x:v>
      </x:c>
      <x:c r="H440" s="27" t="str">
        <x:v>Learning Foundations</x:v>
      </x:c>
      <x:c r="I440" s="27" t="str">
        <x:v>SRC02; SRC05; SRC18</x:v>
      </x:c>
      <x:c r="J440" s="27" t="str">
        <x:v>Outgoing use and placement rationale.</x:v>
      </x:c>
    </x:row>
    <x:row r="441">
      <x:c r="A441" s="27" t="str">
        <x:v>E00437</x:v>
      </x:c>
      <x:c r="B441" s="27" t="str">
        <x:v>S08-LEARN-02</x:v>
      </x:c>
      <x:c r="C441" s="27" t="str">
        <x:v>Short task persistence</x:v>
      </x:c>
      <x:c r="D441" s="27" t="str">
        <x:v>VERIFIED_BY</x:v>
      </x:c>
      <x:c r="E441" s="27" t="str">
        <x:v>S08-LEARN-02:EVIDENCE</x:v>
      </x:c>
      <x:c r="F441" s="27" t="str">
        <x:v>Returns to or continues a task after a small difficulty.</x:v>
      </x:c>
      <x:c r="G441" s="27" t="str">
        <x:v>S08</x:v>
      </x:c>
      <x:c r="H441" s="27" t="str">
        <x:v>Learning Foundations</x:v>
      </x:c>
      <x:c r="I441" s="27" t="str">
        <x:v>SRC02; SRC05; SRC18</x:v>
      </x:c>
      <x:c r="J441" s="27" t="str">
        <x:v>Observable evidence of usable learning.</x:v>
      </x:c>
    </x:row>
    <x:row r="442">
      <x:c r="A442" s="27" t="str">
        <x:v>E00438</x:v>
      </x:c>
      <x:c r="B442" s="27" t="str">
        <x:v>S07-SEL-02</x:v>
      </x:c>
      <x:c r="C442" s="27" t="str">
        <x:v>Previous node in domain progression</x:v>
      </x:c>
      <x:c r="D442" s="27" t="str">
        <x:v>DOMAIN_SEQUENCE</x:v>
      </x:c>
      <x:c r="E442" s="27" t="str">
        <x:v>S08-SEL-01</x:v>
      </x:c>
      <x:c r="F442" s="27" t="str">
        <x:v>Shared routine participation</x:v>
      </x:c>
      <x:c r="G442" s="27" t="str">
        <x:v>S08</x:v>
      </x:c>
      <x:c r="H442" s="27" t="str">
        <x:v>Social-Emotional</x:v>
      </x:c>
      <x:c r="I442" s="27" t="str">
        <x:v>SRC02; SRC18</x:v>
      </x:c>
      <x:c r="J442" s="27" t="str">
        <x:v>Ordered spiral link; consult explicit prerequisites for logical dependency.</x:v>
      </x:c>
    </x:row>
    <x:row r="443">
      <x:c r="A443" s="27" t="str">
        <x:v>E00439</x:v>
      </x:c>
      <x:c r="B443" s="27" t="str">
        <x:v>S08-SEL-01:PREREQ</x:v>
      </x:c>
      <x:c r="C443" s="27" t="str">
        <x:v>Turn exchange and one-rule inhibition.</x:v>
      </x:c>
      <x:c r="D443" s="27" t="str">
        <x:v>PREREQUISITE</x:v>
      </x:c>
      <x:c r="E443" s="27" t="str">
        <x:v>S08-SEL-01</x:v>
      </x:c>
      <x:c r="F443" s="27" t="str">
        <x:v>Shared routine participation</x:v>
      </x:c>
      <x:c r="G443" s="27" t="str">
        <x:v>S08</x:v>
      </x:c>
      <x:c r="H443" s="27" t="str">
        <x:v>Social-Emotional</x:v>
      </x:c>
      <x:c r="I443" s="27" t="str">
        <x:v>SRC02; SRC18</x:v>
      </x:c>
      <x:c r="J443" s="27" t="str">
        <x:v>Incoming prerequisite relationship.</x:v>
      </x:c>
    </x:row>
    <x:row r="444">
      <x:c r="A444" s="27" t="str">
        <x:v>E00440</x:v>
      </x:c>
      <x:c r="B444" s="27" t="str">
        <x:v>S08-SEL-01:GROUND</x:v>
      </x:c>
      <x:c r="C444" s="27" t="str">
        <x:v>G3 — Shared reference and symbol</x:v>
      </x:c>
      <x:c r="D444" s="27" t="str">
        <x:v>GROUNDED_BY</x:v>
      </x:c>
      <x:c r="E444" s="27" t="str">
        <x:v>S08-SEL-01</x:v>
      </x:c>
      <x:c r="F444" s="27" t="str">
        <x:v>Shared routine participation</x:v>
      </x:c>
      <x:c r="G444" s="27" t="str">
        <x:v>S08</x:v>
      </x:c>
      <x:c r="H444" s="27" t="str">
        <x:v>Social-Emotional</x:v>
      </x:c>
      <x:c r="I444" s="27" t="str">
        <x:v>SRC02; SRC18</x:v>
      </x:c>
      <x:c r="J444" s="27" t="str">
        <x:v>Grounding form used to preserve meaning.</x:v>
      </x:c>
    </x:row>
    <x:row r="445">
      <x:c r="A445" s="27" t="str">
        <x:v>E00441</x:v>
      </x:c>
      <x:c r="B445" s="27" t="str">
        <x:v>S08-SEL-01</x:v>
      </x:c>
      <x:c r="C445" s="27" t="str">
        <x:v>Shared routine participation</x:v>
      </x:c>
      <x:c r="D445" s="27" t="str">
        <x:v>CONNECTS_TO</x:v>
      </x:c>
      <x:c r="E445" s="27" t="str">
        <x:v>S08-SEL-01:CROSS</x:v>
      </x:c>
      <x:c r="F445" s="27" t="str">
        <x:v>Language and communication; health; collaboration in science, arts, civics, and projects; responsible digital/financial decisions.</x:v>
      </x:c>
      <x:c r="G445" s="27" t="str">
        <x:v>S08</x:v>
      </x:c>
      <x:c r="H445" s="27" t="str">
        <x:v>Social-Emotional</x:v>
      </x:c>
      <x:c r="I445" s="27" t="str">
        <x:v>SRC02; SRC18</x:v>
      </x:c>
      <x:c r="J445" s="27" t="str">
        <x:v>Parallel subject and representation links.</x:v>
      </x:c>
    </x:row>
    <x:row r="446">
      <x:c r="A446" s="27" t="str">
        <x:v>E00442</x:v>
      </x:c>
      <x:c r="B446" s="27" t="str">
        <x:v>S08-SEL-01</x:v>
      </x:c>
      <x:c r="C446" s="27" t="str">
        <x:v>Shared routine participation</x:v>
      </x:c>
      <x:c r="D446" s="27" t="str">
        <x:v>UNLOCKS</x:v>
      </x:c>
      <x:c r="E446" s="27" t="str">
        <x:v>S08-SEL-01:NEXT</x:v>
      </x:c>
      <x:c r="F446" s="27" t="str">
        <x:v>Shared routines prepare classroom participation, games, ensemble performance, and collaborative inquiry.</x:v>
      </x:c>
      <x:c r="G446" s="27" t="str">
        <x:v>S08</x:v>
      </x:c>
      <x:c r="H446" s="27" t="str">
        <x:v>Social-Emotional</x:v>
      </x:c>
      <x:c r="I446" s="27" t="str">
        <x:v>SRC02; SRC18</x:v>
      </x:c>
      <x:c r="J446" s="27" t="str">
        <x:v>Outgoing use and placement rationale.</x:v>
      </x:c>
    </x:row>
    <x:row r="447">
      <x:c r="A447" s="27" t="str">
        <x:v>E00443</x:v>
      </x:c>
      <x:c r="B447" s="27" t="str">
        <x:v>S08-SEL-01</x:v>
      </x:c>
      <x:c r="C447" s="27" t="str">
        <x:v>Shared routine participation</x:v>
      </x:c>
      <x:c r="D447" s="27" t="str">
        <x:v>VERIFIED_BY</x:v>
      </x:c>
      <x:c r="E447" s="27" t="str">
        <x:v>S08-SEL-01:EVIDENCE</x:v>
      </x:c>
      <x:c r="F447" s="27" t="str">
        <x:v>Joins a cleanup, song, meal, or group transition and follows the central action.</x:v>
      </x:c>
      <x:c r="G447" s="27" t="str">
        <x:v>S08</x:v>
      </x:c>
      <x:c r="H447" s="27" t="str">
        <x:v>Social-Emotional</x:v>
      </x:c>
      <x:c r="I447" s="27" t="str">
        <x:v>SRC02; SRC18</x:v>
      </x:c>
      <x:c r="J447" s="27" t="str">
        <x:v>Observable evidence of usable learning.</x:v>
      </x:c>
    </x:row>
    <x:row r="448">
      <x:c r="A448" s="27" t="str">
        <x:v>E00444</x:v>
      </x:c>
      <x:c r="B448" s="27" t="str">
        <x:v>S07-LANG-02</x:v>
      </x:c>
      <x:c r="C448" s="27" t="str">
        <x:v>Previous node in domain progression</x:v>
      </x:c>
      <x:c r="D448" s="27" t="str">
        <x:v>DOMAIN_SEQUENCE</x:v>
      </x:c>
      <x:c r="E448" s="27" t="str">
        <x:v>S08-LANG-01</x:v>
      </x:c>
      <x:c r="F448" s="27" t="str">
        <x:v>Short sentences</x:v>
      </x:c>
      <x:c r="G448" s="27" t="str">
        <x:v>S08</x:v>
      </x:c>
      <x:c r="H448" s="27" t="str">
        <x:v>Language &amp; Communication</x:v>
      </x:c>
      <x:c r="I448" s="27" t="str">
        <x:v>SRC02; SRC03</x:v>
      </x:c>
      <x:c r="J448" s="27" t="str">
        <x:v>Ordered spiral link; consult explicit prerequisites for logical dependency.</x:v>
      </x:c>
    </x:row>
    <x:row r="449">
      <x:c r="A449" s="27" t="str">
        <x:v>E00445</x:v>
      </x:c>
      <x:c r="B449" s="27" t="str">
        <x:v>S08-LANG-01:PREREQ</x:v>
      </x:c>
      <x:c r="C449" s="27" t="str">
        <x:v>Two-word combinations and growing vocabulary.</x:v>
      </x:c>
      <x:c r="D449" s="27" t="str">
        <x:v>PREREQUISITE</x:v>
      </x:c>
      <x:c r="E449" s="27" t="str">
        <x:v>S08-LANG-01</x:v>
      </x:c>
      <x:c r="F449" s="27" t="str">
        <x:v>Short sentences</x:v>
      </x:c>
      <x:c r="G449" s="27" t="str">
        <x:v>S08</x:v>
      </x:c>
      <x:c r="H449" s="27" t="str">
        <x:v>Language &amp; Communication</x:v>
      </x:c>
      <x:c r="I449" s="27" t="str">
        <x:v>SRC02; SRC03</x:v>
      </x:c>
      <x:c r="J449" s="27" t="str">
        <x:v>Incoming prerequisite relationship.</x:v>
      </x:c>
    </x:row>
    <x:row r="450">
      <x:c r="A450" s="27" t="str">
        <x:v>E00446</x:v>
      </x:c>
      <x:c r="B450" s="27" t="str">
        <x:v>S08-LANG-01:GROUND</x:v>
      </x:c>
      <x:c r="C450" s="27" t="str">
        <x:v>G3 — Shared reference and symbol</x:v>
      </x:c>
      <x:c r="D450" s="27" t="str">
        <x:v>GROUNDED_BY</x:v>
      </x:c>
      <x:c r="E450" s="27" t="str">
        <x:v>S08-LANG-01</x:v>
      </x:c>
      <x:c r="F450" s="27" t="str">
        <x:v>Short sentences</x:v>
      </x:c>
      <x:c r="G450" s="27" t="str">
        <x:v>S08</x:v>
      </x:c>
      <x:c r="H450" s="27" t="str">
        <x:v>Language &amp; Communication</x:v>
      </x:c>
      <x:c r="I450" s="27" t="str">
        <x:v>SRC02; SRC03</x:v>
      </x:c>
      <x:c r="J450" s="27" t="str">
        <x:v>Grounding form used to preserve meaning.</x:v>
      </x:c>
    </x:row>
    <x:row r="451">
      <x:c r="A451" s="27" t="str">
        <x:v>E00447</x:v>
      </x:c>
      <x:c r="B451" s="27" t="str">
        <x:v>S08-LANG-01</x:v>
      </x:c>
      <x:c r="C451" s="27" t="str">
        <x:v>Short sentences</x:v>
      </x:c>
      <x:c r="D451" s="27" t="str">
        <x:v>CONNECTS_TO</x:v>
      </x:c>
      <x:c r="E451" s="27" t="str">
        <x:v>S08-LANG-01:CROSS</x:v>
      </x:c>
      <x:c r="F451" s="27" t="str">
        <x:v>Reading and writing; vocabulary for math/science/social studies; discussion, music prosody, and world-language learning.</x:v>
      </x:c>
      <x:c r="G451" s="27" t="str">
        <x:v>S08</x:v>
      </x:c>
      <x:c r="H451" s="27" t="str">
        <x:v>Language &amp; Communication</x:v>
      </x:c>
      <x:c r="I451" s="27" t="str">
        <x:v>SRC02; SRC03</x:v>
      </x:c>
      <x:c r="J451" s="27" t="str">
        <x:v>Parallel subject and representation links.</x:v>
      </x:c>
    </x:row>
    <x:row r="452">
      <x:c r="A452" s="27" t="str">
        <x:v>E00448</x:v>
      </x:c>
      <x:c r="B452" s="27" t="str">
        <x:v>S08-LANG-01</x:v>
      </x:c>
      <x:c r="C452" s="27" t="str">
        <x:v>Short sentences</x:v>
      </x:c>
      <x:c r="D452" s="27" t="str">
        <x:v>UNLOCKS</x:v>
      </x:c>
      <x:c r="E452" s="27" t="str">
        <x:v>S08-LANG-01:NEXT</x:v>
      </x:c>
      <x:c r="F452" s="27" t="str">
        <x:v>Sentence structure permits more exact relations, explanations, and narratives.</x:v>
      </x:c>
      <x:c r="G452" s="27" t="str">
        <x:v>S08</x:v>
      </x:c>
      <x:c r="H452" s="27" t="str">
        <x:v>Language &amp; Communication</x:v>
      </x:c>
      <x:c r="I452" s="27" t="str">
        <x:v>SRC02; SRC03</x:v>
      </x:c>
      <x:c r="J452" s="27" t="str">
        <x:v>Outgoing use and placement rationale.</x:v>
      </x:c>
    </x:row>
    <x:row r="453">
      <x:c r="A453" s="27" t="str">
        <x:v>E00449</x:v>
      </x:c>
      <x:c r="B453" s="27" t="str">
        <x:v>S08-LANG-01</x:v>
      </x:c>
      <x:c r="C453" s="27" t="str">
        <x:v>Short sentences</x:v>
      </x:c>
      <x:c r="D453" s="27" t="str">
        <x:v>VERIFIED_BY</x:v>
      </x:c>
      <x:c r="E453" s="27" t="str">
        <x:v>S08-LANG-01:EVIDENCE</x:v>
      </x:c>
      <x:c r="F453" s="27" t="str">
        <x:v>Produces understandable multiword messages across several functions.</x:v>
      </x:c>
      <x:c r="G453" s="27" t="str">
        <x:v>S08</x:v>
      </x:c>
      <x:c r="H453" s="27" t="str">
        <x:v>Language &amp; Communication</x:v>
      </x:c>
      <x:c r="I453" s="27" t="str">
        <x:v>SRC02; SRC03</x:v>
      </x:c>
      <x:c r="J453" s="27" t="str">
        <x:v>Observable evidence of usable learning.</x:v>
      </x:c>
    </x:row>
    <x:row r="454">
      <x:c r="A454" s="27" t="str">
        <x:v>E00450</x:v>
      </x:c>
      <x:c r="B454" s="27" t="str">
        <x:v>S08-LANG-01</x:v>
      </x:c>
      <x:c r="C454" s="27" t="str">
        <x:v>Previous node in domain progression</x:v>
      </x:c>
      <x:c r="D454" s="27" t="str">
        <x:v>DOMAIN_SEQUENCE</x:v>
      </x:c>
      <x:c r="E454" s="27" t="str">
        <x:v>S08-LANG-02</x:v>
      </x:c>
      <x:c r="F454" s="27" t="str">
        <x:v>Question-and-answer exchange</x:v>
      </x:c>
      <x:c r="G454" s="27" t="str">
        <x:v>S08</x:v>
      </x:c>
      <x:c r="H454" s="27" t="str">
        <x:v>Language &amp; Communication</x:v>
      </x:c>
      <x:c r="I454" s="27" t="str">
        <x:v>SRC02</x:v>
      </x:c>
      <x:c r="J454" s="27" t="str">
        <x:v>Ordered spiral link; consult explicit prerequisites for logical dependency.</x:v>
      </x:c>
    </x:row>
    <x:row r="455">
      <x:c r="A455" s="27" t="str">
        <x:v>E00451</x:v>
      </x:c>
      <x:c r="B455" s="27" t="str">
        <x:v>S08-LANG-02:PREREQ</x:v>
      </x:c>
      <x:c r="C455" s="27" t="str">
        <x:v>Short sentences, joint attention, and turn exchange.</x:v>
      </x:c>
      <x:c r="D455" s="27" t="str">
        <x:v>PREREQUISITE</x:v>
      </x:c>
      <x:c r="E455" s="27" t="str">
        <x:v>S08-LANG-02</x:v>
      </x:c>
      <x:c r="F455" s="27" t="str">
        <x:v>Question-and-answer exchange</x:v>
      </x:c>
      <x:c r="G455" s="27" t="str">
        <x:v>S08</x:v>
      </x:c>
      <x:c r="H455" s="27" t="str">
        <x:v>Language &amp; Communication</x:v>
      </x:c>
      <x:c r="I455" s="27" t="str">
        <x:v>SRC02</x:v>
      </x:c>
      <x:c r="J455" s="27" t="str">
        <x:v>Incoming prerequisite relationship.</x:v>
      </x:c>
    </x:row>
    <x:row r="456">
      <x:c r="A456" s="27" t="str">
        <x:v>E00452</x:v>
      </x:c>
      <x:c r="B456" s="27" t="str">
        <x:v>S08-LANG-02:GROUND</x:v>
      </x:c>
      <x:c r="C456" s="27" t="str">
        <x:v>G3 — Shared reference and symbol</x:v>
      </x:c>
      <x:c r="D456" s="27" t="str">
        <x:v>GROUNDED_BY</x:v>
      </x:c>
      <x:c r="E456" s="27" t="str">
        <x:v>S08-LANG-02</x:v>
      </x:c>
      <x:c r="F456" s="27" t="str">
        <x:v>Question-and-answer exchange</x:v>
      </x:c>
      <x:c r="G456" s="27" t="str">
        <x:v>S08</x:v>
      </x:c>
      <x:c r="H456" s="27" t="str">
        <x:v>Language &amp; Communication</x:v>
      </x:c>
      <x:c r="I456" s="27" t="str">
        <x:v>SRC02</x:v>
      </x:c>
      <x:c r="J456" s="27" t="str">
        <x:v>Grounding form used to preserve meaning.</x:v>
      </x:c>
    </x:row>
    <x:row r="457">
      <x:c r="A457" s="27" t="str">
        <x:v>E00453</x:v>
      </x:c>
      <x:c r="B457" s="27" t="str">
        <x:v>S08-LANG-02</x:v>
      </x:c>
      <x:c r="C457" s="27" t="str">
        <x:v>Question-and-answer exchange</x:v>
      </x:c>
      <x:c r="D457" s="27" t="str">
        <x:v>CONNECTS_TO</x:v>
      </x:c>
      <x:c r="E457" s="27" t="str">
        <x:v>S08-LANG-02:CROSS</x:v>
      </x:c>
      <x:c r="F457" s="27" t="str">
        <x:v>Reading and writing; vocabulary for math/science/social studies; discussion, music prosody, and world-language learning.</x:v>
      </x:c>
      <x:c r="G457" s="27" t="str">
        <x:v>S08</x:v>
      </x:c>
      <x:c r="H457" s="27" t="str">
        <x:v>Language &amp; Communication</x:v>
      </x:c>
      <x:c r="I457" s="27" t="str">
        <x:v>SRC02</x:v>
      </x:c>
      <x:c r="J457" s="27" t="str">
        <x:v>Parallel subject and representation links.</x:v>
      </x:c>
    </x:row>
    <x:row r="458">
      <x:c r="A458" s="27" t="str">
        <x:v>E00454</x:v>
      </x:c>
      <x:c r="B458" s="27" t="str">
        <x:v>S08-LANG-02</x:v>
      </x:c>
      <x:c r="C458" s="27" t="str">
        <x:v>Question-and-answer exchange</x:v>
      </x:c>
      <x:c r="D458" s="27" t="str">
        <x:v>UNLOCKS</x:v>
      </x:c>
      <x:c r="E458" s="27" t="str">
        <x:v>S08-LANG-02:NEXT</x:v>
      </x:c>
      <x:c r="F458" s="27" t="str">
        <x:v>Questioning directs inquiry and requires maintaining the topic across turns.</x:v>
      </x:c>
      <x:c r="G458" s="27" t="str">
        <x:v>S08</x:v>
      </x:c>
      <x:c r="H458" s="27" t="str">
        <x:v>Language &amp; Communication</x:v>
      </x:c>
      <x:c r="I458" s="27" t="str">
        <x:v>SRC02</x:v>
      </x:c>
      <x:c r="J458" s="27" t="str">
        <x:v>Outgoing use and placement rationale.</x:v>
      </x:c>
    </x:row>
    <x:row r="459">
      <x:c r="A459" s="27" t="str">
        <x:v>E00455</x:v>
      </x:c>
      <x:c r="B459" s="27" t="str">
        <x:v>S08-LANG-02</x:v>
      </x:c>
      <x:c r="C459" s="27" t="str">
        <x:v>Question-and-answer exchange</x:v>
      </x:c>
      <x:c r="D459" s="27" t="str">
        <x:v>VERIFIED_BY</x:v>
      </x:c>
      <x:c r="E459" s="27" t="str">
        <x:v>S08-LANG-02:EVIDENCE</x:v>
      </x:c>
      <x:c r="F459" s="27" t="str">
        <x:v>Participates in at least two connected question-answer turns.</x:v>
      </x:c>
      <x:c r="G459" s="27" t="str">
        <x:v>S08</x:v>
      </x:c>
      <x:c r="H459" s="27" t="str">
        <x:v>Language &amp; Communication</x:v>
      </x:c>
      <x:c r="I459" s="27" t="str">
        <x:v>SRC02</x:v>
      </x:c>
      <x:c r="J459" s="27" t="str">
        <x:v>Observable evidence of usable learning.</x:v>
      </x:c>
    </x:row>
    <x:row r="460">
      <x:c r="A460" s="27" t="str">
        <x:v>E00456</x:v>
      </x:c>
      <x:c r="B460" s="27" t="str">
        <x:v>S08-READ-01:PREREQ</x:v>
      </x:c>
      <x:c r="C460" s="27" t="str">
        <x:v>Symbolic play, vocabulary, and joint attention.</x:v>
      </x:c>
      <x:c r="D460" s="27" t="str">
        <x:v>PREREQUISITE</x:v>
      </x:c>
      <x:c r="E460" s="27" t="str">
        <x:v>S08-READ-01</x:v>
      </x:c>
      <x:c r="F460" s="27" t="str">
        <x:v>Picture–meaning interpretation</x:v>
      </x:c>
      <x:c r="G460" s="27" t="str">
        <x:v>S08</x:v>
      </x:c>
      <x:c r="H460" s="27" t="str">
        <x:v>Reading</x:v>
      </x:c>
      <x:c r="I460" s="27" t="str">
        <x:v>SRC02; SRC10</x:v>
      </x:c>
      <x:c r="J460" s="27" t="str">
        <x:v>Incoming prerequisite relationship.</x:v>
      </x:c>
    </x:row>
    <x:row r="461">
      <x:c r="A461" s="27" t="str">
        <x:v>E00457</x:v>
      </x:c>
      <x:c r="B461" s="27" t="str">
        <x:v>S08-READ-01:GROUND</x:v>
      </x:c>
      <x:c r="C461" s="27" t="str">
        <x:v>G3 — Shared reference and symbol</x:v>
      </x:c>
      <x:c r="D461" s="27" t="str">
        <x:v>GROUNDED_BY</x:v>
      </x:c>
      <x:c r="E461" s="27" t="str">
        <x:v>S08-READ-01</x:v>
      </x:c>
      <x:c r="F461" s="27" t="str">
        <x:v>Picture–meaning interpretation</x:v>
      </x:c>
      <x:c r="G461" s="27" t="str">
        <x:v>S08</x:v>
      </x:c>
      <x:c r="H461" s="27" t="str">
        <x:v>Reading</x:v>
      </x:c>
      <x:c r="I461" s="27" t="str">
        <x:v>SRC02; SRC10</x:v>
      </x:c>
      <x:c r="J461" s="27" t="str">
        <x:v>Grounding form used to preserve meaning.</x:v>
      </x:c>
    </x:row>
    <x:row r="462">
      <x:c r="A462" s="27" t="str">
        <x:v>E00458</x:v>
      </x:c>
      <x:c r="B462" s="27" t="str">
        <x:v>S08-READ-01</x:v>
      </x:c>
      <x:c r="C462" s="27" t="str">
        <x:v>Picture–meaning interpretation</x:v>
      </x:c>
      <x:c r="D462" s="27" t="str">
        <x:v>CONNECTS_TO</x:v>
      </x:c>
      <x:c r="E462" s="27" t="str">
        <x:v>S08-READ-01:CROSS</x:v>
      </x:c>
      <x:c r="F462" s="27" t="str">
        <x:v>Oral language and writing; evidence in science/social studies; mathematical and technical problem interpretation; media verification.</x:v>
      </x:c>
      <x:c r="G462" s="27" t="str">
        <x:v>S08</x:v>
      </x:c>
      <x:c r="H462" s="27" t="str">
        <x:v>Reading</x:v>
      </x:c>
      <x:c r="I462" s="27" t="str">
        <x:v>SRC02; SRC10</x:v>
      </x:c>
      <x:c r="J462" s="27" t="str">
        <x:v>Parallel subject and representation links.</x:v>
      </x:c>
    </x:row>
    <x:row r="463">
      <x:c r="A463" s="27" t="str">
        <x:v>E00459</x:v>
      </x:c>
      <x:c r="B463" s="27" t="str">
        <x:v>S08-READ-01</x:v>
      </x:c>
      <x:c r="C463" s="27" t="str">
        <x:v>Picture–meaning interpretation</x:v>
      </x:c>
      <x:c r="D463" s="27" t="str">
        <x:v>UNLOCKS</x:v>
      </x:c>
      <x:c r="E463" s="27" t="str">
        <x:v>S08-READ-01:NEXT</x:v>
      </x:c>
      <x:c r="F463" s="27" t="str">
        <x:v>Interpreting visual symbols supports story comprehension, diagrams, and print-picture coordination.</x:v>
      </x:c>
      <x:c r="G463" s="27" t="str">
        <x:v>S08</x:v>
      </x:c>
      <x:c r="H463" s="27" t="str">
        <x:v>Reading</x:v>
      </x:c>
      <x:c r="I463" s="27" t="str">
        <x:v>SRC02; SRC10</x:v>
      </x:c>
      <x:c r="J463" s="27" t="str">
        <x:v>Outgoing use and placement rationale.</x:v>
      </x:c>
    </x:row>
    <x:row r="464">
      <x:c r="A464" s="27" t="str">
        <x:v>E00460</x:v>
      </x:c>
      <x:c r="B464" s="27" t="str">
        <x:v>S08-READ-01</x:v>
      </x:c>
      <x:c r="C464" s="27" t="str">
        <x:v>Picture–meaning interpretation</x:v>
      </x:c>
      <x:c r="D464" s="27" t="str">
        <x:v>VERIFIED_BY</x:v>
      </x:c>
      <x:c r="E464" s="27" t="str">
        <x:v>S08-READ-01:EVIDENCE</x:v>
      </x:c>
      <x:c r="F464" s="27" t="str">
        <x:v>Describes what is happening in a familiar picture using words or another communication mode.</x:v>
      </x:c>
      <x:c r="G464" s="27" t="str">
        <x:v>S08</x:v>
      </x:c>
      <x:c r="H464" s="27" t="str">
        <x:v>Reading</x:v>
      </x:c>
      <x:c r="I464" s="27" t="str">
        <x:v>SRC02; SRC10</x:v>
      </x:c>
      <x:c r="J464" s="27" t="str">
        <x:v>Observable evidence of usable learning.</x:v>
      </x:c>
    </x:row>
    <x:row r="465">
      <x:c r="A465" s="27" t="str">
        <x:v>E00461</x:v>
      </x:c>
      <x:c r="B465" s="27" t="str">
        <x:v>S07-MATH-02</x:v>
      </x:c>
      <x:c r="C465" s="27" t="str">
        <x:v>Previous node in domain progression</x:v>
      </x:c>
      <x:c r="D465" s="27" t="str">
        <x:v>DOMAIN_SEQUENCE</x:v>
      </x:c>
      <x:c r="E465" s="27" t="str">
        <x:v>S08-MATH-01</x:v>
      </x:c>
      <x:c r="F465" s="27" t="str">
        <x:v>Stable small number-word sequence</x:v>
      </x:c>
      <x:c r="G465" s="27" t="str">
        <x:v>S08</x:v>
      </x:c>
      <x:c r="H465" s="27" t="str">
        <x:v>Mathematics</x:v>
      </x:c>
      <x:c r="I465" s="27" t="str">
        <x:v>SRC02; SRC07</x:v>
      </x:c>
      <x:c r="J465" s="27" t="str">
        <x:v>Ordered spiral link; consult explicit prerequisites for logical dependency.</x:v>
      </x:c>
    </x:row>
    <x:row r="466">
      <x:c r="A466" s="27" t="str">
        <x:v>E00462</x:v>
      </x:c>
      <x:c r="B466" s="27" t="str">
        <x:v>S08-MATH-01:PREREQ</x:v>
      </x:c>
      <x:c r="C466" s="27" t="str">
        <x:v>Sequence imitation and quantity language.</x:v>
      </x:c>
      <x:c r="D466" s="27" t="str">
        <x:v>PREREQUISITE</x:v>
      </x:c>
      <x:c r="E466" s="27" t="str">
        <x:v>S08-MATH-01</x:v>
      </x:c>
      <x:c r="F466" s="27" t="str">
        <x:v>Stable small number-word sequence</x:v>
      </x:c>
      <x:c r="G466" s="27" t="str">
        <x:v>S08</x:v>
      </x:c>
      <x:c r="H466" s="27" t="str">
        <x:v>Mathematics</x:v>
      </x:c>
      <x:c r="I466" s="27" t="str">
        <x:v>SRC02; SRC07</x:v>
      </x:c>
      <x:c r="J466" s="27" t="str">
        <x:v>Incoming prerequisite relationship.</x:v>
      </x:c>
    </x:row>
    <x:row r="467">
      <x:c r="A467" s="27" t="str">
        <x:v>E00463</x:v>
      </x:c>
      <x:c r="B467" s="27" t="str">
        <x:v>S08-MATH-01:GROUND</x:v>
      </x:c>
      <x:c r="C467" s="27" t="str">
        <x:v>G3 — Shared reference and symbol</x:v>
      </x:c>
      <x:c r="D467" s="27" t="str">
        <x:v>GROUNDED_BY</x:v>
      </x:c>
      <x:c r="E467" s="27" t="str">
        <x:v>S08-MATH-01</x:v>
      </x:c>
      <x:c r="F467" s="27" t="str">
        <x:v>Stable small number-word sequence</x:v>
      </x:c>
      <x:c r="G467" s="27" t="str">
        <x:v>S08</x:v>
      </x:c>
      <x:c r="H467" s="27" t="str">
        <x:v>Mathematics</x:v>
      </x:c>
      <x:c r="I467" s="27" t="str">
        <x:v>SRC02; SRC07</x:v>
      </x:c>
      <x:c r="J467" s="27" t="str">
        <x:v>Grounding form used to preserve meaning.</x:v>
      </x:c>
    </x:row>
    <x:row r="468">
      <x:c r="A468" s="27" t="str">
        <x:v>E00464</x:v>
      </x:c>
      <x:c r="B468" s="27" t="str">
        <x:v>S08-MATH-01</x:v>
      </x:c>
      <x:c r="C468" s="27" t="str">
        <x:v>Stable small number-word sequence</x:v>
      </x:c>
      <x:c r="D468" s="27" t="str">
        <x:v>CONNECTS_TO</x:v>
      </x:c>
      <x:c r="E468" s="27" t="str">
        <x:v>S08-MATH-01:CROSS</x:v>
      </x:c>
      <x:c r="F468" s="27" t="str">
        <x:v>Physical quantity and spatial action; science measurement/models; computing/algorithms; finance; music rhythm/pattern; geographic data.</x:v>
      </x:c>
      <x:c r="G468" s="27" t="str">
        <x:v>S08</x:v>
      </x:c>
      <x:c r="H468" s="27" t="str">
        <x:v>Mathematics</x:v>
      </x:c>
      <x:c r="I468" s="27" t="str">
        <x:v>SRC02; SRC07</x:v>
      </x:c>
      <x:c r="J468" s="27" t="str">
        <x:v>Parallel subject and representation links.</x:v>
      </x:c>
    </x:row>
    <x:row r="469">
      <x:c r="A469" s="27" t="str">
        <x:v>E00465</x:v>
      </x:c>
      <x:c r="B469" s="27" t="str">
        <x:v>S08-MATH-01</x:v>
      </x:c>
      <x:c r="C469" s="27" t="str">
        <x:v>Stable small number-word sequence</x:v>
      </x:c>
      <x:c r="D469" s="27" t="str">
        <x:v>UNLOCKS</x:v>
      </x:c>
      <x:c r="E469" s="27" t="str">
        <x:v>S08-MATH-01:NEXT</x:v>
      </x:c>
      <x:c r="F469" s="27" t="str">
        <x:v>A stable verbal list is one component later coordinated with one-to-one counting and cardinality.</x:v>
      </x:c>
      <x:c r="G469" s="27" t="str">
        <x:v>S08</x:v>
      </x:c>
      <x:c r="H469" s="27" t="str">
        <x:v>Mathematics</x:v>
      </x:c>
      <x:c r="I469" s="27" t="str">
        <x:v>SRC02; SRC07</x:v>
      </x:c>
      <x:c r="J469" s="27" t="str">
        <x:v>Outgoing use and placement rationale.</x:v>
      </x:c>
    </x:row>
    <x:row r="470">
      <x:c r="A470" s="27" t="str">
        <x:v>E00466</x:v>
      </x:c>
      <x:c r="B470" s="27" t="str">
        <x:v>S08-MATH-01</x:v>
      </x:c>
      <x:c r="C470" s="27" t="str">
        <x:v>Stable small number-word sequence</x:v>
      </x:c>
      <x:c r="D470" s="27" t="str">
        <x:v>VERIFIED_BY</x:v>
      </x:c>
      <x:c r="E470" s="27" t="str">
        <x:v>S08-MATH-01:EVIDENCE</x:v>
      </x:c>
      <x:c r="F470" s="27" t="str">
        <x:v>Produces the same initial number-word order across occasions.</x:v>
      </x:c>
      <x:c r="G470" s="27" t="str">
        <x:v>S08</x:v>
      </x:c>
      <x:c r="H470" s="27" t="str">
        <x:v>Mathematics</x:v>
      </x:c>
      <x:c r="I470" s="27" t="str">
        <x:v>SRC02; SRC07</x:v>
      </x:c>
      <x:c r="J470" s="27" t="str">
        <x:v>Observable evidence of usable learning.</x:v>
      </x:c>
    </x:row>
    <x:row r="471">
      <x:c r="A471" s="27" t="str">
        <x:v>E00467</x:v>
      </x:c>
      <x:c r="B471" s="27" t="str">
        <x:v>S08-MATH-01</x:v>
      </x:c>
      <x:c r="C471" s="27" t="str">
        <x:v>Previous node in domain progression</x:v>
      </x:c>
      <x:c r="D471" s="27" t="str">
        <x:v>DOMAIN_SEQUENCE</x:v>
      </x:c>
      <x:c r="E471" s="27" t="str">
        <x:v>S08-MATH-02</x:v>
      </x:c>
      <x:c r="F471" s="27" t="str">
        <x:v>Position and movement words</x:v>
      </x:c>
      <x:c r="G471" s="27" t="str">
        <x:v>S08</x:v>
      </x:c>
      <x:c r="H471" s="27" t="str">
        <x:v>Mathematics</x:v>
      </x:c>
      <x:c r="I471" s="27" t="str">
        <x:v>SRC02; SRC07</x:v>
      </x:c>
      <x:c r="J471" s="27" t="str">
        <x:v>Ordered spiral link; consult explicit prerequisites for logical dependency.</x:v>
      </x:c>
    </x:row>
    <x:row r="472">
      <x:c r="A472" s="27" t="str">
        <x:v>E00468</x:v>
      </x:c>
      <x:c r="B472" s="27" t="str">
        <x:v>S08-MATH-02:PREREQ</x:v>
      </x:c>
      <x:c r="C472" s="27" t="str">
        <x:v>Action-based spatial relations and short sentences.</x:v>
      </x:c>
      <x:c r="D472" s="27" t="str">
        <x:v>PREREQUISITE</x:v>
      </x:c>
      <x:c r="E472" s="27" t="str">
        <x:v>S08-MATH-02</x:v>
      </x:c>
      <x:c r="F472" s="27" t="str">
        <x:v>Position and movement words</x:v>
      </x:c>
      <x:c r="G472" s="27" t="str">
        <x:v>S08</x:v>
      </x:c>
      <x:c r="H472" s="27" t="str">
        <x:v>Mathematics</x:v>
      </x:c>
      <x:c r="I472" s="27" t="str">
        <x:v>SRC02; SRC07</x:v>
      </x:c>
      <x:c r="J472" s="27" t="str">
        <x:v>Incoming prerequisite relationship.</x:v>
      </x:c>
    </x:row>
    <x:row r="473">
      <x:c r="A473" s="27" t="str">
        <x:v>E00469</x:v>
      </x:c>
      <x:c r="B473" s="27" t="str">
        <x:v>S08-MATH-02:GROUND</x:v>
      </x:c>
      <x:c r="C473" s="27" t="str">
        <x:v>G3 — Shared reference and symbol</x:v>
      </x:c>
      <x:c r="D473" s="27" t="str">
        <x:v>GROUNDED_BY</x:v>
      </x:c>
      <x:c r="E473" s="27" t="str">
        <x:v>S08-MATH-02</x:v>
      </x:c>
      <x:c r="F473" s="27" t="str">
        <x:v>Position and movement words</x:v>
      </x:c>
      <x:c r="G473" s="27" t="str">
        <x:v>S08</x:v>
      </x:c>
      <x:c r="H473" s="27" t="str">
        <x:v>Mathematics</x:v>
      </x:c>
      <x:c r="I473" s="27" t="str">
        <x:v>SRC02; SRC07</x:v>
      </x:c>
      <x:c r="J473" s="27" t="str">
        <x:v>Grounding form used to preserve meaning.</x:v>
      </x:c>
    </x:row>
    <x:row r="474">
      <x:c r="A474" s="27" t="str">
        <x:v>E00470</x:v>
      </x:c>
      <x:c r="B474" s="27" t="str">
        <x:v>S08-MATH-02</x:v>
      </x:c>
      <x:c r="C474" s="27" t="str">
        <x:v>Position and movement words</x:v>
      </x:c>
      <x:c r="D474" s="27" t="str">
        <x:v>CONNECTS_TO</x:v>
      </x:c>
      <x:c r="E474" s="27" t="str">
        <x:v>S08-MATH-02:CROSS</x:v>
      </x:c>
      <x:c r="F474" s="27" t="str">
        <x:v>Physical quantity and spatial action; science measurement/models; computing/algorithms; finance; music rhythm/pattern; geographic data.</x:v>
      </x:c>
      <x:c r="G474" s="27" t="str">
        <x:v>S08</x:v>
      </x:c>
      <x:c r="H474" s="27" t="str">
        <x:v>Mathematics</x:v>
      </x:c>
      <x:c r="I474" s="27" t="str">
        <x:v>SRC02; SRC07</x:v>
      </x:c>
      <x:c r="J474" s="27" t="str">
        <x:v>Parallel subject and representation links.</x:v>
      </x:c>
    </x:row>
    <x:row r="475">
      <x:c r="A475" s="27" t="str">
        <x:v>E00471</x:v>
      </x:c>
      <x:c r="B475" s="27" t="str">
        <x:v>S08-MATH-02</x:v>
      </x:c>
      <x:c r="C475" s="27" t="str">
        <x:v>Position and movement words</x:v>
      </x:c>
      <x:c r="D475" s="27" t="str">
        <x:v>UNLOCKS</x:v>
      </x:c>
      <x:c r="E475" s="27" t="str">
        <x:v>S08-MATH-02:NEXT</x:v>
      </x:c>
      <x:c r="F475" s="27" t="str">
        <x:v>Spatial language supports geometry, directions, diagrams, and relational reasoning.</x:v>
      </x:c>
      <x:c r="G475" s="27" t="str">
        <x:v>S08</x:v>
      </x:c>
      <x:c r="H475" s="27" t="str">
        <x:v>Mathematics</x:v>
      </x:c>
      <x:c r="I475" s="27" t="str">
        <x:v>SRC02; SRC07</x:v>
      </x:c>
      <x:c r="J475" s="27" t="str">
        <x:v>Outgoing use and placement rationale.</x:v>
      </x:c>
    </x:row>
    <x:row r="476">
      <x:c r="A476" s="27" t="str">
        <x:v>E00472</x:v>
      </x:c>
      <x:c r="B476" s="27" t="str">
        <x:v>S08-MATH-02</x:v>
      </x:c>
      <x:c r="C476" s="27" t="str">
        <x:v>Position and movement words</x:v>
      </x:c>
      <x:c r="D476" s="27" t="str">
        <x:v>VERIFIED_BY</x:v>
      </x:c>
      <x:c r="E476" s="27" t="str">
        <x:v>S08-MATH-02:EVIDENCE</x:v>
      </x:c>
      <x:c r="F476" s="27" t="str">
        <x:v>Places an object according to a familiar position word or describes its location.</x:v>
      </x:c>
      <x:c r="G476" s="27" t="str">
        <x:v>S08</x:v>
      </x:c>
      <x:c r="H476" s="27" t="str">
        <x:v>Mathematics</x:v>
      </x:c>
      <x:c r="I476" s="27" t="str">
        <x:v>SRC02; SRC07</x:v>
      </x:c>
      <x:c r="J476" s="27" t="str">
        <x:v>Observable evidence of usable learning.</x:v>
      </x:c>
    </x:row>
    <x:row r="477">
      <x:c r="A477" s="27" t="str">
        <x:v>E00473</x:v>
      </x:c>
      <x:c r="B477" s="27" t="str">
        <x:v>S07-SCI-01</x:v>
      </x:c>
      <x:c r="C477" s="27" t="str">
        <x:v>Previous node in domain progression</x:v>
      </x:c>
      <x:c r="D477" s="27" t="str">
        <x:v>DOMAIN_SEQUENCE</x:v>
      </x:c>
      <x:c r="E477" s="27" t="str">
        <x:v>S08-SCI-01</x:v>
      </x:c>
      <x:c r="F477" s="27" t="str">
        <x:v>Attribute description</x:v>
      </x:c>
      <x:c r="G477" s="27" t="str">
        <x:v>S08</x:v>
      </x:c>
      <x:c r="H477" s="27" t="str">
        <x:v>Science &amp; Engineering</x:v>
      </x:c>
      <x:c r="I477" s="27" t="str">
        <x:v>SRC02; SRC11</x:v>
      </x:c>
      <x:c r="J477" s="27" t="str">
        <x:v>Ordered spiral link; consult explicit prerequisites for logical dependency.</x:v>
      </x:c>
    </x:row>
    <x:row r="478">
      <x:c r="A478" s="27" t="str">
        <x:v>E00474</x:v>
      </x:c>
      <x:c r="B478" s="27" t="str">
        <x:v>S08-SCI-01:PREREQ</x:v>
      </x:c>
      <x:c r="C478" s="27" t="str">
        <x:v>Vocabulary, comparison, and multi-sensory exploration.</x:v>
      </x:c>
      <x:c r="D478" s="27" t="str">
        <x:v>PREREQUISITE</x:v>
      </x:c>
      <x:c r="E478" s="27" t="str">
        <x:v>S08-SCI-01</x:v>
      </x:c>
      <x:c r="F478" s="27" t="str">
        <x:v>Attribute description</x:v>
      </x:c>
      <x:c r="G478" s="27" t="str">
        <x:v>S08</x:v>
      </x:c>
      <x:c r="H478" s="27" t="str">
        <x:v>Science &amp; Engineering</x:v>
      </x:c>
      <x:c r="I478" s="27" t="str">
        <x:v>SRC02; SRC11</x:v>
      </x:c>
      <x:c r="J478" s="27" t="str">
        <x:v>Incoming prerequisite relationship.</x:v>
      </x:c>
    </x:row>
    <x:row r="479">
      <x:c r="A479" s="27" t="str">
        <x:v>E00475</x:v>
      </x:c>
      <x:c r="B479" s="27" t="str">
        <x:v>S08-SCI-01:GROUND</x:v>
      </x:c>
      <x:c r="C479" s="27" t="str">
        <x:v>G3 — Shared reference and symbol</x:v>
      </x:c>
      <x:c r="D479" s="27" t="str">
        <x:v>GROUNDED_BY</x:v>
      </x:c>
      <x:c r="E479" s="27" t="str">
        <x:v>S08-SCI-01</x:v>
      </x:c>
      <x:c r="F479" s="27" t="str">
        <x:v>Attribute description</x:v>
      </x:c>
      <x:c r="G479" s="27" t="str">
        <x:v>S08</x:v>
      </x:c>
      <x:c r="H479" s="27" t="str">
        <x:v>Science &amp; Engineering</x:v>
      </x:c>
      <x:c r="I479" s="27" t="str">
        <x:v>SRC02; SRC11</x:v>
      </x:c>
      <x:c r="J479" s="27" t="str">
        <x:v>Grounding form used to preserve meaning.</x:v>
      </x:c>
    </x:row>
    <x:row r="480">
      <x:c r="A480" s="27" t="str">
        <x:v>E00476</x:v>
      </x:c>
      <x:c r="B480" s="27" t="str">
        <x:v>S08-SCI-01</x:v>
      </x:c>
      <x:c r="C480" s="27" t="str">
        <x:v>Attribute description</x:v>
      </x:c>
      <x:c r="D480" s="27" t="str">
        <x:v>CONNECTS_TO</x:v>
      </x:c>
      <x:c r="E480" s="27" t="str">
        <x:v>S08-SCI-01:CROSS</x:v>
      </x:c>
      <x:c r="F480" s="27" t="str">
        <x:v>Sensory observation and action; mathematics/data; reading/writing evidence; computing/models; health and environmental/civic decisions.</x:v>
      </x:c>
      <x:c r="G480" s="27" t="str">
        <x:v>S08</x:v>
      </x:c>
      <x:c r="H480" s="27" t="str">
        <x:v>Science &amp; Engineering</x:v>
      </x:c>
      <x:c r="I480" s="27" t="str">
        <x:v>SRC02; SRC11</x:v>
      </x:c>
      <x:c r="J480" s="27" t="str">
        <x:v>Parallel subject and representation links.</x:v>
      </x:c>
    </x:row>
    <x:row r="481">
      <x:c r="A481" s="27" t="str">
        <x:v>E00477</x:v>
      </x:c>
      <x:c r="B481" s="27" t="str">
        <x:v>S08-SCI-01</x:v>
      </x:c>
      <x:c r="C481" s="27" t="str">
        <x:v>Attribute description</x:v>
      </x:c>
      <x:c r="D481" s="27" t="str">
        <x:v>UNLOCKS</x:v>
      </x:c>
      <x:c r="E481" s="27" t="str">
        <x:v>S08-SCI-01:NEXT</x:v>
      </x:c>
      <x:c r="F481" s="27" t="str">
        <x:v>Property language enables explicit comparison, classification, and evidence statements.</x:v>
      </x:c>
      <x:c r="G481" s="27" t="str">
        <x:v>S08</x:v>
      </x:c>
      <x:c r="H481" s="27" t="str">
        <x:v>Science &amp; Engineering</x:v>
      </x:c>
      <x:c r="I481" s="27" t="str">
        <x:v>SRC02; SRC11</x:v>
      </x:c>
      <x:c r="J481" s="27" t="str">
        <x:v>Outgoing use and placement rationale.</x:v>
      </x:c>
    </x:row>
    <x:row r="482">
      <x:c r="A482" s="27" t="str">
        <x:v>E00478</x:v>
      </x:c>
      <x:c r="B482" s="27" t="str">
        <x:v>S08-SCI-01</x:v>
      </x:c>
      <x:c r="C482" s="27" t="str">
        <x:v>Attribute description</x:v>
      </x:c>
      <x:c r="D482" s="27" t="str">
        <x:v>VERIFIED_BY</x:v>
      </x:c>
      <x:c r="E482" s="27" t="str">
        <x:v>S08-SCI-01:EVIDENCE</x:v>
      </x:c>
      <x:c r="F482" s="27" t="str">
        <x:v>Names or indicates at least one relevant property of an observed object.</x:v>
      </x:c>
      <x:c r="G482" s="27" t="str">
        <x:v>S08</x:v>
      </x:c>
      <x:c r="H482" s="27" t="str">
        <x:v>Science &amp; Engineering</x:v>
      </x:c>
      <x:c r="I482" s="27" t="str">
        <x:v>SRC02; SRC11</x:v>
      </x:c>
      <x:c r="J482" s="27" t="str">
        <x:v>Observable evidence of usable learning.</x:v>
      </x:c>
    </x:row>
    <x:row r="483">
      <x:c r="A483" s="27" t="str">
        <x:v>E00479</x:v>
      </x:c>
      <x:c r="B483" s="27" t="str">
        <x:v>S07-ARTS-01</x:v>
      </x:c>
      <x:c r="C483" s="27" t="str">
        <x:v>Previous node in domain progression</x:v>
      </x:c>
      <x:c r="D483" s="27" t="str">
        <x:v>DOMAIN_SEQUENCE</x:v>
      </x:c>
      <x:c r="E483" s="27" t="str">
        <x:v>S08-ARTS-01</x:v>
      </x:c>
      <x:c r="F483" s="27" t="str">
        <x:v>Controlled scribble</x:v>
      </x:c>
      <x:c r="G483" s="27" t="str">
        <x:v>S08</x:v>
      </x:c>
      <x:c r="H483" s="27" t="str">
        <x:v>Music &amp; Arts</x:v>
      </x:c>
      <x:c r="I483" s="27" t="str">
        <x:v>SRC02; SRC13</x:v>
      </x:c>
      <x:c r="J483" s="27" t="str">
        <x:v>Ordered spiral link; consult explicit prerequisites for logical dependency.</x:v>
      </x:c>
    </x:row>
    <x:row r="484">
      <x:c r="A484" s="27" t="str">
        <x:v>E00480</x:v>
      </x:c>
      <x:c r="B484" s="27" t="str">
        <x:v>S08-ARTS-01:PREREQ</x:v>
      </x:c>
      <x:c r="C484" s="27" t="str">
        <x:v>Controlled placement, grasp, and imitation.</x:v>
      </x:c>
      <x:c r="D484" s="27" t="str">
        <x:v>PREREQUISITE</x:v>
      </x:c>
      <x:c r="E484" s="27" t="str">
        <x:v>S08-ARTS-01</x:v>
      </x:c>
      <x:c r="F484" s="27" t="str">
        <x:v>Controlled scribble</x:v>
      </x:c>
      <x:c r="G484" s="27" t="str">
        <x:v>S08</x:v>
      </x:c>
      <x:c r="H484" s="27" t="str">
        <x:v>Music &amp; Arts</x:v>
      </x:c>
      <x:c r="I484" s="27" t="str">
        <x:v>SRC02; SRC13</x:v>
      </x:c>
      <x:c r="J484" s="27" t="str">
        <x:v>Incoming prerequisite relationship.</x:v>
      </x:c>
    </x:row>
    <x:row r="485">
      <x:c r="A485" s="27" t="str">
        <x:v>E00481</x:v>
      </x:c>
      <x:c r="B485" s="27" t="str">
        <x:v>S08-ARTS-01:GROUND</x:v>
      </x:c>
      <x:c r="C485" s="27" t="str">
        <x:v>G3 — Shared reference and symbol</x:v>
      </x:c>
      <x:c r="D485" s="27" t="str">
        <x:v>GROUNDED_BY</x:v>
      </x:c>
      <x:c r="E485" s="27" t="str">
        <x:v>S08-ARTS-01</x:v>
      </x:c>
      <x:c r="F485" s="27" t="str">
        <x:v>Controlled scribble</x:v>
      </x:c>
      <x:c r="G485" s="27" t="str">
        <x:v>S08</x:v>
      </x:c>
      <x:c r="H485" s="27" t="str">
        <x:v>Music &amp; Arts</x:v>
      </x:c>
      <x:c r="I485" s="27" t="str">
        <x:v>SRC02; SRC13</x:v>
      </x:c>
      <x:c r="J485" s="27" t="str">
        <x:v>Grounding form used to preserve meaning.</x:v>
      </x:c>
    </x:row>
    <x:row r="486">
      <x:c r="A486" s="27" t="str">
        <x:v>E00482</x:v>
      </x:c>
      <x:c r="B486" s="27" t="str">
        <x:v>S08-ARTS-01</x:v>
      </x:c>
      <x:c r="C486" s="27" t="str">
        <x:v>Controlled scribble</x:v>
      </x:c>
      <x:c r="D486" s="27" t="str">
        <x:v>CONNECTS_TO</x:v>
      </x:c>
      <x:c r="E486" s="27" t="str">
        <x:v>S08-ARTS-01:CROSS</x:v>
      </x:c>
      <x:c r="F486" s="27" t="str">
        <x:v>Sensory discrimination; motor timing; language/prosody; mathematics/pattern; history/culture; emotion, design, and technology.</x:v>
      </x:c>
      <x:c r="G486" s="27" t="str">
        <x:v>S08</x:v>
      </x:c>
      <x:c r="H486" s="27" t="str">
        <x:v>Music &amp; Arts</x:v>
      </x:c>
      <x:c r="I486" s="27" t="str">
        <x:v>SRC02; SRC13</x:v>
      </x:c>
      <x:c r="J486" s="27" t="str">
        <x:v>Parallel subject and representation links.</x:v>
      </x:c>
    </x:row>
    <x:row r="487">
      <x:c r="A487" s="27" t="str">
        <x:v>E00483</x:v>
      </x:c>
      <x:c r="B487" s="27" t="str">
        <x:v>S08-ARTS-01</x:v>
      </x:c>
      <x:c r="C487" s="27" t="str">
        <x:v>Controlled scribble</x:v>
      </x:c>
      <x:c r="D487" s="27" t="str">
        <x:v>UNLOCKS</x:v>
      </x:c>
      <x:c r="E487" s="27" t="str">
        <x:v>S08-ARTS-01:NEXT</x:v>
      </x:c>
      <x:c r="F487" s="27" t="str">
        <x:v>Controlled mark-making prepares drawing forms, letter strokes, maps, and written notation.</x:v>
      </x:c>
      <x:c r="G487" s="27" t="str">
        <x:v>S08</x:v>
      </x:c>
      <x:c r="H487" s="27" t="str">
        <x:v>Music &amp; Arts</x:v>
      </x:c>
      <x:c r="I487" s="27" t="str">
        <x:v>SRC02; SRC13</x:v>
      </x:c>
      <x:c r="J487" s="27" t="str">
        <x:v>Outgoing use and placement rationale.</x:v>
      </x:c>
    </x:row>
    <x:row r="488">
      <x:c r="A488" s="27" t="str">
        <x:v>E00484</x:v>
      </x:c>
      <x:c r="B488" s="27" t="str">
        <x:v>S08-ARTS-01</x:v>
      </x:c>
      <x:c r="C488" s="27" t="str">
        <x:v>Controlled scribble</x:v>
      </x:c>
      <x:c r="D488" s="27" t="str">
        <x:v>VERIFIED_BY</x:v>
      </x:c>
      <x:c r="E488" s="27" t="str">
        <x:v>S08-ARTS-01:EVIDENCE</x:v>
      </x:c>
      <x:c r="F488" s="27" t="str">
        <x:v>Varies direction or mark type intentionally and identifies the product as own work.</x:v>
      </x:c>
      <x:c r="G488" s="27" t="str">
        <x:v>S08</x:v>
      </x:c>
      <x:c r="H488" s="27" t="str">
        <x:v>Music &amp; Arts</x:v>
      </x:c>
      <x:c r="I488" s="27" t="str">
        <x:v>SRC02; SRC13</x:v>
      </x:c>
      <x:c r="J488" s="27" t="str">
        <x:v>Observable evidence of usable learning.</x:v>
      </x:c>
    </x:row>
    <x:row r="489">
      <x:c r="A489" s="27" t="str">
        <x:v>E00485</x:v>
      </x:c>
      <x:c r="B489" s="27" t="str">
        <x:v>S07-HLTH-01</x:v>
      </x:c>
      <x:c r="C489" s="27" t="str">
        <x:v>Previous node in domain progression</x:v>
      </x:c>
      <x:c r="D489" s="27" t="str">
        <x:v>DOMAIN_SEQUENCE</x:v>
      </x:c>
      <x:c r="E489" s="27" t="str">
        <x:v>S08-HLTH-01</x:v>
      </x:c>
      <x:c r="F489" s="27" t="str">
        <x:v>Routine participation</x:v>
      </x:c>
      <x:c r="G489" s="27" t="str">
        <x:v>S08</x:v>
      </x:c>
      <x:c r="H489" s="27" t="str">
        <x:v>Physical &amp; Health</x:v>
      </x:c>
      <x:c r="I489" s="27" t="str">
        <x:v>SRC02; SRC03; SRC15</x:v>
      </x:c>
      <x:c r="J489" s="27" t="str">
        <x:v>Ordered spiral link; consult explicit prerequisites for logical dependency.</x:v>
      </x:c>
    </x:row>
    <x:row r="490">
      <x:c r="A490" s="27" t="str">
        <x:v>E00486</x:v>
      </x:c>
      <x:c r="B490" s="27" t="str">
        <x:v>S08-HLTH-01:PREREQ</x:v>
      </x:c>
      <x:c r="C490" s="27" t="str">
        <x:v>Agency, motor control, and sequence memory.</x:v>
      </x:c>
      <x:c r="D490" s="27" t="str">
        <x:v>PREREQUISITE</x:v>
      </x:c>
      <x:c r="E490" s="27" t="str">
        <x:v>S08-HLTH-01</x:v>
      </x:c>
      <x:c r="F490" s="27" t="str">
        <x:v>Routine participation</x:v>
      </x:c>
      <x:c r="G490" s="27" t="str">
        <x:v>S08</x:v>
      </x:c>
      <x:c r="H490" s="27" t="str">
        <x:v>Physical &amp; Health</x:v>
      </x:c>
      <x:c r="I490" s="27" t="str">
        <x:v>SRC02; SRC03; SRC15</x:v>
      </x:c>
      <x:c r="J490" s="27" t="str">
        <x:v>Incoming prerequisite relationship.</x:v>
      </x:c>
    </x:row>
    <x:row r="491">
      <x:c r="A491" s="27" t="str">
        <x:v>E00487</x:v>
      </x:c>
      <x:c r="B491" s="27" t="str">
        <x:v>S08-HLTH-01:GROUND</x:v>
      </x:c>
      <x:c r="C491" s="27" t="str">
        <x:v>G3 — Shared reference and symbol</x:v>
      </x:c>
      <x:c r="D491" s="27" t="str">
        <x:v>GROUNDED_BY</x:v>
      </x:c>
      <x:c r="E491" s="27" t="str">
        <x:v>S08-HLTH-01</x:v>
      </x:c>
      <x:c r="F491" s="27" t="str">
        <x:v>Routine participation</x:v>
      </x:c>
      <x:c r="G491" s="27" t="str">
        <x:v>S08</x:v>
      </x:c>
      <x:c r="H491" s="27" t="str">
        <x:v>Physical &amp; Health</x:v>
      </x:c>
      <x:c r="I491" s="27" t="str">
        <x:v>SRC02; SRC03; SRC15</x:v>
      </x:c>
      <x:c r="J491" s="27" t="str">
        <x:v>Grounding form used to preserve meaning.</x:v>
      </x:c>
    </x:row>
    <x:row r="492">
      <x:c r="A492" s="27" t="str">
        <x:v>E00488</x:v>
      </x:c>
      <x:c r="B492" s="27" t="str">
        <x:v>S08-HLTH-01</x:v>
      </x:c>
      <x:c r="C492" s="27" t="str">
        <x:v>Routine participation</x:v>
      </x:c>
      <x:c r="D492" s="27" t="str">
        <x:v>CONNECTS_TO</x:v>
      </x:c>
      <x:c r="E492" s="27" t="str">
        <x:v>S08-HLTH-01:CROSS</x:v>
      </x:c>
      <x:c r="F492" s="27" t="str">
        <x:v>Motor/sensory development; life science; measurement/data; SEL/self-management; communication, safety, and decision-making.</x:v>
      </x:c>
      <x:c r="G492" s="27" t="str">
        <x:v>S08</x:v>
      </x:c>
      <x:c r="H492" s="27" t="str">
        <x:v>Physical &amp; Health</x:v>
      </x:c>
      <x:c r="I492" s="27" t="str">
        <x:v>SRC02; SRC03; SRC15</x:v>
      </x:c>
      <x:c r="J492" s="27" t="str">
        <x:v>Parallel subject and representation links.</x:v>
      </x:c>
    </x:row>
    <x:row r="493">
      <x:c r="A493" s="27" t="str">
        <x:v>E00489</x:v>
      </x:c>
      <x:c r="B493" s="27" t="str">
        <x:v>S08-HLTH-01</x:v>
      </x:c>
      <x:c r="C493" s="27" t="str">
        <x:v>Routine participation</x:v>
      </x:c>
      <x:c r="D493" s="27" t="str">
        <x:v>UNLOCKS</x:v>
      </x:c>
      <x:c r="E493" s="27" t="str">
        <x:v>S08-HLTH-01:NEXT</x:v>
      </x:c>
      <x:c r="F493" s="27" t="str">
        <x:v>Routine participation builds independence, health knowledge, and procedural order.</x:v>
      </x:c>
      <x:c r="G493" s="27" t="str">
        <x:v>S08</x:v>
      </x:c>
      <x:c r="H493" s="27" t="str">
        <x:v>Physical &amp; Health</x:v>
      </x:c>
      <x:c r="I493" s="27" t="str">
        <x:v>SRC02; SRC03; SRC15</x:v>
      </x:c>
      <x:c r="J493" s="27" t="str">
        <x:v>Outgoing use and placement rationale.</x:v>
      </x:c>
    </x:row>
    <x:row r="494">
      <x:c r="A494" s="27" t="str">
        <x:v>E00490</x:v>
      </x:c>
      <x:c r="B494" s="27" t="str">
        <x:v>S08-HLTH-01</x:v>
      </x:c>
      <x:c r="C494" s="27" t="str">
        <x:v>Routine participation</x:v>
      </x:c>
      <x:c r="D494" s="27" t="str">
        <x:v>VERIFIED_BY</x:v>
      </x:c>
      <x:c r="E494" s="27" t="str">
        <x:v>S08-HLTH-01:EVIDENCE</x:v>
      </x:c>
      <x:c r="F494" s="27" t="str">
        <x:v>Completes one or more familiar self-care steps with decreasing assistance.</x:v>
      </x:c>
      <x:c r="G494" s="27" t="str">
        <x:v>S08</x:v>
      </x:c>
      <x:c r="H494" s="27" t="str">
        <x:v>Physical &amp; Health</x:v>
      </x:c>
      <x:c r="I494" s="27" t="str">
        <x:v>SRC02; SRC03; SRC15</x:v>
      </x:c>
      <x:c r="J494" s="27" t="str">
        <x:v>Observable evidence of usable learning.</x:v>
      </x:c>
    </x:row>
    <x:row r="495">
      <x:c r="A495" s="27" t="str">
        <x:v>E00491</x:v>
      </x:c>
      <x:c r="B495" s="27" t="str">
        <x:v>S08-LEARN-02</x:v>
      </x:c>
      <x:c r="C495" s="27" t="str">
        <x:v>Previous node in domain progression</x:v>
      </x:c>
      <x:c r="D495" s="27" t="str">
        <x:v>DOMAIN_SEQUENCE</x:v>
      </x:c>
      <x:c r="E495" s="27" t="str">
        <x:v>S09-LEARN-01</x:v>
      </x:c>
      <x:c r="F495" s="27" t="str">
        <x:v>Two- or three-event order</x:v>
      </x:c>
      <x:c r="G495" s="27" t="str">
        <x:v>S09</x:v>
      </x:c>
      <x:c r="H495" s="27" t="str">
        <x:v>Learning Foundations</x:v>
      </x:c>
      <x:c r="I495" s="27" t="str">
        <x:v>SRC02; SRC05</x:v>
      </x:c>
      <x:c r="J495" s="27" t="str">
        <x:v>Ordered spiral link; consult explicit prerequisites for logical dependency.</x:v>
      </x:c>
    </x:row>
    <x:row r="496">
      <x:c r="A496" s="27" t="str">
        <x:v>E00492</x:v>
      </x:c>
      <x:c r="B496" s="27" t="str">
        <x:v>S09-LEARN-01:PREREQ</x:v>
      </x:c>
      <x:c r="C496" s="27" t="str">
        <x:v>Action sequences, short sentences, and memory.</x:v>
      </x:c>
      <x:c r="D496" s="27" t="str">
        <x:v>PREREQUISITE</x:v>
      </x:c>
      <x:c r="E496" s="27" t="str">
        <x:v>S09-LEARN-01</x:v>
      </x:c>
      <x:c r="F496" s="27" t="str">
        <x:v>Two- or three-event order</x:v>
      </x:c>
      <x:c r="G496" s="27" t="str">
        <x:v>S09</x:v>
      </x:c>
      <x:c r="H496" s="27" t="str">
        <x:v>Learning Foundations</x:v>
      </x:c>
      <x:c r="I496" s="27" t="str">
        <x:v>SRC02; SRC05</x:v>
      </x:c>
      <x:c r="J496" s="27" t="str">
        <x:v>Incoming prerequisite relationship.</x:v>
      </x:c>
    </x:row>
    <x:row r="497">
      <x:c r="A497" s="27" t="str">
        <x:v>E00493</x:v>
      </x:c>
      <x:c r="B497" s="27" t="str">
        <x:v>S09-LEARN-01:GROUND</x:v>
      </x:c>
      <x:c r="C497" s="27" t="str">
        <x:v>G3 — Shared reference and symbol</x:v>
      </x:c>
      <x:c r="D497" s="27" t="str">
        <x:v>GROUNDED_BY</x:v>
      </x:c>
      <x:c r="E497" s="27" t="str">
        <x:v>S09-LEARN-01</x:v>
      </x:c>
      <x:c r="F497" s="27" t="str">
        <x:v>Two- or three-event order</x:v>
      </x:c>
      <x:c r="G497" s="27" t="str">
        <x:v>S09</x:v>
      </x:c>
      <x:c r="H497" s="27" t="str">
        <x:v>Learning Foundations</x:v>
      </x:c>
      <x:c r="I497" s="27" t="str">
        <x:v>SRC02; SRC05</x:v>
      </x:c>
      <x:c r="J497" s="27" t="str">
        <x:v>Grounding form used to preserve meaning.</x:v>
      </x:c>
    </x:row>
    <x:row r="498">
      <x:c r="A498" s="27" t="str">
        <x:v>E00494</x:v>
      </x:c>
      <x:c r="B498" s="27" t="str">
        <x:v>S09-LEARN-01</x:v>
      </x:c>
      <x:c r="C498" s="27" t="str">
        <x:v>Two- or three-event order</x:v>
      </x:c>
      <x:c r="D498" s="27" t="str">
        <x:v>CONNECTS_TO</x:v>
      </x:c>
      <x:c r="E498" s="27" t="str">
        <x:v>S09-LEARN-01:CROSS</x:v>
      </x:c>
      <x:c r="F498" s="27" t="str">
        <x:v>All domains: attention, memory, strategy choice, monitoring, retrieval, and transfer.</x:v>
      </x:c>
      <x:c r="G498" s="27" t="str">
        <x:v>S09</x:v>
      </x:c>
      <x:c r="H498" s="27" t="str">
        <x:v>Learning Foundations</x:v>
      </x:c>
      <x:c r="I498" s="27" t="str">
        <x:v>SRC02; SRC05</x:v>
      </x:c>
      <x:c r="J498" s="27" t="str">
        <x:v>Parallel subject and representation links.</x:v>
      </x:c>
    </x:row>
    <x:row r="499">
      <x:c r="A499" s="27" t="str">
        <x:v>E00495</x:v>
      </x:c>
      <x:c r="B499" s="27" t="str">
        <x:v>S09-LEARN-01</x:v>
      </x:c>
      <x:c r="C499" s="27" t="str">
        <x:v>Two- or three-event order</x:v>
      </x:c>
      <x:c r="D499" s="27" t="str">
        <x:v>UNLOCKS</x:v>
      </x:c>
      <x:c r="E499" s="27" t="str">
        <x:v>S09-LEARN-01:NEXT</x:v>
      </x:c>
      <x:c r="F499" s="27" t="str">
        <x:v>Event order supports narrative, procedures, chronology, algorithms, and causal reasoning.</x:v>
      </x:c>
      <x:c r="G499" s="27" t="str">
        <x:v>S09</x:v>
      </x:c>
      <x:c r="H499" s="27" t="str">
        <x:v>Learning Foundations</x:v>
      </x:c>
      <x:c r="I499" s="27" t="str">
        <x:v>SRC02; SRC05</x:v>
      </x:c>
      <x:c r="J499" s="27" t="str">
        <x:v>Outgoing use and placement rationale.</x:v>
      </x:c>
    </x:row>
    <x:row r="500">
      <x:c r="A500" s="27" t="str">
        <x:v>E00496</x:v>
      </x:c>
      <x:c r="B500" s="27" t="str">
        <x:v>S09-LEARN-01</x:v>
      </x:c>
      <x:c r="C500" s="27" t="str">
        <x:v>Two- or three-event order</x:v>
      </x:c>
      <x:c r="D500" s="27" t="str">
        <x:v>VERIFIED_BY</x:v>
      </x:c>
      <x:c r="E500" s="27" t="str">
        <x:v>S09-LEARN-01:EVIDENCE</x:v>
      </x:c>
      <x:c r="F500" s="27" t="str">
        <x:v>Orders two or three familiar events and explains or enacts the sequence.</x:v>
      </x:c>
      <x:c r="G500" s="27" t="str">
        <x:v>S09</x:v>
      </x:c>
      <x:c r="H500" s="27" t="str">
        <x:v>Learning Foundations</x:v>
      </x:c>
      <x:c r="I500" s="27" t="str">
        <x:v>SRC02; SRC05</x:v>
      </x:c>
      <x:c r="J500" s="27" t="str">
        <x:v>Observable evidence of usable learning.</x:v>
      </x:c>
    </x:row>
    <x:row r="501">
      <x:c r="A501" s="27" t="str">
        <x:v>E00497</x:v>
      </x:c>
      <x:c r="B501" s="27" t="str">
        <x:v>S09-LEARN-01</x:v>
      </x:c>
      <x:c r="C501" s="27" t="str">
        <x:v>Previous node in domain progression</x:v>
      </x:c>
      <x:c r="D501" s="27" t="str">
        <x:v>DOMAIN_SEQUENCE</x:v>
      </x:c>
      <x:c r="E501" s="27" t="str">
        <x:v>S09-LEARN-02</x:v>
      </x:c>
      <x:c r="F501" s="27" t="str">
        <x:v>Simple why explanation</x:v>
      </x:c>
      <x:c r="G501" s="27" t="str">
        <x:v>S09</x:v>
      </x:c>
      <x:c r="H501" s="27" t="str">
        <x:v>Learning Foundations</x:v>
      </x:c>
      <x:c r="I501" s="27" t="str">
        <x:v>SRC02; SRC11</x:v>
      </x:c>
      <x:c r="J501" s="27" t="str">
        <x:v>Ordered spiral link; consult explicit prerequisites for logical dependency.</x:v>
      </x:c>
    </x:row>
    <x:row r="502">
      <x:c r="A502" s="27" t="str">
        <x:v>E00498</x:v>
      </x:c>
      <x:c r="B502" s="27" t="str">
        <x:v>S09-LEARN-02:PREREQ</x:v>
      </x:c>
      <x:c r="C502" s="27" t="str">
        <x:v>Question-answer exchanges, cause–effect experience, and sentences.</x:v>
      </x:c>
      <x:c r="D502" s="27" t="str">
        <x:v>PREREQUISITE</x:v>
      </x:c>
      <x:c r="E502" s="27" t="str">
        <x:v>S09-LEARN-02</x:v>
      </x:c>
      <x:c r="F502" s="27" t="str">
        <x:v>Simple why explanation</x:v>
      </x:c>
      <x:c r="G502" s="27" t="str">
        <x:v>S09</x:v>
      </x:c>
      <x:c r="H502" s="27" t="str">
        <x:v>Learning Foundations</x:v>
      </x:c>
      <x:c r="I502" s="27" t="str">
        <x:v>SRC02; SRC11</x:v>
      </x:c>
      <x:c r="J502" s="27" t="str">
        <x:v>Incoming prerequisite relationship.</x:v>
      </x:c>
    </x:row>
    <x:row r="503">
      <x:c r="A503" s="27" t="str">
        <x:v>E00499</x:v>
      </x:c>
      <x:c r="B503" s="27" t="str">
        <x:v>S09-LEARN-02:GROUND</x:v>
      </x:c>
      <x:c r="C503" s="27" t="str">
        <x:v>G3 — Shared reference and symbol</x:v>
      </x:c>
      <x:c r="D503" s="27" t="str">
        <x:v>GROUNDED_BY</x:v>
      </x:c>
      <x:c r="E503" s="27" t="str">
        <x:v>S09-LEARN-02</x:v>
      </x:c>
      <x:c r="F503" s="27" t="str">
        <x:v>Simple why explanation</x:v>
      </x:c>
      <x:c r="G503" s="27" t="str">
        <x:v>S09</x:v>
      </x:c>
      <x:c r="H503" s="27" t="str">
        <x:v>Learning Foundations</x:v>
      </x:c>
      <x:c r="I503" s="27" t="str">
        <x:v>SRC02; SRC11</x:v>
      </x:c>
      <x:c r="J503" s="27" t="str">
        <x:v>Grounding form used to preserve meaning.</x:v>
      </x:c>
    </x:row>
    <x:row r="504">
      <x:c r="A504" s="27" t="str">
        <x:v>E00500</x:v>
      </x:c>
      <x:c r="B504" s="27" t="str">
        <x:v>S09-LEARN-02</x:v>
      </x:c>
      <x:c r="C504" s="27" t="str">
        <x:v>Simple why explanation</x:v>
      </x:c>
      <x:c r="D504" s="27" t="str">
        <x:v>CONNECTS_TO</x:v>
      </x:c>
      <x:c r="E504" s="27" t="str">
        <x:v>S09-LEARN-02:CROSS</x:v>
      </x:c>
      <x:c r="F504" s="27" t="str">
        <x:v>All domains: attention, memory, strategy choice, monitoring, retrieval, and transfer.</x:v>
      </x:c>
      <x:c r="G504" s="27" t="str">
        <x:v>S09</x:v>
      </x:c>
      <x:c r="H504" s="27" t="str">
        <x:v>Learning Foundations</x:v>
      </x:c>
      <x:c r="I504" s="27" t="str">
        <x:v>SRC02; SRC11</x:v>
      </x:c>
      <x:c r="J504" s="27" t="str">
        <x:v>Parallel subject and representation links.</x:v>
      </x:c>
    </x:row>
    <x:row r="505">
      <x:c r="A505" s="27" t="str">
        <x:v>E00501</x:v>
      </x:c>
      <x:c r="B505" s="27" t="str">
        <x:v>S09-LEARN-02</x:v>
      </x:c>
      <x:c r="C505" s="27" t="str">
        <x:v>Simple why explanation</x:v>
      </x:c>
      <x:c r="D505" s="27" t="str">
        <x:v>UNLOCKS</x:v>
      </x:c>
      <x:c r="E505" s="27" t="str">
        <x:v>S09-LEARN-02:NEXT</x:v>
      </x:c>
      <x:c r="F505" s="27" t="str">
        <x:v>Reason-giving is the bridge from association to explanations and arguments.</x:v>
      </x:c>
      <x:c r="G505" s="27" t="str">
        <x:v>S09</x:v>
      </x:c>
      <x:c r="H505" s="27" t="str">
        <x:v>Learning Foundations</x:v>
      </x:c>
      <x:c r="I505" s="27" t="str">
        <x:v>SRC02; SRC11</x:v>
      </x:c>
      <x:c r="J505" s="27" t="str">
        <x:v>Outgoing use and placement rationale.</x:v>
      </x:c>
    </x:row>
    <x:row r="506">
      <x:c r="A506" s="27" t="str">
        <x:v>E00502</x:v>
      </x:c>
      <x:c r="B506" s="27" t="str">
        <x:v>S09-LEARN-02</x:v>
      </x:c>
      <x:c r="C506" s="27" t="str">
        <x:v>Simple why explanation</x:v>
      </x:c>
      <x:c r="D506" s="27" t="str">
        <x:v>VERIFIED_BY</x:v>
      </x:c>
      <x:c r="E506" s="27" t="str">
        <x:v>S09-LEARN-02:EVIDENCE</x:v>
      </x:c>
      <x:c r="F506" s="27" t="str">
        <x:v>Answers a familiar why question with a relevant cause or purpose.</x:v>
      </x:c>
      <x:c r="G506" s="27" t="str">
        <x:v>S09</x:v>
      </x:c>
      <x:c r="H506" s="27" t="str">
        <x:v>Learning Foundations</x:v>
      </x:c>
      <x:c r="I506" s="27" t="str">
        <x:v>SRC02; SRC11</x:v>
      </x:c>
      <x:c r="J506" s="27" t="str">
        <x:v>Observable evidence of usable learning.</x:v>
      </x:c>
    </x:row>
    <x:row r="507">
      <x:c r="A507" s="27" t="str">
        <x:v>E00503</x:v>
      </x:c>
      <x:c r="B507" s="27" t="str">
        <x:v>S08-SEL-01</x:v>
      </x:c>
      <x:c r="C507" s="27" t="str">
        <x:v>Previous node in domain progression</x:v>
      </x:c>
      <x:c r="D507" s="27" t="str">
        <x:v>DOMAIN_SEQUENCE</x:v>
      </x:c>
      <x:c r="E507" s="27" t="str">
        <x:v>S09-SEL-01</x:v>
      </x:c>
      <x:c r="F507" s="27" t="str">
        <x:v>Named coping action</x:v>
      </x:c>
      <x:c r="G507" s="27" t="str">
        <x:v>S09</x:v>
      </x:c>
      <x:c r="H507" s="27" t="str">
        <x:v>Social-Emotional</x:v>
      </x:c>
      <x:c r="I507" s="27" t="str">
        <x:v>SRC02; SRC18</x:v>
      </x:c>
      <x:c r="J507" s="27" t="str">
        <x:v>Ordered spiral link; consult explicit prerequisites for logical dependency.</x:v>
      </x:c>
    </x:row>
    <x:row r="508">
      <x:c r="A508" s="27" t="str">
        <x:v>E00504</x:v>
      </x:c>
      <x:c r="B508" s="27" t="str">
        <x:v>S09-SEL-01:PREREQ</x:v>
      </x:c>
      <x:c r="C508" s="27" t="str">
        <x:v>Emotion recognition, communication, and one-rule inhibition.</x:v>
      </x:c>
      <x:c r="D508" s="27" t="str">
        <x:v>PREREQUISITE</x:v>
      </x:c>
      <x:c r="E508" s="27" t="str">
        <x:v>S09-SEL-01</x:v>
      </x:c>
      <x:c r="F508" s="27" t="str">
        <x:v>Named coping action</x:v>
      </x:c>
      <x:c r="G508" s="27" t="str">
        <x:v>S09</x:v>
      </x:c>
      <x:c r="H508" s="27" t="str">
        <x:v>Social-Emotional</x:v>
      </x:c>
      <x:c r="I508" s="27" t="str">
        <x:v>SRC02; SRC18</x:v>
      </x:c>
      <x:c r="J508" s="27" t="str">
        <x:v>Incoming prerequisite relationship.</x:v>
      </x:c>
    </x:row>
    <x:row r="509">
      <x:c r="A509" s="27" t="str">
        <x:v>E00505</x:v>
      </x:c>
      <x:c r="B509" s="27" t="str">
        <x:v>S09-SEL-01:GROUND</x:v>
      </x:c>
      <x:c r="C509" s="27" t="str">
        <x:v>G3 — Shared reference and symbol</x:v>
      </x:c>
      <x:c r="D509" s="27" t="str">
        <x:v>GROUNDED_BY</x:v>
      </x:c>
      <x:c r="E509" s="27" t="str">
        <x:v>S09-SEL-01</x:v>
      </x:c>
      <x:c r="F509" s="27" t="str">
        <x:v>Named coping action</x:v>
      </x:c>
      <x:c r="G509" s="27" t="str">
        <x:v>S09</x:v>
      </x:c>
      <x:c r="H509" s="27" t="str">
        <x:v>Social-Emotional</x:v>
      </x:c>
      <x:c r="I509" s="27" t="str">
        <x:v>SRC02; SRC18</x:v>
      </x:c>
      <x:c r="J509" s="27" t="str">
        <x:v>Grounding form used to preserve meaning.</x:v>
      </x:c>
    </x:row>
    <x:row r="510">
      <x:c r="A510" s="27" t="str">
        <x:v>E00506</x:v>
      </x:c>
      <x:c r="B510" s="27" t="str">
        <x:v>S09-SEL-01</x:v>
      </x:c>
      <x:c r="C510" s="27" t="str">
        <x:v>Named coping action</x:v>
      </x:c>
      <x:c r="D510" s="27" t="str">
        <x:v>CONNECTS_TO</x:v>
      </x:c>
      <x:c r="E510" s="27" t="str">
        <x:v>S09-SEL-01:CROSS</x:v>
      </x:c>
      <x:c r="F510" s="27" t="str">
        <x:v>Language and communication; health; collaboration in science, arts, civics, and projects; responsible digital/financial decisions.</x:v>
      </x:c>
      <x:c r="G510" s="27" t="str">
        <x:v>S09</x:v>
      </x:c>
      <x:c r="H510" s="27" t="str">
        <x:v>Social-Emotional</x:v>
      </x:c>
      <x:c r="I510" s="27" t="str">
        <x:v>SRC02; SRC18</x:v>
      </x:c>
      <x:c r="J510" s="27" t="str">
        <x:v>Parallel subject and representation links.</x:v>
      </x:c>
    </x:row>
    <x:row r="511">
      <x:c r="A511" s="27" t="str">
        <x:v>E00507</x:v>
      </x:c>
      <x:c r="B511" s="27" t="str">
        <x:v>S09-SEL-01</x:v>
      </x:c>
      <x:c r="C511" s="27" t="str">
        <x:v>Named coping action</x:v>
      </x:c>
      <x:c r="D511" s="27" t="str">
        <x:v>UNLOCKS</x:v>
      </x:c>
      <x:c r="E511" s="27" t="str">
        <x:v>S09-SEL-01:NEXT</x:v>
      </x:c>
      <x:c r="F511" s="27" t="str">
        <x:v>An explicit strategy turns co-regulation into early self-management.</x:v>
      </x:c>
      <x:c r="G511" s="27" t="str">
        <x:v>S09</x:v>
      </x:c>
      <x:c r="H511" s="27" t="str">
        <x:v>Social-Emotional</x:v>
      </x:c>
      <x:c r="I511" s="27" t="str">
        <x:v>SRC02; SRC18</x:v>
      </x:c>
      <x:c r="J511" s="27" t="str">
        <x:v>Outgoing use and placement rationale.</x:v>
      </x:c>
    </x:row>
    <x:row r="512">
      <x:c r="A512" s="27" t="str">
        <x:v>E00508</x:v>
      </x:c>
      <x:c r="B512" s="27" t="str">
        <x:v>S09-SEL-01</x:v>
      </x:c>
      <x:c r="C512" s="27" t="str">
        <x:v>Named coping action</x:v>
      </x:c>
      <x:c r="D512" s="27" t="str">
        <x:v>VERIFIED_BY</x:v>
      </x:c>
      <x:c r="E512" s="27" t="str">
        <x:v>S09-SEL-01:EVIDENCE</x:v>
      </x:c>
      <x:c r="F512" s="27" t="str">
        <x:v>Selects or accepts a familiar coping action during manageable frustration.</x:v>
      </x:c>
      <x:c r="G512" s="27" t="str">
        <x:v>S09</x:v>
      </x:c>
      <x:c r="H512" s="27" t="str">
        <x:v>Social-Emotional</x:v>
      </x:c>
      <x:c r="I512" s="27" t="str">
        <x:v>SRC02; SRC18</x:v>
      </x:c>
      <x:c r="J512" s="27" t="str">
        <x:v>Observable evidence of usable learning.</x:v>
      </x:c>
    </x:row>
    <x:row r="513">
      <x:c r="A513" s="27" t="str">
        <x:v>E00509</x:v>
      </x:c>
      <x:c r="B513" s="27" t="str">
        <x:v>S09-SEL-01</x:v>
      </x:c>
      <x:c r="C513" s="27" t="str">
        <x:v>Previous node in domain progression</x:v>
      </x:c>
      <x:c r="D513" s="27" t="str">
        <x:v>DOMAIN_SEQUENCE</x:v>
      </x:c>
      <x:c r="E513" s="27" t="str">
        <x:v>S09-SEL-02</x:v>
      </x:c>
      <x:c r="F513" s="27" t="str">
        <x:v>Associative play</x:v>
      </x:c>
      <x:c r="G513" s="27" t="str">
        <x:v>S09</x:v>
      </x:c>
      <x:c r="H513" s="27" t="str">
        <x:v>Social-Emotional</x:v>
      </x:c>
      <x:c r="I513" s="27" t="str">
        <x:v>SRC02; SRC18</x:v>
      </x:c>
      <x:c r="J513" s="27" t="str">
        <x:v>Ordered spiral link; consult explicit prerequisites for logical dependency.</x:v>
      </x:c>
    </x:row>
    <x:row r="514">
      <x:c r="A514" s="27" t="str">
        <x:v>E00510</x:v>
      </x:c>
      <x:c r="B514" s="27" t="str">
        <x:v>S09-SEL-02:PREREQ</x:v>
      </x:c>
      <x:c r="C514" s="27" t="str">
        <x:v>Parallel engagement, turn exchange, and symbolic play.</x:v>
      </x:c>
      <x:c r="D514" s="27" t="str">
        <x:v>PREREQUISITE</x:v>
      </x:c>
      <x:c r="E514" s="27" t="str">
        <x:v>S09-SEL-02</x:v>
      </x:c>
      <x:c r="F514" s="27" t="str">
        <x:v>Associative play</x:v>
      </x:c>
      <x:c r="G514" s="27" t="str">
        <x:v>S09</x:v>
      </x:c>
      <x:c r="H514" s="27" t="str">
        <x:v>Social-Emotional</x:v>
      </x:c>
      <x:c r="I514" s="27" t="str">
        <x:v>SRC02; SRC18</x:v>
      </x:c>
      <x:c r="J514" s="27" t="str">
        <x:v>Incoming prerequisite relationship.</x:v>
      </x:c>
    </x:row>
    <x:row r="515">
      <x:c r="A515" s="27" t="str">
        <x:v>E00511</x:v>
      </x:c>
      <x:c r="B515" s="27" t="str">
        <x:v>S09-SEL-02:GROUND</x:v>
      </x:c>
      <x:c r="C515" s="27" t="str">
        <x:v>G3 — Shared reference and symbol</x:v>
      </x:c>
      <x:c r="D515" s="27" t="str">
        <x:v>GROUNDED_BY</x:v>
      </x:c>
      <x:c r="E515" s="27" t="str">
        <x:v>S09-SEL-02</x:v>
      </x:c>
      <x:c r="F515" s="27" t="str">
        <x:v>Associative play</x:v>
      </x:c>
      <x:c r="G515" s="27" t="str">
        <x:v>S09</x:v>
      </x:c>
      <x:c r="H515" s="27" t="str">
        <x:v>Social-Emotional</x:v>
      </x:c>
      <x:c r="I515" s="27" t="str">
        <x:v>SRC02; SRC18</x:v>
      </x:c>
      <x:c r="J515" s="27" t="str">
        <x:v>Grounding form used to preserve meaning.</x:v>
      </x:c>
    </x:row>
    <x:row r="516">
      <x:c r="A516" s="27" t="str">
        <x:v>E00512</x:v>
      </x:c>
      <x:c r="B516" s="27" t="str">
        <x:v>S09-SEL-02</x:v>
      </x:c>
      <x:c r="C516" s="27" t="str">
        <x:v>Associative play</x:v>
      </x:c>
      <x:c r="D516" s="27" t="str">
        <x:v>CONNECTS_TO</x:v>
      </x:c>
      <x:c r="E516" s="27" t="str">
        <x:v>S09-SEL-02:CROSS</x:v>
      </x:c>
      <x:c r="F516" s="27" t="str">
        <x:v>Language and communication; health; collaboration in science, arts, civics, and projects; responsible digital/financial decisions.</x:v>
      </x:c>
      <x:c r="G516" s="27" t="str">
        <x:v>S09</x:v>
      </x:c>
      <x:c r="H516" s="27" t="str">
        <x:v>Social-Emotional</x:v>
      </x:c>
      <x:c r="I516" s="27" t="str">
        <x:v>SRC02; SRC18</x:v>
      </x:c>
      <x:c r="J516" s="27" t="str">
        <x:v>Parallel subject and representation links.</x:v>
      </x:c>
    </x:row>
    <x:row r="517">
      <x:c r="A517" s="27" t="str">
        <x:v>E00513</x:v>
      </x:c>
      <x:c r="B517" s="27" t="str">
        <x:v>S09-SEL-02</x:v>
      </x:c>
      <x:c r="C517" s="27" t="str">
        <x:v>Associative play</x:v>
      </x:c>
      <x:c r="D517" s="27" t="str">
        <x:v>UNLOCKS</x:v>
      </x:c>
      <x:c r="E517" s="27" t="str">
        <x:v>S09-SEL-02:NEXT</x:v>
      </x:c>
      <x:c r="F517" s="27" t="str">
        <x:v>Associative play prepares negotiated roles, rules, collaborative plans, and perspective-taking.</x:v>
      </x:c>
      <x:c r="G517" s="27" t="str">
        <x:v>S09</x:v>
      </x:c>
      <x:c r="H517" s="27" t="str">
        <x:v>Social-Emotional</x:v>
      </x:c>
      <x:c r="I517" s="27" t="str">
        <x:v>SRC02; SRC18</x:v>
      </x:c>
      <x:c r="J517" s="27" t="str">
        <x:v>Outgoing use and placement rationale.</x:v>
      </x:c>
    </x:row>
    <x:row r="518">
      <x:c r="A518" s="27" t="str">
        <x:v>E00514</x:v>
      </x:c>
      <x:c r="B518" s="27" t="str">
        <x:v>S09-SEL-02</x:v>
      </x:c>
      <x:c r="C518" s="27" t="str">
        <x:v>Associative play</x:v>
      </x:c>
      <x:c r="D518" s="27" t="str">
        <x:v>VERIFIED_BY</x:v>
      </x:c>
      <x:c r="E518" s="27" t="str">
        <x:v>S09-SEL-02:EVIDENCE</x:v>
      </x:c>
      <x:c r="F518" s="27" t="str">
        <x:v>Maintains a shared theme or material exchange through several peer turns.</x:v>
      </x:c>
      <x:c r="G518" s="27" t="str">
        <x:v>S09</x:v>
      </x:c>
      <x:c r="H518" s="27" t="str">
        <x:v>Social-Emotional</x:v>
      </x:c>
      <x:c r="I518" s="27" t="str">
        <x:v>SRC02; SRC18</x:v>
      </x:c>
      <x:c r="J518" s="27" t="str">
        <x:v>Observable evidence of usable learning.</x:v>
      </x:c>
    </x:row>
    <x:row r="519">
      <x:c r="A519" s="27" t="str">
        <x:v>E00515</x:v>
      </x:c>
      <x:c r="B519" s="27" t="str">
        <x:v>S08-LANG-02</x:v>
      </x:c>
      <x:c r="C519" s="27" t="str">
        <x:v>Previous node in domain progression</x:v>
      </x:c>
      <x:c r="D519" s="27" t="str">
        <x:v>DOMAIN_SEQUENCE</x:v>
      </x:c>
      <x:c r="E519" s="27" t="str">
        <x:v>S09-LANG-01</x:v>
      </x:c>
      <x:c r="F519" s="27" t="str">
        <x:v>Personal event retell</x:v>
      </x:c>
      <x:c r="G519" s="27" t="str">
        <x:v>S09</x:v>
      </x:c>
      <x:c r="H519" s="27" t="str">
        <x:v>Language &amp; Communication</x:v>
      </x:c>
      <x:c r="I519" s="27" t="str">
        <x:v>SRC02; SRC10</x:v>
      </x:c>
      <x:c r="J519" s="27" t="str">
        <x:v>Ordered spiral link; consult explicit prerequisites for logical dependency.</x:v>
      </x:c>
    </x:row>
    <x:row r="520">
      <x:c r="A520" s="27" t="str">
        <x:v>E00516</x:v>
      </x:c>
      <x:c r="B520" s="27" t="str">
        <x:v>S09-LANG-01:PREREQ</x:v>
      </x:c>
      <x:c r="C520" s="27" t="str">
        <x:v>Event order, vocabulary, and short sentences.</x:v>
      </x:c>
      <x:c r="D520" s="27" t="str">
        <x:v>PREREQUISITE</x:v>
      </x:c>
      <x:c r="E520" s="27" t="str">
        <x:v>S09-LANG-01</x:v>
      </x:c>
      <x:c r="F520" s="27" t="str">
        <x:v>Personal event retell</x:v>
      </x:c>
      <x:c r="G520" s="27" t="str">
        <x:v>S09</x:v>
      </x:c>
      <x:c r="H520" s="27" t="str">
        <x:v>Language &amp; Communication</x:v>
      </x:c>
      <x:c r="I520" s="27" t="str">
        <x:v>SRC02; SRC10</x:v>
      </x:c>
      <x:c r="J520" s="27" t="str">
        <x:v>Incoming prerequisite relationship.</x:v>
      </x:c>
    </x:row>
    <x:row r="521">
      <x:c r="A521" s="27" t="str">
        <x:v>E00517</x:v>
      </x:c>
      <x:c r="B521" s="27" t="str">
        <x:v>S09-LANG-01:GROUND</x:v>
      </x:c>
      <x:c r="C521" s="27" t="str">
        <x:v>G3 — Shared reference and symbol</x:v>
      </x:c>
      <x:c r="D521" s="27" t="str">
        <x:v>GROUNDED_BY</x:v>
      </x:c>
      <x:c r="E521" s="27" t="str">
        <x:v>S09-LANG-01</x:v>
      </x:c>
      <x:c r="F521" s="27" t="str">
        <x:v>Personal event retell</x:v>
      </x:c>
      <x:c r="G521" s="27" t="str">
        <x:v>S09</x:v>
      </x:c>
      <x:c r="H521" s="27" t="str">
        <x:v>Language &amp; Communication</x:v>
      </x:c>
      <x:c r="I521" s="27" t="str">
        <x:v>SRC02; SRC10</x:v>
      </x:c>
      <x:c r="J521" s="27" t="str">
        <x:v>Grounding form used to preserve meaning.</x:v>
      </x:c>
    </x:row>
    <x:row r="522">
      <x:c r="A522" s="27" t="str">
        <x:v>E00518</x:v>
      </x:c>
      <x:c r="B522" s="27" t="str">
        <x:v>S09-LANG-01</x:v>
      </x:c>
      <x:c r="C522" s="27" t="str">
        <x:v>Personal event retell</x:v>
      </x:c>
      <x:c r="D522" s="27" t="str">
        <x:v>CONNECTS_TO</x:v>
      </x:c>
      <x:c r="E522" s="27" t="str">
        <x:v>S09-LANG-01:CROSS</x:v>
      </x:c>
      <x:c r="F522" s="27" t="str">
        <x:v>Reading and writing; vocabulary for math/science/social studies; discussion, music prosody, and world-language learning.</x:v>
      </x:c>
      <x:c r="G522" s="27" t="str">
        <x:v>S09</x:v>
      </x:c>
      <x:c r="H522" s="27" t="str">
        <x:v>Language &amp; Communication</x:v>
      </x:c>
      <x:c r="I522" s="27" t="str">
        <x:v>SRC02; SRC10</x:v>
      </x:c>
      <x:c r="J522" s="27" t="str">
        <x:v>Parallel subject and representation links.</x:v>
      </x:c>
    </x:row>
    <x:row r="523">
      <x:c r="A523" s="27" t="str">
        <x:v>E00519</x:v>
      </x:c>
      <x:c r="B523" s="27" t="str">
        <x:v>S09-LANG-01</x:v>
      </x:c>
      <x:c r="C523" s="27" t="str">
        <x:v>Personal event retell</x:v>
      </x:c>
      <x:c r="D523" s="27" t="str">
        <x:v>UNLOCKS</x:v>
      </x:c>
      <x:c r="E523" s="27" t="str">
        <x:v>S09-LANG-01:NEXT</x:v>
      </x:c>
      <x:c r="F523" s="27" t="str">
        <x:v>Retelling links memory to organized language and later reading comprehension and writing.</x:v>
      </x:c>
      <x:c r="G523" s="27" t="str">
        <x:v>S09</x:v>
      </x:c>
      <x:c r="H523" s="27" t="str">
        <x:v>Language &amp; Communication</x:v>
      </x:c>
      <x:c r="I523" s="27" t="str">
        <x:v>SRC02; SRC10</x:v>
      </x:c>
      <x:c r="J523" s="27" t="str">
        <x:v>Outgoing use and placement rationale.</x:v>
      </x:c>
    </x:row>
    <x:row r="524">
      <x:c r="A524" s="27" t="str">
        <x:v>E00520</x:v>
      </x:c>
      <x:c r="B524" s="27" t="str">
        <x:v>S09-LANG-01</x:v>
      </x:c>
      <x:c r="C524" s="27" t="str">
        <x:v>Personal event retell</x:v>
      </x:c>
      <x:c r="D524" s="27" t="str">
        <x:v>VERIFIED_BY</x:v>
      </x:c>
      <x:c r="E524" s="27" t="str">
        <x:v>S09-LANG-01:EVIDENCE</x:v>
      </x:c>
      <x:c r="F524" s="27" t="str">
        <x:v>Tells what happened in a recent event with recognizable content.</x:v>
      </x:c>
      <x:c r="G524" s="27" t="str">
        <x:v>S09</x:v>
      </x:c>
      <x:c r="H524" s="27" t="str">
        <x:v>Language &amp; Communication</x:v>
      </x:c>
      <x:c r="I524" s="27" t="str">
        <x:v>SRC02; SRC10</x:v>
      </x:c>
      <x:c r="J524" s="27" t="str">
        <x:v>Observable evidence of usable learning.</x:v>
      </x:c>
    </x:row>
    <x:row r="525">
      <x:c r="A525" s="27" t="str">
        <x:v>E00521</x:v>
      </x:c>
      <x:c r="B525" s="27" t="str">
        <x:v>S08-READ-01</x:v>
      </x:c>
      <x:c r="C525" s="27" t="str">
        <x:v>Previous node in domain progression</x:v>
      </x:c>
      <x:c r="D525" s="27" t="str">
        <x:v>DOMAIN_SEQUENCE</x:v>
      </x:c>
      <x:c r="E525" s="27" t="str">
        <x:v>S09-READ-01</x:v>
      </x:c>
      <x:c r="F525" s="27" t="str">
        <x:v>Book handling and direction</x:v>
      </x:c>
      <x:c r="G525" s="27" t="str">
        <x:v>S09</x:v>
      </x:c>
      <x:c r="H525" s="27" t="str">
        <x:v>Reading</x:v>
      </x:c>
      <x:c r="I525" s="27" t="str">
        <x:v>SRC02; SRC10</x:v>
      </x:c>
      <x:c r="J525" s="27" t="str">
        <x:v>Ordered spiral link; consult explicit prerequisites for logical dependency.</x:v>
      </x:c>
    </x:row>
    <x:row r="526">
      <x:c r="A526" s="27" t="str">
        <x:v>E00522</x:v>
      </x:c>
      <x:c r="B526" s="27" t="str">
        <x:v>S09-READ-01:PREREQ</x:v>
      </x:c>
      <x:c r="C526" s="27" t="str">
        <x:v>Picture interpretation and routine participation.</x:v>
      </x:c>
      <x:c r="D526" s="27" t="str">
        <x:v>PREREQUISITE</x:v>
      </x:c>
      <x:c r="E526" s="27" t="str">
        <x:v>S09-READ-01</x:v>
      </x:c>
      <x:c r="F526" s="27" t="str">
        <x:v>Book handling and direction</x:v>
      </x:c>
      <x:c r="G526" s="27" t="str">
        <x:v>S09</x:v>
      </x:c>
      <x:c r="H526" s="27" t="str">
        <x:v>Reading</x:v>
      </x:c>
      <x:c r="I526" s="27" t="str">
        <x:v>SRC02; SRC10</x:v>
      </x:c>
      <x:c r="J526" s="27" t="str">
        <x:v>Incoming prerequisite relationship.</x:v>
      </x:c>
    </x:row>
    <x:row r="527">
      <x:c r="A527" s="27" t="str">
        <x:v>E00523</x:v>
      </x:c>
      <x:c r="B527" s="27" t="str">
        <x:v>S09-READ-01:GROUND</x:v>
      </x:c>
      <x:c r="C527" s="27" t="str">
        <x:v>G3 — Shared reference and symbol</x:v>
      </x:c>
      <x:c r="D527" s="27" t="str">
        <x:v>GROUNDED_BY</x:v>
      </x:c>
      <x:c r="E527" s="27" t="str">
        <x:v>S09-READ-01</x:v>
      </x:c>
      <x:c r="F527" s="27" t="str">
        <x:v>Book handling and direction</x:v>
      </x:c>
      <x:c r="G527" s="27" t="str">
        <x:v>S09</x:v>
      </x:c>
      <x:c r="H527" s="27" t="str">
        <x:v>Reading</x:v>
      </x:c>
      <x:c r="I527" s="27" t="str">
        <x:v>SRC02; SRC10</x:v>
      </x:c>
      <x:c r="J527" s="27" t="str">
        <x:v>Grounding form used to preserve meaning.</x:v>
      </x:c>
    </x:row>
    <x:row r="528">
      <x:c r="A528" s="27" t="str">
        <x:v>E00524</x:v>
      </x:c>
      <x:c r="B528" s="27" t="str">
        <x:v>S09-READ-01</x:v>
      </x:c>
      <x:c r="C528" s="27" t="str">
        <x:v>Book handling and direction</x:v>
      </x:c>
      <x:c r="D528" s="27" t="str">
        <x:v>CONNECTS_TO</x:v>
      </x:c>
      <x:c r="E528" s="27" t="str">
        <x:v>S09-READ-01:CROSS</x:v>
      </x:c>
      <x:c r="F528" s="27" t="str">
        <x:v>Oral language and writing; evidence in science/social studies; mathematical and technical problem interpretation; media verification.</x:v>
      </x:c>
      <x:c r="G528" s="27" t="str">
        <x:v>S09</x:v>
      </x:c>
      <x:c r="H528" s="27" t="str">
        <x:v>Reading</x:v>
      </x:c>
      <x:c r="I528" s="27" t="str">
        <x:v>SRC02; SRC10</x:v>
      </x:c>
      <x:c r="J528" s="27" t="str">
        <x:v>Parallel subject and representation links.</x:v>
      </x:c>
    </x:row>
    <x:row r="529">
      <x:c r="A529" s="27" t="str">
        <x:v>E00525</x:v>
      </x:c>
      <x:c r="B529" s="27" t="str">
        <x:v>S09-READ-01</x:v>
      </x:c>
      <x:c r="C529" s="27" t="str">
        <x:v>Book handling and direction</x:v>
      </x:c>
      <x:c r="D529" s="27" t="str">
        <x:v>UNLOCKS</x:v>
      </x:c>
      <x:c r="E529" s="27" t="str">
        <x:v>S09-READ-01:NEXT</x:v>
      </x:c>
      <x:c r="F529" s="27" t="str">
        <x:v>Book conventions allow attention to print order, story continuity, and page-level reference.</x:v>
      </x:c>
      <x:c r="G529" s="27" t="str">
        <x:v>S09</x:v>
      </x:c>
      <x:c r="H529" s="27" t="str">
        <x:v>Reading</x:v>
      </x:c>
      <x:c r="I529" s="27" t="str">
        <x:v>SRC02; SRC10</x:v>
      </x:c>
      <x:c r="J529" s="27" t="str">
        <x:v>Outgoing use and placement rationale.</x:v>
      </x:c>
    </x:row>
    <x:row r="530">
      <x:c r="A530" s="27" t="str">
        <x:v>E00526</x:v>
      </x:c>
      <x:c r="B530" s="27" t="str">
        <x:v>S09-READ-01</x:v>
      </x:c>
      <x:c r="C530" s="27" t="str">
        <x:v>Book handling and direction</x:v>
      </x:c>
      <x:c r="D530" s="27" t="str">
        <x:v>VERIFIED_BY</x:v>
      </x:c>
      <x:c r="E530" s="27" t="str">
        <x:v>S09-READ-01:EVIDENCE</x:v>
      </x:c>
      <x:c r="F530" s="27" t="str">
        <x:v>Orients and moves through a familiar book in a generally conventional sequence.</x:v>
      </x:c>
      <x:c r="G530" s="27" t="str">
        <x:v>S09</x:v>
      </x:c>
      <x:c r="H530" s="27" t="str">
        <x:v>Reading</x:v>
      </x:c>
      <x:c r="I530" s="27" t="str">
        <x:v>SRC02; SRC10</x:v>
      </x:c>
      <x:c r="J530" s="27" t="str">
        <x:v>Observable evidence of usable learning.</x:v>
      </x:c>
    </x:row>
    <x:row r="531">
      <x:c r="A531" s="27" t="str">
        <x:v>E00527</x:v>
      </x:c>
      <x:c r="B531" s="27" t="str">
        <x:v>S09-READ-01</x:v>
      </x:c>
      <x:c r="C531" s="27" t="str">
        <x:v>Previous node in domain progression</x:v>
      </x:c>
      <x:c r="D531" s="27" t="str">
        <x:v>DOMAIN_SEQUENCE</x:v>
      </x:c>
      <x:c r="E531" s="27" t="str">
        <x:v>S09-READ-02</x:v>
      </x:c>
      <x:c r="F531" s="27" t="str">
        <x:v>Sound play and rhyme sensitivity</x:v>
      </x:c>
      <x:c r="G531" s="27" t="str">
        <x:v>S09</x:v>
      </x:c>
      <x:c r="H531" s="27" t="str">
        <x:v>Reading</x:v>
      </x:c>
      <x:c r="I531" s="27" t="str">
        <x:v>SRC02; SRC08; SRC10</x:v>
      </x:c>
      <x:c r="J531" s="27" t="str">
        <x:v>Ordered spiral link; consult explicit prerequisites for logical dependency.</x:v>
      </x:c>
    </x:row>
    <x:row r="532">
      <x:c r="A532" s="27" t="str">
        <x:v>E00528</x:v>
      </x:c>
      <x:c r="B532" s="27" t="str">
        <x:v>S09-READ-02:PREREQ</x:v>
      </x:c>
      <x:c r="C532" s="27" t="str">
        <x:v>Speech perception, rhythm echo, and vocabulary.</x:v>
      </x:c>
      <x:c r="D532" s="27" t="str">
        <x:v>PREREQUISITE</x:v>
      </x:c>
      <x:c r="E532" s="27" t="str">
        <x:v>S09-READ-02</x:v>
      </x:c>
      <x:c r="F532" s="27" t="str">
        <x:v>Sound play and rhyme sensitivity</x:v>
      </x:c>
      <x:c r="G532" s="27" t="str">
        <x:v>S09</x:v>
      </x:c>
      <x:c r="H532" s="27" t="str">
        <x:v>Reading</x:v>
      </x:c>
      <x:c r="I532" s="27" t="str">
        <x:v>SRC02; SRC08; SRC10</x:v>
      </x:c>
      <x:c r="J532" s="27" t="str">
        <x:v>Incoming prerequisite relationship.</x:v>
      </x:c>
    </x:row>
    <x:row r="533">
      <x:c r="A533" s="27" t="str">
        <x:v>E00529</x:v>
      </x:c>
      <x:c r="B533" s="27" t="str">
        <x:v>S09-READ-02:GROUND</x:v>
      </x:c>
      <x:c r="C533" s="27" t="str">
        <x:v>G3 — Shared reference and symbol</x:v>
      </x:c>
      <x:c r="D533" s="27" t="str">
        <x:v>GROUNDED_BY</x:v>
      </x:c>
      <x:c r="E533" s="27" t="str">
        <x:v>S09-READ-02</x:v>
      </x:c>
      <x:c r="F533" s="27" t="str">
        <x:v>Sound play and rhyme sensitivity</x:v>
      </x:c>
      <x:c r="G533" s="27" t="str">
        <x:v>S09</x:v>
      </x:c>
      <x:c r="H533" s="27" t="str">
        <x:v>Reading</x:v>
      </x:c>
      <x:c r="I533" s="27" t="str">
        <x:v>SRC02; SRC08; SRC10</x:v>
      </x:c>
      <x:c r="J533" s="27" t="str">
        <x:v>Grounding form used to preserve meaning.</x:v>
      </x:c>
    </x:row>
    <x:row r="534">
      <x:c r="A534" s="27" t="str">
        <x:v>E00530</x:v>
      </x:c>
      <x:c r="B534" s="27" t="str">
        <x:v>S09-READ-02</x:v>
      </x:c>
      <x:c r="C534" s="27" t="str">
        <x:v>Sound play and rhyme sensitivity</x:v>
      </x:c>
      <x:c r="D534" s="27" t="str">
        <x:v>CONNECTS_TO</x:v>
      </x:c>
      <x:c r="E534" s="27" t="str">
        <x:v>S09-READ-02:CROSS</x:v>
      </x:c>
      <x:c r="F534" s="27" t="str">
        <x:v>Oral language and writing; evidence in science/social studies; mathematical and technical problem interpretation; media verification.</x:v>
      </x:c>
      <x:c r="G534" s="27" t="str">
        <x:v>S09</x:v>
      </x:c>
      <x:c r="H534" s="27" t="str">
        <x:v>Reading</x:v>
      </x:c>
      <x:c r="I534" s="27" t="str">
        <x:v>SRC02; SRC08; SRC10</x:v>
      </x:c>
      <x:c r="J534" s="27" t="str">
        <x:v>Parallel subject and representation links.</x:v>
      </x:c>
    </x:row>
    <x:row r="535">
      <x:c r="A535" s="27" t="str">
        <x:v>E00531</x:v>
      </x:c>
      <x:c r="B535" s="27" t="str">
        <x:v>S09-READ-02</x:v>
      </x:c>
      <x:c r="C535" s="27" t="str">
        <x:v>Sound play and rhyme sensitivity</x:v>
      </x:c>
      <x:c r="D535" s="27" t="str">
        <x:v>UNLOCKS</x:v>
      </x:c>
      <x:c r="E535" s="27" t="str">
        <x:v>S09-READ-02:NEXT</x:v>
      </x:c>
      <x:c r="F535" s="27" t="str">
        <x:v>Attention to sound form prepares explicit syllable, onset-rime, and phoneme work.</x:v>
      </x:c>
      <x:c r="G535" s="27" t="str">
        <x:v>S09</x:v>
      </x:c>
      <x:c r="H535" s="27" t="str">
        <x:v>Reading</x:v>
      </x:c>
      <x:c r="I535" s="27" t="str">
        <x:v>SRC02; SRC08; SRC10</x:v>
      </x:c>
      <x:c r="J535" s="27" t="str">
        <x:v>Outgoing use and placement rationale.</x:v>
      </x:c>
    </x:row>
    <x:row r="536">
      <x:c r="A536" s="27" t="str">
        <x:v>E00532</x:v>
      </x:c>
      <x:c r="B536" s="27" t="str">
        <x:v>S09-READ-02</x:v>
      </x:c>
      <x:c r="C536" s="27" t="str">
        <x:v>Sound play and rhyme sensitivity</x:v>
      </x:c>
      <x:c r="D536" s="27" t="str">
        <x:v>VERIFIED_BY</x:v>
      </x:c>
      <x:c r="E536" s="27" t="str">
        <x:v>S09-READ-02:EVIDENCE</x:v>
      </x:c>
      <x:c r="F536" s="27" t="str">
        <x:v>Completes or recognizes a familiar rhyme or joins a repeated sound pattern.</x:v>
      </x:c>
      <x:c r="G536" s="27" t="str">
        <x:v>S09</x:v>
      </x:c>
      <x:c r="H536" s="27" t="str">
        <x:v>Reading</x:v>
      </x:c>
      <x:c r="I536" s="27" t="str">
        <x:v>SRC02; SRC08; SRC10</x:v>
      </x:c>
      <x:c r="J536" s="27" t="str">
        <x:v>Observable evidence of usable learning.</x:v>
      </x:c>
    </x:row>
    <x:row r="537">
      <x:c r="A537" s="27" t="str">
        <x:v>E00533</x:v>
      </x:c>
      <x:c r="B537" s="27" t="str">
        <x:v>S08-MATH-02</x:v>
      </x:c>
      <x:c r="C537" s="27" t="str">
        <x:v>Previous node in domain progression</x:v>
      </x:c>
      <x:c r="D537" s="27" t="str">
        <x:v>DOMAIN_SEQUENCE</x:v>
      </x:c>
      <x:c r="E537" s="27" t="str">
        <x:v>S09-MATH-01</x:v>
      </x:c>
      <x:c r="F537" s="27" t="str">
        <x:v>One-to-one counting of small sets</x:v>
      </x:c>
      <x:c r="G537" s="27" t="str">
        <x:v>S09</x:v>
      </x:c>
      <x:c r="H537" s="27" t="str">
        <x:v>Mathematics</x:v>
      </x:c>
      <x:c r="I537" s="27" t="str">
        <x:v>SRC02; SRC07</x:v>
      </x:c>
      <x:c r="J537" s="27" t="str">
        <x:v>Ordered spiral link; consult explicit prerequisites for logical dependency.</x:v>
      </x:c>
    </x:row>
    <x:row r="538">
      <x:c r="A538" s="27" t="str">
        <x:v>E00534</x:v>
      </x:c>
      <x:c r="B538" s="27" t="str">
        <x:v>S09-MATH-01:PREREQ</x:v>
      </x:c>
      <x:c r="C538" s="27" t="str">
        <x:v>Stable number-word sequence and one-to-one correspondence.</x:v>
      </x:c>
      <x:c r="D538" s="27" t="str">
        <x:v>PREREQUISITE</x:v>
      </x:c>
      <x:c r="E538" s="27" t="str">
        <x:v>S09-MATH-01</x:v>
      </x:c>
      <x:c r="F538" s="27" t="str">
        <x:v>One-to-one counting of small sets</x:v>
      </x:c>
      <x:c r="G538" s="27" t="str">
        <x:v>S09</x:v>
      </x:c>
      <x:c r="H538" s="27" t="str">
        <x:v>Mathematics</x:v>
      </x:c>
      <x:c r="I538" s="27" t="str">
        <x:v>SRC02; SRC07</x:v>
      </x:c>
      <x:c r="J538" s="27" t="str">
        <x:v>Incoming prerequisite relationship.</x:v>
      </x:c>
    </x:row>
    <x:row r="539">
      <x:c r="A539" s="27" t="str">
        <x:v>E00535</x:v>
      </x:c>
      <x:c r="B539" s="27" t="str">
        <x:v>S09-MATH-01:GROUND</x:v>
      </x:c>
      <x:c r="C539" s="27" t="str">
        <x:v>G3 — Shared reference and symbol</x:v>
      </x:c>
      <x:c r="D539" s="27" t="str">
        <x:v>GROUNDED_BY</x:v>
      </x:c>
      <x:c r="E539" s="27" t="str">
        <x:v>S09-MATH-01</x:v>
      </x:c>
      <x:c r="F539" s="27" t="str">
        <x:v>One-to-one counting of small sets</x:v>
      </x:c>
      <x:c r="G539" s="27" t="str">
        <x:v>S09</x:v>
      </x:c>
      <x:c r="H539" s="27" t="str">
        <x:v>Mathematics</x:v>
      </x:c>
      <x:c r="I539" s="27" t="str">
        <x:v>SRC02; SRC07</x:v>
      </x:c>
      <x:c r="J539" s="27" t="str">
        <x:v>Grounding form used to preserve meaning.</x:v>
      </x:c>
    </x:row>
    <x:row r="540">
      <x:c r="A540" s="27" t="str">
        <x:v>E00536</x:v>
      </x:c>
      <x:c r="B540" s="27" t="str">
        <x:v>S09-MATH-01</x:v>
      </x:c>
      <x:c r="C540" s="27" t="str">
        <x:v>One-to-one counting of small sets</x:v>
      </x:c>
      <x:c r="D540" s="27" t="str">
        <x:v>CONNECTS_TO</x:v>
      </x:c>
      <x:c r="E540" s="27" t="str">
        <x:v>S09-MATH-01:CROSS</x:v>
      </x:c>
      <x:c r="F540" s="27" t="str">
        <x:v>Physical quantity and spatial action; science measurement/models; computing/algorithms; finance; music rhythm/pattern; geographic data.</x:v>
      </x:c>
      <x:c r="G540" s="27" t="str">
        <x:v>S09</x:v>
      </x:c>
      <x:c r="H540" s="27" t="str">
        <x:v>Mathematics</x:v>
      </x:c>
      <x:c r="I540" s="27" t="str">
        <x:v>SRC02; SRC07</x:v>
      </x:c>
      <x:c r="J540" s="27" t="str">
        <x:v>Parallel subject and representation links.</x:v>
      </x:c>
    </x:row>
    <x:row r="541">
      <x:c r="A541" s="27" t="str">
        <x:v>E00537</x:v>
      </x:c>
      <x:c r="B541" s="27" t="str">
        <x:v>S09-MATH-01</x:v>
      </x:c>
      <x:c r="C541" s="27" t="str">
        <x:v>One-to-one counting of small sets</x:v>
      </x:c>
      <x:c r="D541" s="27" t="str">
        <x:v>UNLOCKS</x:v>
      </x:c>
      <x:c r="E541" s="27" t="str">
        <x:v>S09-MATH-01:NEXT</x:v>
      </x:c>
      <x:c r="F541" s="27" t="str">
        <x:v>Coordinating one word per object is essential for accurate counting.</x:v>
      </x:c>
      <x:c r="G541" s="27" t="str">
        <x:v>S09</x:v>
      </x:c>
      <x:c r="H541" s="27" t="str">
        <x:v>Mathematics</x:v>
      </x:c>
      <x:c r="I541" s="27" t="str">
        <x:v>SRC02; SRC07</x:v>
      </x:c>
      <x:c r="J541" s="27" t="str">
        <x:v>Outgoing use and placement rationale.</x:v>
      </x:c>
    </x:row>
    <x:row r="542">
      <x:c r="A542" s="27" t="str">
        <x:v>E00538</x:v>
      </x:c>
      <x:c r="B542" s="27" t="str">
        <x:v>S09-MATH-01</x:v>
      </x:c>
      <x:c r="C542" s="27" t="str">
        <x:v>One-to-one counting of small sets</x:v>
      </x:c>
      <x:c r="D542" s="27" t="str">
        <x:v>VERIFIED_BY</x:v>
      </x:c>
      <x:c r="E542" s="27" t="str">
        <x:v>S09-MATH-01:EVIDENCE</x:v>
      </x:c>
      <x:c r="F542" s="27" t="str">
        <x:v>Counts a small set with one number word assigned to each item.</x:v>
      </x:c>
      <x:c r="G542" s="27" t="str">
        <x:v>S09</x:v>
      </x:c>
      <x:c r="H542" s="27" t="str">
        <x:v>Mathematics</x:v>
      </x:c>
      <x:c r="I542" s="27" t="str">
        <x:v>SRC02; SRC07</x:v>
      </x:c>
      <x:c r="J542" s="27" t="str">
        <x:v>Observable evidence of usable learning.</x:v>
      </x:c>
    </x:row>
    <x:row r="543">
      <x:c r="A543" s="27" t="str">
        <x:v>E00539</x:v>
      </x:c>
      <x:c r="B543" s="27" t="str">
        <x:v>S09-MATH-01</x:v>
      </x:c>
      <x:c r="C543" s="27" t="str">
        <x:v>Previous node in domain progression</x:v>
      </x:c>
      <x:c r="D543" s="27" t="str">
        <x:v>DOMAIN_SEQUENCE</x:v>
      </x:c>
      <x:c r="E543" s="27" t="str">
        <x:v>S09-MATH-02</x:v>
      </x:c>
      <x:c r="F543" s="27" t="str">
        <x:v>How-many meaning</x:v>
      </x:c>
      <x:c r="G543" s="27" t="str">
        <x:v>S09</x:v>
      </x:c>
      <x:c r="H543" s="27" t="str">
        <x:v>Mathematics</x:v>
      </x:c>
      <x:c r="I543" s="27" t="str">
        <x:v>SRC02; SRC07</x:v>
      </x:c>
      <x:c r="J543" s="27" t="str">
        <x:v>Ordered spiral link; consult explicit prerequisites for logical dependency.</x:v>
      </x:c>
    </x:row>
    <x:row r="544">
      <x:c r="A544" s="27" t="str">
        <x:v>E00540</x:v>
      </x:c>
      <x:c r="B544" s="27" t="str">
        <x:v>S09-MATH-02:PREREQ</x:v>
      </x:c>
      <x:c r="C544" s="27" t="str">
        <x:v>One-to-one counting and stable order.</x:v>
      </x:c>
      <x:c r="D544" s="27" t="str">
        <x:v>PREREQUISITE</x:v>
      </x:c>
      <x:c r="E544" s="27" t="str">
        <x:v>S09-MATH-02</x:v>
      </x:c>
      <x:c r="F544" s="27" t="str">
        <x:v>How-many meaning</x:v>
      </x:c>
      <x:c r="G544" s="27" t="str">
        <x:v>S09</x:v>
      </x:c>
      <x:c r="H544" s="27" t="str">
        <x:v>Mathematics</x:v>
      </x:c>
      <x:c r="I544" s="27" t="str">
        <x:v>SRC02; SRC07</x:v>
      </x:c>
      <x:c r="J544" s="27" t="str">
        <x:v>Incoming prerequisite relationship.</x:v>
      </x:c>
    </x:row>
    <x:row r="545">
      <x:c r="A545" s="27" t="str">
        <x:v>E00541</x:v>
      </x:c>
      <x:c r="B545" s="27" t="str">
        <x:v>S09-MATH-02:GROUND</x:v>
      </x:c>
      <x:c r="C545" s="27" t="str">
        <x:v>G3 — Shared reference and symbol</x:v>
      </x:c>
      <x:c r="D545" s="27" t="str">
        <x:v>GROUNDED_BY</x:v>
      </x:c>
      <x:c r="E545" s="27" t="str">
        <x:v>S09-MATH-02</x:v>
      </x:c>
      <x:c r="F545" s="27" t="str">
        <x:v>How-many meaning</x:v>
      </x:c>
      <x:c r="G545" s="27" t="str">
        <x:v>S09</x:v>
      </x:c>
      <x:c r="H545" s="27" t="str">
        <x:v>Mathematics</x:v>
      </x:c>
      <x:c r="I545" s="27" t="str">
        <x:v>SRC02; SRC07</x:v>
      </x:c>
      <x:c r="J545" s="27" t="str">
        <x:v>Grounding form used to preserve meaning.</x:v>
      </x:c>
    </x:row>
    <x:row r="546">
      <x:c r="A546" s="27" t="str">
        <x:v>E00542</x:v>
      </x:c>
      <x:c r="B546" s="27" t="str">
        <x:v>S09-MATH-02</x:v>
      </x:c>
      <x:c r="C546" s="27" t="str">
        <x:v>How-many meaning</x:v>
      </x:c>
      <x:c r="D546" s="27" t="str">
        <x:v>CONNECTS_TO</x:v>
      </x:c>
      <x:c r="E546" s="27" t="str">
        <x:v>S09-MATH-02:CROSS</x:v>
      </x:c>
      <x:c r="F546" s="27" t="str">
        <x:v>Physical quantity and spatial action; science measurement/models; computing/algorithms; finance; music rhythm/pattern; geographic data.</x:v>
      </x:c>
      <x:c r="G546" s="27" t="str">
        <x:v>S09</x:v>
      </x:c>
      <x:c r="H546" s="27" t="str">
        <x:v>Mathematics</x:v>
      </x:c>
      <x:c r="I546" s="27" t="str">
        <x:v>SRC02; SRC07</x:v>
      </x:c>
      <x:c r="J546" s="27" t="str">
        <x:v>Parallel subject and representation links.</x:v>
      </x:c>
    </x:row>
    <x:row r="547">
      <x:c r="A547" s="27" t="str">
        <x:v>E00543</x:v>
      </x:c>
      <x:c r="B547" s="27" t="str">
        <x:v>S09-MATH-02</x:v>
      </x:c>
      <x:c r="C547" s="27" t="str">
        <x:v>How-many meaning</x:v>
      </x:c>
      <x:c r="D547" s="27" t="str">
        <x:v>UNLOCKS</x:v>
      </x:c>
      <x:c r="E547" s="27" t="str">
        <x:v>S09-MATH-02:NEXT</x:v>
      </x:c>
      <x:c r="F547" s="27" t="str">
        <x:v>Cardinality converts a counting procedure into a quantity concept used in comparison and operations.</x:v>
      </x:c>
      <x:c r="G547" s="27" t="str">
        <x:v>S09</x:v>
      </x:c>
      <x:c r="H547" s="27" t="str">
        <x:v>Mathematics</x:v>
      </x:c>
      <x:c r="I547" s="27" t="str">
        <x:v>SRC02; SRC07</x:v>
      </x:c>
      <x:c r="J547" s="27" t="str">
        <x:v>Outgoing use and placement rationale.</x:v>
      </x:c>
    </x:row>
    <x:row r="548">
      <x:c r="A548" s="27" t="str">
        <x:v>E00544</x:v>
      </x:c>
      <x:c r="B548" s="27" t="str">
        <x:v>S09-MATH-02</x:v>
      </x:c>
      <x:c r="C548" s="27" t="str">
        <x:v>How-many meaning</x:v>
      </x:c>
      <x:c r="D548" s="27" t="str">
        <x:v>VERIFIED_BY</x:v>
      </x:c>
      <x:c r="E548" s="27" t="str">
        <x:v>S09-MATH-02:EVIDENCE</x:v>
      </x:c>
      <x:c r="F548" s="27" t="str">
        <x:v>After counting, states the total without restarting when asked how many.</x:v>
      </x:c>
      <x:c r="G548" s="27" t="str">
        <x:v>S09</x:v>
      </x:c>
      <x:c r="H548" s="27" t="str">
        <x:v>Mathematics</x:v>
      </x:c>
      <x:c r="I548" s="27" t="str">
        <x:v>SRC02; SRC07</x:v>
      </x:c>
      <x:c r="J548" s="27" t="str">
        <x:v>Observable evidence of usable learning.</x:v>
      </x:c>
    </x:row>
    <x:row r="549">
      <x:c r="A549" s="27" t="str">
        <x:v>E00545</x:v>
      </x:c>
      <x:c r="B549" s="27" t="str">
        <x:v>S09-MATH-02</x:v>
      </x:c>
      <x:c r="C549" s="27" t="str">
        <x:v>Previous node in domain progression</x:v>
      </x:c>
      <x:c r="D549" s="27" t="str">
        <x:v>DOMAIN_SEQUENCE</x:v>
      </x:c>
      <x:c r="E549" s="27" t="str">
        <x:v>S09-MATH-03</x:v>
      </x:c>
      <x:c r="F549" s="27" t="str">
        <x:v>Copying a simple repeating pattern</x:v>
      </x:c>
      <x:c r="G549" s="27" t="str">
        <x:v>S09</x:v>
      </x:c>
      <x:c r="H549" s="27" t="str">
        <x:v>Mathematics</x:v>
      </x:c>
      <x:c r="I549" s="27" t="str">
        <x:v>SRC02; SRC07</x:v>
      </x:c>
      <x:c r="J549" s="27" t="str">
        <x:v>Ordered spiral link; consult explicit prerequisites for logical dependency.</x:v>
      </x:c>
    </x:row>
    <x:row r="550">
      <x:c r="A550" s="27" t="str">
        <x:v>E00546</x:v>
      </x:c>
      <x:c r="B550" s="27" t="str">
        <x:v>S09-MATH-03:PREREQ</x:v>
      </x:c>
      <x:c r="C550" s="27" t="str">
        <x:v>Exact matching, sequencing, and sorting.</x:v>
      </x:c>
      <x:c r="D550" s="27" t="str">
        <x:v>PREREQUISITE</x:v>
      </x:c>
      <x:c r="E550" s="27" t="str">
        <x:v>S09-MATH-03</x:v>
      </x:c>
      <x:c r="F550" s="27" t="str">
        <x:v>Copying a simple repeating pattern</x:v>
      </x:c>
      <x:c r="G550" s="27" t="str">
        <x:v>S09</x:v>
      </x:c>
      <x:c r="H550" s="27" t="str">
        <x:v>Mathematics</x:v>
      </x:c>
      <x:c r="I550" s="27" t="str">
        <x:v>SRC02; SRC07</x:v>
      </x:c>
      <x:c r="J550" s="27" t="str">
        <x:v>Incoming prerequisite relationship.</x:v>
      </x:c>
    </x:row>
    <x:row r="551">
      <x:c r="A551" s="27" t="str">
        <x:v>E00547</x:v>
      </x:c>
      <x:c r="B551" s="27" t="str">
        <x:v>S09-MATH-03:GROUND</x:v>
      </x:c>
      <x:c r="C551" s="27" t="str">
        <x:v>G3 — Shared reference and symbol</x:v>
      </x:c>
      <x:c r="D551" s="27" t="str">
        <x:v>GROUNDED_BY</x:v>
      </x:c>
      <x:c r="E551" s="27" t="str">
        <x:v>S09-MATH-03</x:v>
      </x:c>
      <x:c r="F551" s="27" t="str">
        <x:v>Copying a simple repeating pattern</x:v>
      </x:c>
      <x:c r="G551" s="27" t="str">
        <x:v>S09</x:v>
      </x:c>
      <x:c r="H551" s="27" t="str">
        <x:v>Mathematics</x:v>
      </x:c>
      <x:c r="I551" s="27" t="str">
        <x:v>SRC02; SRC07</x:v>
      </x:c>
      <x:c r="J551" s="27" t="str">
        <x:v>Grounding form used to preserve meaning.</x:v>
      </x:c>
    </x:row>
    <x:row r="552">
      <x:c r="A552" s="27" t="str">
        <x:v>E00548</x:v>
      </x:c>
      <x:c r="B552" s="27" t="str">
        <x:v>S09-MATH-03</x:v>
      </x:c>
      <x:c r="C552" s="27" t="str">
        <x:v>Copying a simple repeating pattern</x:v>
      </x:c>
      <x:c r="D552" s="27" t="str">
        <x:v>CONNECTS_TO</x:v>
      </x:c>
      <x:c r="E552" s="27" t="str">
        <x:v>S09-MATH-03:CROSS</x:v>
      </x:c>
      <x:c r="F552" s="27" t="str">
        <x:v>Physical quantity and spatial action; science measurement/models; computing/algorithms; finance; music rhythm/pattern; geographic data.</x:v>
      </x:c>
      <x:c r="G552" s="27" t="str">
        <x:v>S09</x:v>
      </x:c>
      <x:c r="H552" s="27" t="str">
        <x:v>Mathematics</x:v>
      </x:c>
      <x:c r="I552" s="27" t="str">
        <x:v>SRC02; SRC07</x:v>
      </x:c>
      <x:c r="J552" s="27" t="str">
        <x:v>Parallel subject and representation links.</x:v>
      </x:c>
    </x:row>
    <x:row r="553">
      <x:c r="A553" s="27" t="str">
        <x:v>E00549</x:v>
      </x:c>
      <x:c r="B553" s="27" t="str">
        <x:v>S09-MATH-03</x:v>
      </x:c>
      <x:c r="C553" s="27" t="str">
        <x:v>Copying a simple repeating pattern</x:v>
      </x:c>
      <x:c r="D553" s="27" t="str">
        <x:v>UNLOCKS</x:v>
      </x:c>
      <x:c r="E553" s="27" t="str">
        <x:v>S09-MATH-03:NEXT</x:v>
      </x:c>
      <x:c r="F553" s="27" t="str">
        <x:v>Repeating units prepare generalization, skip counting, rhythm, functions, and structure.</x:v>
      </x:c>
      <x:c r="G553" s="27" t="str">
        <x:v>S09</x:v>
      </x:c>
      <x:c r="H553" s="27" t="str">
        <x:v>Mathematics</x:v>
      </x:c>
      <x:c r="I553" s="27" t="str">
        <x:v>SRC02; SRC07</x:v>
      </x:c>
      <x:c r="J553" s="27" t="str">
        <x:v>Outgoing use and placement rationale.</x:v>
      </x:c>
    </x:row>
    <x:row r="554">
      <x:c r="A554" s="27" t="str">
        <x:v>E00550</x:v>
      </x:c>
      <x:c r="B554" s="27" t="str">
        <x:v>S09-MATH-03</x:v>
      </x:c>
      <x:c r="C554" s="27" t="str">
        <x:v>Copying a simple repeating pattern</x:v>
      </x:c>
      <x:c r="D554" s="27" t="str">
        <x:v>VERIFIED_BY</x:v>
      </x:c>
      <x:c r="E554" s="27" t="str">
        <x:v>S09-MATH-03:EVIDENCE</x:v>
      </x:c>
      <x:c r="F554" s="27" t="str">
        <x:v>Copies and continues an AB pattern for at least two repetitions.</x:v>
      </x:c>
      <x:c r="G554" s="27" t="str">
        <x:v>S09</x:v>
      </x:c>
      <x:c r="H554" s="27" t="str">
        <x:v>Mathematics</x:v>
      </x:c>
      <x:c r="I554" s="27" t="str">
        <x:v>SRC02; SRC07</x:v>
      </x:c>
      <x:c r="J554" s="27" t="str">
        <x:v>Observable evidence of usable learning.</x:v>
      </x:c>
    </x:row>
    <x:row r="555">
      <x:c r="A555" s="27" t="str">
        <x:v>E00551</x:v>
      </x:c>
      <x:c r="B555" s="27" t="str">
        <x:v>S08-SCI-01</x:v>
      </x:c>
      <x:c r="C555" s="27" t="str">
        <x:v>Previous node in domain progression</x:v>
      </x:c>
      <x:c r="D555" s="27" t="str">
        <x:v>DOMAIN_SEQUENCE</x:v>
      </x:c>
      <x:c r="E555" s="27" t="str">
        <x:v>S09-SCI-01</x:v>
      </x:c>
      <x:c r="F555" s="27" t="str">
        <x:v>Question–observe–answer cycle</x:v>
      </x:c>
      <x:c r="G555" s="27" t="str">
        <x:v>S09</x:v>
      </x:c>
      <x:c r="H555" s="27" t="str">
        <x:v>Science &amp; Engineering</x:v>
      </x:c>
      <x:c r="I555" s="27" t="str">
        <x:v>SRC02; SRC11</x:v>
      </x:c>
      <x:c r="J555" s="27" t="str">
        <x:v>Ordered spiral link; consult explicit prerequisites for logical dependency.</x:v>
      </x:c>
    </x:row>
    <x:row r="556">
      <x:c r="A556" s="27" t="str">
        <x:v>E00552</x:v>
      </x:c>
      <x:c r="B556" s="27" t="str">
        <x:v>S09-SCI-01:PREREQ</x:v>
      </x:c>
      <x:c r="C556" s="27" t="str">
        <x:v>Questioning, property description, and persistence.</x:v>
      </x:c>
      <x:c r="D556" s="27" t="str">
        <x:v>PREREQUISITE</x:v>
      </x:c>
      <x:c r="E556" s="27" t="str">
        <x:v>S09-SCI-01</x:v>
      </x:c>
      <x:c r="F556" s="27" t="str">
        <x:v>Question–observe–answer cycle</x:v>
      </x:c>
      <x:c r="G556" s="27" t="str">
        <x:v>S09</x:v>
      </x:c>
      <x:c r="H556" s="27" t="str">
        <x:v>Science &amp; Engineering</x:v>
      </x:c>
      <x:c r="I556" s="27" t="str">
        <x:v>SRC02; SRC11</x:v>
      </x:c>
      <x:c r="J556" s="27" t="str">
        <x:v>Incoming prerequisite relationship.</x:v>
      </x:c>
    </x:row>
    <x:row r="557">
      <x:c r="A557" s="27" t="str">
        <x:v>E00553</x:v>
      </x:c>
      <x:c r="B557" s="27" t="str">
        <x:v>S09-SCI-01:GROUND</x:v>
      </x:c>
      <x:c r="C557" s="27" t="str">
        <x:v>G3 — Shared reference and symbol</x:v>
      </x:c>
      <x:c r="D557" s="27" t="str">
        <x:v>GROUNDED_BY</x:v>
      </x:c>
      <x:c r="E557" s="27" t="str">
        <x:v>S09-SCI-01</x:v>
      </x:c>
      <x:c r="F557" s="27" t="str">
        <x:v>Question–observe–answer cycle</x:v>
      </x:c>
      <x:c r="G557" s="27" t="str">
        <x:v>S09</x:v>
      </x:c>
      <x:c r="H557" s="27" t="str">
        <x:v>Science &amp; Engineering</x:v>
      </x:c>
      <x:c r="I557" s="27" t="str">
        <x:v>SRC02; SRC11</x:v>
      </x:c>
      <x:c r="J557" s="27" t="str">
        <x:v>Grounding form used to preserve meaning.</x:v>
      </x:c>
    </x:row>
    <x:row r="558">
      <x:c r="A558" s="27" t="str">
        <x:v>E00554</x:v>
      </x:c>
      <x:c r="B558" s="27" t="str">
        <x:v>S09-SCI-01</x:v>
      </x:c>
      <x:c r="C558" s="27" t="str">
        <x:v>Question–observe–answer cycle</x:v>
      </x:c>
      <x:c r="D558" s="27" t="str">
        <x:v>CONNECTS_TO</x:v>
      </x:c>
      <x:c r="E558" s="27" t="str">
        <x:v>S09-SCI-01:CROSS</x:v>
      </x:c>
      <x:c r="F558" s="27" t="str">
        <x:v>Sensory observation and action; mathematics/data; reading/writing evidence; computing/models; health and environmental/civic decisions.</x:v>
      </x:c>
      <x:c r="G558" s="27" t="str">
        <x:v>S09</x:v>
      </x:c>
      <x:c r="H558" s="27" t="str">
        <x:v>Science &amp; Engineering</x:v>
      </x:c>
      <x:c r="I558" s="27" t="str">
        <x:v>SRC02; SRC11</x:v>
      </x:c>
      <x:c r="J558" s="27" t="str">
        <x:v>Parallel subject and representation links.</x:v>
      </x:c>
    </x:row>
    <x:row r="559">
      <x:c r="A559" s="27" t="str">
        <x:v>E00555</x:v>
      </x:c>
      <x:c r="B559" s="27" t="str">
        <x:v>S09-SCI-01</x:v>
      </x:c>
      <x:c r="C559" s="27" t="str">
        <x:v>Question–observe–answer cycle</x:v>
      </x:c>
      <x:c r="D559" s="27" t="str">
        <x:v>UNLOCKS</x:v>
      </x:c>
      <x:c r="E559" s="27" t="str">
        <x:v>S09-SCI-01:NEXT</x:v>
      </x:c>
      <x:c r="F559" s="27" t="str">
        <x:v>This complete inquiry loop organizes scientific attention and evidence.</x:v>
      </x:c>
      <x:c r="G559" s="27" t="str">
        <x:v>S09</x:v>
      </x:c>
      <x:c r="H559" s="27" t="str">
        <x:v>Science &amp; Engineering</x:v>
      </x:c>
      <x:c r="I559" s="27" t="str">
        <x:v>SRC02; SRC11</x:v>
      </x:c>
      <x:c r="J559" s="27" t="str">
        <x:v>Outgoing use and placement rationale.</x:v>
      </x:c>
    </x:row>
    <x:row r="560">
      <x:c r="A560" s="27" t="str">
        <x:v>E00556</x:v>
      </x:c>
      <x:c r="B560" s="27" t="str">
        <x:v>S09-SCI-01</x:v>
      </x:c>
      <x:c r="C560" s="27" t="str">
        <x:v>Question–observe–answer cycle</x:v>
      </x:c>
      <x:c r="D560" s="27" t="str">
        <x:v>VERIFIED_BY</x:v>
      </x:c>
      <x:c r="E560" s="27" t="str">
        <x:v>S09-SCI-01:EVIDENCE</x:v>
      </x:c>
      <x:c r="F560" s="27" t="str">
        <x:v>Answers a concrete observation question by referring to what was seen, heard, touched, or measured informally.</x:v>
      </x:c>
      <x:c r="G560" s="27" t="str">
        <x:v>S09</x:v>
      </x:c>
      <x:c r="H560" s="27" t="str">
        <x:v>Science &amp; Engineering</x:v>
      </x:c>
      <x:c r="I560" s="27" t="str">
        <x:v>SRC02; SRC11</x:v>
      </x:c>
      <x:c r="J560" s="27" t="str">
        <x:v>Observable evidence of usable learning.</x:v>
      </x:c>
    </x:row>
    <x:row r="561">
      <x:c r="A561" s="27" t="str">
        <x:v>E00557</x:v>
      </x:c>
      <x:c r="B561" s="27" t="str">
        <x:v>S08-ARTS-01</x:v>
      </x:c>
      <x:c r="C561" s="27" t="str">
        <x:v>Previous node in domain progression</x:v>
      </x:c>
      <x:c r="D561" s="27" t="str">
        <x:v>DOMAIN_SEQUENCE</x:v>
      </x:c>
      <x:c r="E561" s="27" t="str">
        <x:v>S09-ARTS-01</x:v>
      </x:c>
      <x:c r="F561" s="27" t="str">
        <x:v>Role enactment</x:v>
      </x:c>
      <x:c r="G561" s="27" t="str">
        <x:v>S09</x:v>
      </x:c>
      <x:c r="H561" s="27" t="str">
        <x:v>Music &amp; Arts</x:v>
      </x:c>
      <x:c r="I561" s="27" t="str">
        <x:v>SRC02; SRC13</x:v>
      </x:c>
      <x:c r="J561" s="27" t="str">
        <x:v>Ordered spiral link; consult explicit prerequisites for logical dependency.</x:v>
      </x:c>
    </x:row>
    <x:row r="562">
      <x:c r="A562" s="27" t="str">
        <x:v>E00558</x:v>
      </x:c>
      <x:c r="B562" s="27" t="str">
        <x:v>S09-ARTS-01:PREREQ</x:v>
      </x:c>
      <x:c r="C562" s="27" t="str">
        <x:v>Associative play, narrative, and symbolic representation.</x:v>
      </x:c>
      <x:c r="D562" s="27" t="str">
        <x:v>PREREQUISITE</x:v>
      </x:c>
      <x:c r="E562" s="27" t="str">
        <x:v>S09-ARTS-01</x:v>
      </x:c>
      <x:c r="F562" s="27" t="str">
        <x:v>Role enactment</x:v>
      </x:c>
      <x:c r="G562" s="27" t="str">
        <x:v>S09</x:v>
      </x:c>
      <x:c r="H562" s="27" t="str">
        <x:v>Music &amp; Arts</x:v>
      </x:c>
      <x:c r="I562" s="27" t="str">
        <x:v>SRC02; SRC13</x:v>
      </x:c>
      <x:c r="J562" s="27" t="str">
        <x:v>Incoming prerequisite relationship.</x:v>
      </x:c>
    </x:row>
    <x:row r="563">
      <x:c r="A563" s="27" t="str">
        <x:v>E00559</x:v>
      </x:c>
      <x:c r="B563" s="27" t="str">
        <x:v>S09-ARTS-01:GROUND</x:v>
      </x:c>
      <x:c r="C563" s="27" t="str">
        <x:v>G3 — Shared reference and symbol</x:v>
      </x:c>
      <x:c r="D563" s="27" t="str">
        <x:v>GROUNDED_BY</x:v>
      </x:c>
      <x:c r="E563" s="27" t="str">
        <x:v>S09-ARTS-01</x:v>
      </x:c>
      <x:c r="F563" s="27" t="str">
        <x:v>Role enactment</x:v>
      </x:c>
      <x:c r="G563" s="27" t="str">
        <x:v>S09</x:v>
      </x:c>
      <x:c r="H563" s="27" t="str">
        <x:v>Music &amp; Arts</x:v>
      </x:c>
      <x:c r="I563" s="27" t="str">
        <x:v>SRC02; SRC13</x:v>
      </x:c>
      <x:c r="J563" s="27" t="str">
        <x:v>Grounding form used to preserve meaning.</x:v>
      </x:c>
    </x:row>
    <x:row r="564">
      <x:c r="A564" s="27" t="str">
        <x:v>E00560</x:v>
      </x:c>
      <x:c r="B564" s="27" t="str">
        <x:v>S09-ARTS-01</x:v>
      </x:c>
      <x:c r="C564" s="27" t="str">
        <x:v>Role enactment</x:v>
      </x:c>
      <x:c r="D564" s="27" t="str">
        <x:v>CONNECTS_TO</x:v>
      </x:c>
      <x:c r="E564" s="27" t="str">
        <x:v>S09-ARTS-01:CROSS</x:v>
      </x:c>
      <x:c r="F564" s="27" t="str">
        <x:v>Sensory discrimination; motor timing; language/prosody; mathematics/pattern; history/culture; emotion, design, and technology.</x:v>
      </x:c>
      <x:c r="G564" s="27" t="str">
        <x:v>S09</x:v>
      </x:c>
      <x:c r="H564" s="27" t="str">
        <x:v>Music &amp; Arts</x:v>
      </x:c>
      <x:c r="I564" s="27" t="str">
        <x:v>SRC02; SRC13</x:v>
      </x:c>
      <x:c r="J564" s="27" t="str">
        <x:v>Parallel subject and representation links.</x:v>
      </x:c>
    </x:row>
    <x:row r="565">
      <x:c r="A565" s="27" t="str">
        <x:v>E00561</x:v>
      </x:c>
      <x:c r="B565" s="27" t="str">
        <x:v>S09-ARTS-01</x:v>
      </x:c>
      <x:c r="C565" s="27" t="str">
        <x:v>Role enactment</x:v>
      </x:c>
      <x:c r="D565" s="27" t="str">
        <x:v>UNLOCKS</x:v>
      </x:c>
      <x:c r="E565" s="27" t="str">
        <x:v>S09-ARTS-01:NEXT</x:v>
      </x:c>
      <x:c r="F565" s="27" t="str">
        <x:v>Role enactment develops perspective, sequence, dialogue, and dramatic structure.</x:v>
      </x:c>
      <x:c r="G565" s="27" t="str">
        <x:v>S09</x:v>
      </x:c>
      <x:c r="H565" s="27" t="str">
        <x:v>Music &amp; Arts</x:v>
      </x:c>
      <x:c r="I565" s="27" t="str">
        <x:v>SRC02; SRC13</x:v>
      </x:c>
      <x:c r="J565" s="27" t="str">
        <x:v>Outgoing use and placement rationale.</x:v>
      </x:c>
    </x:row>
    <x:row r="566">
      <x:c r="A566" s="27" t="str">
        <x:v>E00562</x:v>
      </x:c>
      <x:c r="B566" s="27" t="str">
        <x:v>S09-ARTS-01</x:v>
      </x:c>
      <x:c r="C566" s="27" t="str">
        <x:v>Role enactment</x:v>
      </x:c>
      <x:c r="D566" s="27" t="str">
        <x:v>VERIFIED_BY</x:v>
      </x:c>
      <x:c r="E566" s="27" t="str">
        <x:v>S09-ARTS-01:EVIDENCE</x:v>
      </x:c>
      <x:c r="F566" s="27" t="str">
        <x:v>Sustains a recognizable pretend role through several related actions.</x:v>
      </x:c>
      <x:c r="G566" s="27" t="str">
        <x:v>S09</x:v>
      </x:c>
      <x:c r="H566" s="27" t="str">
        <x:v>Music &amp; Arts</x:v>
      </x:c>
      <x:c r="I566" s="27" t="str">
        <x:v>SRC02; SRC13</x:v>
      </x:c>
      <x:c r="J566" s="27" t="str">
        <x:v>Observable evidence of usable learning.</x:v>
      </x:c>
    </x:row>
    <x:row r="567">
      <x:c r="A567" s="27" t="str">
        <x:v>E00563</x:v>
      </x:c>
      <x:c r="B567" s="27" t="str">
        <x:v>S09-LEARN-02</x:v>
      </x:c>
      <x:c r="C567" s="27" t="str">
        <x:v>Previous node in domain progression</x:v>
      </x:c>
      <x:c r="D567" s="27" t="str">
        <x:v>DOMAIN_SEQUENCE</x:v>
      </x:c>
      <x:c r="E567" s="27" t="str">
        <x:v>S10-LEARN-01</x:v>
      </x:c>
      <x:c r="F567" s="27" t="str">
        <x:v>Two-rule task switching</x:v>
      </x:c>
      <x:c r="G567" s="27" t="str">
        <x:v>S10</x:v>
      </x:c>
      <x:c r="H567" s="27" t="str">
        <x:v>Learning Foundations</x:v>
      </x:c>
      <x:c r="I567" s="27" t="str">
        <x:v>SRC02; SRC05; SRC18</x:v>
      </x:c>
      <x:c r="J567" s="27" t="str">
        <x:v>Ordered spiral link; consult explicit prerequisites for logical dependency.</x:v>
      </x:c>
    </x:row>
    <x:row r="568">
      <x:c r="A568" s="27" t="str">
        <x:v>E00564</x:v>
      </x:c>
      <x:c r="B568" s="27" t="str">
        <x:v>S10-LEARN-01:PREREQ</x:v>
      </x:c>
      <x:c r="C568" s="27" t="str">
        <x:v>One-rule inhibition, sorting, and working memory.</x:v>
      </x:c>
      <x:c r="D568" s="27" t="str">
        <x:v>PREREQUISITE</x:v>
      </x:c>
      <x:c r="E568" s="27" t="str">
        <x:v>S10-LEARN-01</x:v>
      </x:c>
      <x:c r="F568" s="27" t="str">
        <x:v>Two-rule task switching</x:v>
      </x:c>
      <x:c r="G568" s="27" t="str">
        <x:v>S10</x:v>
      </x:c>
      <x:c r="H568" s="27" t="str">
        <x:v>Learning Foundations</x:v>
      </x:c>
      <x:c r="I568" s="27" t="str">
        <x:v>SRC02; SRC05; SRC18</x:v>
      </x:c>
      <x:c r="J568" s="27" t="str">
        <x:v>Incoming prerequisite relationship.</x:v>
      </x:c>
    </x:row>
    <x:row r="569">
      <x:c r="A569" s="27" t="str">
        <x:v>E00565</x:v>
      </x:c>
      <x:c r="B569" s="27" t="str">
        <x:v>S10-LEARN-01:GROUND</x:v>
      </x:c>
      <x:c r="C569" s="27" t="str">
        <x:v>G3 — Shared reference and symbol</x:v>
      </x:c>
      <x:c r="D569" s="27" t="str">
        <x:v>GROUNDED_BY</x:v>
      </x:c>
      <x:c r="E569" s="27" t="str">
        <x:v>S10-LEARN-01</x:v>
      </x:c>
      <x:c r="F569" s="27" t="str">
        <x:v>Two-rule task switching</x:v>
      </x:c>
      <x:c r="G569" s="27" t="str">
        <x:v>S10</x:v>
      </x:c>
      <x:c r="H569" s="27" t="str">
        <x:v>Learning Foundations</x:v>
      </x:c>
      <x:c r="I569" s="27" t="str">
        <x:v>SRC02; SRC05; SRC18</x:v>
      </x:c>
      <x:c r="J569" s="27" t="str">
        <x:v>Grounding form used to preserve meaning.</x:v>
      </x:c>
    </x:row>
    <x:row r="570">
      <x:c r="A570" s="27" t="str">
        <x:v>E00566</x:v>
      </x:c>
      <x:c r="B570" s="27" t="str">
        <x:v>S10-LEARN-01</x:v>
      </x:c>
      <x:c r="C570" s="27" t="str">
        <x:v>Two-rule task switching</x:v>
      </x:c>
      <x:c r="D570" s="27" t="str">
        <x:v>CONNECTS_TO</x:v>
      </x:c>
      <x:c r="E570" s="27" t="str">
        <x:v>S10-LEARN-01:CROSS</x:v>
      </x:c>
      <x:c r="F570" s="27" t="str">
        <x:v>All domains: attention, memory, strategy choice, monitoring, retrieval, and transfer.</x:v>
      </x:c>
      <x:c r="G570" s="27" t="str">
        <x:v>S10</x:v>
      </x:c>
      <x:c r="H570" s="27" t="str">
        <x:v>Learning Foundations</x:v>
      </x:c>
      <x:c r="I570" s="27" t="str">
        <x:v>SRC02; SRC05; SRC18</x:v>
      </x:c>
      <x:c r="J570" s="27" t="str">
        <x:v>Parallel subject and representation links.</x:v>
      </x:c>
    </x:row>
    <x:row r="571">
      <x:c r="A571" s="27" t="str">
        <x:v>E00567</x:v>
      </x:c>
      <x:c r="B571" s="27" t="str">
        <x:v>S10-LEARN-01</x:v>
      </x:c>
      <x:c r="C571" s="27" t="str">
        <x:v>Two-rule task switching</x:v>
      </x:c>
      <x:c r="D571" s="27" t="str">
        <x:v>UNLOCKS</x:v>
      </x:c>
      <x:c r="E571" s="27" t="str">
        <x:v>S10-LEARN-01:NEXT</x:v>
      </x:c>
      <x:c r="F571" s="27" t="str">
        <x:v>Rule switching strengthens cognitive flexibility for new instructions and multidimensional classification.</x:v>
      </x:c>
      <x:c r="G571" s="27" t="str">
        <x:v>S10</x:v>
      </x:c>
      <x:c r="H571" s="27" t="str">
        <x:v>Learning Foundations</x:v>
      </x:c>
      <x:c r="I571" s="27" t="str">
        <x:v>SRC02; SRC05; SRC18</x:v>
      </x:c>
      <x:c r="J571" s="27" t="str">
        <x:v>Outgoing use and placement rationale.</x:v>
      </x:c>
    </x:row>
    <x:row r="572">
      <x:c r="A572" s="27" t="str">
        <x:v>E00568</x:v>
      </x:c>
      <x:c r="B572" s="27" t="str">
        <x:v>S10-LEARN-01</x:v>
      </x:c>
      <x:c r="C572" s="27" t="str">
        <x:v>Two-rule task switching</x:v>
      </x:c>
      <x:c r="D572" s="27" t="str">
        <x:v>VERIFIED_BY</x:v>
      </x:c>
      <x:c r="E572" s="27" t="str">
        <x:v>S10-LEARN-01:EVIDENCE</x:v>
      </x:c>
      <x:c r="F572" s="27" t="str">
        <x:v>Completes a familiar rule, then follows a clearly modeled replacement rule.</x:v>
      </x:c>
      <x:c r="G572" s="27" t="str">
        <x:v>S10</x:v>
      </x:c>
      <x:c r="H572" s="27" t="str">
        <x:v>Learning Foundations</x:v>
      </x:c>
      <x:c r="I572" s="27" t="str">
        <x:v>SRC02; SRC05; SRC18</x:v>
      </x:c>
      <x:c r="J572" s="27" t="str">
        <x:v>Observable evidence of usable learning.</x:v>
      </x:c>
    </x:row>
    <x:row r="573">
      <x:c r="A573" s="27" t="str">
        <x:v>E00569</x:v>
      </x:c>
      <x:c r="B573" s="27" t="str">
        <x:v>S10-LEARN-01</x:v>
      </x:c>
      <x:c r="C573" s="27" t="str">
        <x:v>Previous node in domain progression</x:v>
      </x:c>
      <x:c r="D573" s="27" t="str">
        <x:v>DOMAIN_SEQUENCE</x:v>
      </x:c>
      <x:c r="E573" s="27" t="str">
        <x:v>S10-LEARN-02</x:v>
      </x:c>
      <x:c r="F573" s="27" t="str">
        <x:v>Plan–do–review</x:v>
      </x:c>
      <x:c r="G573" s="27" t="str">
        <x:v>S10</x:v>
      </x:c>
      <x:c r="H573" s="27" t="str">
        <x:v>Learning Foundations</x:v>
      </x:c>
      <x:c r="I573" s="27" t="str">
        <x:v>SRC02; SRC05</x:v>
      </x:c>
      <x:c r="J573" s="27" t="str">
        <x:v>Ordered spiral link; consult explicit prerequisites for logical dependency.</x:v>
      </x:c>
    </x:row>
    <x:row r="574">
      <x:c r="A574" s="27" t="str">
        <x:v>E00570</x:v>
      </x:c>
      <x:c r="B574" s="27" t="str">
        <x:v>S10-LEARN-02:PREREQ</x:v>
      </x:c>
      <x:c r="C574" s="27" t="str">
        <x:v>Agency, event sequencing, and persistence.</x:v>
      </x:c>
      <x:c r="D574" s="27" t="str">
        <x:v>PREREQUISITE</x:v>
      </x:c>
      <x:c r="E574" s="27" t="str">
        <x:v>S10-LEARN-02</x:v>
      </x:c>
      <x:c r="F574" s="27" t="str">
        <x:v>Plan–do–review</x:v>
      </x:c>
      <x:c r="G574" s="27" t="str">
        <x:v>S10</x:v>
      </x:c>
      <x:c r="H574" s="27" t="str">
        <x:v>Learning Foundations</x:v>
      </x:c>
      <x:c r="I574" s="27" t="str">
        <x:v>SRC02; SRC05</x:v>
      </x:c>
      <x:c r="J574" s="27" t="str">
        <x:v>Incoming prerequisite relationship.</x:v>
      </x:c>
    </x:row>
    <x:row r="575">
      <x:c r="A575" s="27" t="str">
        <x:v>E00571</x:v>
      </x:c>
      <x:c r="B575" s="27" t="str">
        <x:v>S10-LEARN-02:GROUND</x:v>
      </x:c>
      <x:c r="C575" s="27" t="str">
        <x:v>G3 — Shared reference and symbol</x:v>
      </x:c>
      <x:c r="D575" s="27" t="str">
        <x:v>GROUNDED_BY</x:v>
      </x:c>
      <x:c r="E575" s="27" t="str">
        <x:v>S10-LEARN-02</x:v>
      </x:c>
      <x:c r="F575" s="27" t="str">
        <x:v>Plan–do–review</x:v>
      </x:c>
      <x:c r="G575" s="27" t="str">
        <x:v>S10</x:v>
      </x:c>
      <x:c r="H575" s="27" t="str">
        <x:v>Learning Foundations</x:v>
      </x:c>
      <x:c r="I575" s="27" t="str">
        <x:v>SRC02; SRC05</x:v>
      </x:c>
      <x:c r="J575" s="27" t="str">
        <x:v>Grounding form used to preserve meaning.</x:v>
      </x:c>
    </x:row>
    <x:row r="576">
      <x:c r="A576" s="27" t="str">
        <x:v>E00572</x:v>
      </x:c>
      <x:c r="B576" s="27" t="str">
        <x:v>S10-LEARN-02</x:v>
      </x:c>
      <x:c r="C576" s="27" t="str">
        <x:v>Plan–do–review</x:v>
      </x:c>
      <x:c r="D576" s="27" t="str">
        <x:v>CONNECTS_TO</x:v>
      </x:c>
      <x:c r="E576" s="27" t="str">
        <x:v>S10-LEARN-02:CROSS</x:v>
      </x:c>
      <x:c r="F576" s="27" t="str">
        <x:v>All domains: attention, memory, strategy choice, monitoring, retrieval, and transfer.</x:v>
      </x:c>
      <x:c r="G576" s="27" t="str">
        <x:v>S10</x:v>
      </x:c>
      <x:c r="H576" s="27" t="str">
        <x:v>Learning Foundations</x:v>
      </x:c>
      <x:c r="I576" s="27" t="str">
        <x:v>SRC02; SRC05</x:v>
      </x:c>
      <x:c r="J576" s="27" t="str">
        <x:v>Parallel subject and representation links.</x:v>
      </x:c>
    </x:row>
    <x:row r="577">
      <x:c r="A577" s="27" t="str">
        <x:v>E00573</x:v>
      </x:c>
      <x:c r="B577" s="27" t="str">
        <x:v>S10-LEARN-02</x:v>
      </x:c>
      <x:c r="C577" s="27" t="str">
        <x:v>Plan–do–review</x:v>
      </x:c>
      <x:c r="D577" s="27" t="str">
        <x:v>UNLOCKS</x:v>
      </x:c>
      <x:c r="E577" s="27" t="str">
        <x:v>S10-LEARN-02:NEXT</x:v>
      </x:c>
      <x:c r="F577" s="27" t="str">
        <x:v>Planning externalizes goals and supports monitoring, revision, and project work.</x:v>
      </x:c>
      <x:c r="G577" s="27" t="str">
        <x:v>S10</x:v>
      </x:c>
      <x:c r="H577" s="27" t="str">
        <x:v>Learning Foundations</x:v>
      </x:c>
      <x:c r="I577" s="27" t="str">
        <x:v>SRC02; SRC05</x:v>
      </x:c>
      <x:c r="J577" s="27" t="str">
        <x:v>Outgoing use and placement rationale.</x:v>
      </x:c>
    </x:row>
    <x:row r="578">
      <x:c r="A578" s="27" t="str">
        <x:v>E00574</x:v>
      </x:c>
      <x:c r="B578" s="27" t="str">
        <x:v>S10-LEARN-02</x:v>
      </x:c>
      <x:c r="C578" s="27" t="str">
        <x:v>Plan–do–review</x:v>
      </x:c>
      <x:c r="D578" s="27" t="str">
        <x:v>VERIFIED_BY</x:v>
      </x:c>
      <x:c r="E578" s="27" t="str">
        <x:v>S10-LEARN-02:EVIDENCE</x:v>
      </x:c>
      <x:c r="F578" s="27" t="str">
        <x:v>Names a goal, takes related actions, and identifies what was made or learned.</x:v>
      </x:c>
      <x:c r="G578" s="27" t="str">
        <x:v>S10</x:v>
      </x:c>
      <x:c r="H578" s="27" t="str">
        <x:v>Learning Foundations</x:v>
      </x:c>
      <x:c r="I578" s="27" t="str">
        <x:v>SRC02; SRC05</x:v>
      </x:c>
      <x:c r="J578" s="27" t="str">
        <x:v>Observable evidence of usable learning.</x:v>
      </x:c>
    </x:row>
    <x:row r="579">
      <x:c r="A579" s="27" t="str">
        <x:v>E00575</x:v>
      </x:c>
      <x:c r="B579" s="27" t="str">
        <x:v>S09-SEL-02</x:v>
      </x:c>
      <x:c r="C579" s="27" t="str">
        <x:v>Previous node in domain progression</x:v>
      </x:c>
      <x:c r="D579" s="27" t="str">
        <x:v>DOMAIN_SEQUENCE</x:v>
      </x:c>
      <x:c r="E579" s="27" t="str">
        <x:v>S10-SEL-01</x:v>
      </x:c>
      <x:c r="F579" s="27" t="str">
        <x:v>Different wants and knowledge</x:v>
      </x:c>
      <x:c r="G579" s="27" t="str">
        <x:v>S10</x:v>
      </x:c>
      <x:c r="H579" s="27" t="str">
        <x:v>Social-Emotional</x:v>
      </x:c>
      <x:c r="I579" s="27" t="str">
        <x:v>SRC02; SRC18</x:v>
      </x:c>
      <x:c r="J579" s="27" t="str">
        <x:v>Ordered spiral link; consult explicit prerequisites for logical dependency.</x:v>
      </x:c>
    </x:row>
    <x:row r="580">
      <x:c r="A580" s="27" t="str">
        <x:v>E00576</x:v>
      </x:c>
      <x:c r="B580" s="27" t="str">
        <x:v>S10-SEL-01:PREREQ</x:v>
      </x:c>
      <x:c r="C580" s="27" t="str">
        <x:v>Emotion knowledge, role play, and conversation.</x:v>
      </x:c>
      <x:c r="D580" s="27" t="str">
        <x:v>PREREQUISITE</x:v>
      </x:c>
      <x:c r="E580" s="27" t="str">
        <x:v>S10-SEL-01</x:v>
      </x:c>
      <x:c r="F580" s="27" t="str">
        <x:v>Different wants and knowledge</x:v>
      </x:c>
      <x:c r="G580" s="27" t="str">
        <x:v>S10</x:v>
      </x:c>
      <x:c r="H580" s="27" t="str">
        <x:v>Social-Emotional</x:v>
      </x:c>
      <x:c r="I580" s="27" t="str">
        <x:v>SRC02; SRC18</x:v>
      </x:c>
      <x:c r="J580" s="27" t="str">
        <x:v>Incoming prerequisite relationship.</x:v>
      </x:c>
    </x:row>
    <x:row r="581">
      <x:c r="A581" s="27" t="str">
        <x:v>E00577</x:v>
      </x:c>
      <x:c r="B581" s="27" t="str">
        <x:v>S10-SEL-01:GROUND</x:v>
      </x:c>
      <x:c r="C581" s="27" t="str">
        <x:v>G3 — Shared reference and symbol</x:v>
      </x:c>
      <x:c r="D581" s="27" t="str">
        <x:v>GROUNDED_BY</x:v>
      </x:c>
      <x:c r="E581" s="27" t="str">
        <x:v>S10-SEL-01</x:v>
      </x:c>
      <x:c r="F581" s="27" t="str">
        <x:v>Different wants and knowledge</x:v>
      </x:c>
      <x:c r="G581" s="27" t="str">
        <x:v>S10</x:v>
      </x:c>
      <x:c r="H581" s="27" t="str">
        <x:v>Social-Emotional</x:v>
      </x:c>
      <x:c r="I581" s="27" t="str">
        <x:v>SRC02; SRC18</x:v>
      </x:c>
      <x:c r="J581" s="27" t="str">
        <x:v>Grounding form used to preserve meaning.</x:v>
      </x:c>
    </x:row>
    <x:row r="582">
      <x:c r="A582" s="27" t="str">
        <x:v>E00578</x:v>
      </x:c>
      <x:c r="B582" s="27" t="str">
        <x:v>S10-SEL-01</x:v>
      </x:c>
      <x:c r="C582" s="27" t="str">
        <x:v>Different wants and knowledge</x:v>
      </x:c>
      <x:c r="D582" s="27" t="str">
        <x:v>CONNECTS_TO</x:v>
      </x:c>
      <x:c r="E582" s="27" t="str">
        <x:v>S10-SEL-01:CROSS</x:v>
      </x:c>
      <x:c r="F582" s="27" t="str">
        <x:v>Language and communication; health; collaboration in science, arts, civics, and projects; responsible digital/financial decisions.</x:v>
      </x:c>
      <x:c r="G582" s="27" t="str">
        <x:v>S10</x:v>
      </x:c>
      <x:c r="H582" s="27" t="str">
        <x:v>Social-Emotional</x:v>
      </x:c>
      <x:c r="I582" s="27" t="str">
        <x:v>SRC02; SRC18</x:v>
      </x:c>
      <x:c r="J582" s="27" t="str">
        <x:v>Parallel subject and representation links.</x:v>
      </x:c>
    </x:row>
    <x:row r="583">
      <x:c r="A583" s="27" t="str">
        <x:v>E00579</x:v>
      </x:c>
      <x:c r="B583" s="27" t="str">
        <x:v>S10-SEL-01</x:v>
      </x:c>
      <x:c r="C583" s="27" t="str">
        <x:v>Different wants and knowledge</x:v>
      </x:c>
      <x:c r="D583" s="27" t="str">
        <x:v>UNLOCKS</x:v>
      </x:c>
      <x:c r="E583" s="27" t="str">
        <x:v>S10-SEL-01:NEXT</x:v>
      </x:c>
      <x:c r="F583" s="27" t="str">
        <x:v>Perspective-taking supports empathy, source viewpoint, conflict resolution, and audience awareness.</x:v>
      </x:c>
      <x:c r="G583" s="27" t="str">
        <x:v>S10</x:v>
      </x:c>
      <x:c r="H583" s="27" t="str">
        <x:v>Social-Emotional</x:v>
      </x:c>
      <x:c r="I583" s="27" t="str">
        <x:v>SRC02; SRC18</x:v>
      </x:c>
      <x:c r="J583" s="27" t="str">
        <x:v>Outgoing use and placement rationale.</x:v>
      </x:c>
    </x:row>
    <x:row r="584">
      <x:c r="A584" s="27" t="str">
        <x:v>E00580</x:v>
      </x:c>
      <x:c r="B584" s="27" t="str">
        <x:v>S10-SEL-01</x:v>
      </x:c>
      <x:c r="C584" s="27" t="str">
        <x:v>Different wants and knowledge</x:v>
      </x:c>
      <x:c r="D584" s="27" t="str">
        <x:v>VERIFIED_BY</x:v>
      </x:c>
      <x:c r="E584" s="27" t="str">
        <x:v>S10-SEL-01:EVIDENCE</x:v>
      </x:c>
      <x:c r="F584" s="27" t="str">
        <x:v>Explains a clear difference between own and another person’s preference or view.</x:v>
      </x:c>
      <x:c r="G584" s="27" t="str">
        <x:v>S10</x:v>
      </x:c>
      <x:c r="H584" s="27" t="str">
        <x:v>Social-Emotional</x:v>
      </x:c>
      <x:c r="I584" s="27" t="str">
        <x:v>SRC02; SRC18</x:v>
      </x:c>
      <x:c r="J584" s="27" t="str">
        <x:v>Observable evidence of usable learning.</x:v>
      </x:c>
    </x:row>
    <x:row r="585">
      <x:c r="A585" s="27" t="str">
        <x:v>E00581</x:v>
      </x:c>
      <x:c r="B585" s="27" t="str">
        <x:v>S10-SEL-01</x:v>
      </x:c>
      <x:c r="C585" s="27" t="str">
        <x:v>Previous node in domain progression</x:v>
      </x:c>
      <x:c r="D585" s="27" t="str">
        <x:v>DOMAIN_SEQUENCE</x:v>
      </x:c>
      <x:c r="E585" s="27" t="str">
        <x:v>S10-SEL-02</x:v>
      </x:c>
      <x:c r="F585" s="27" t="str">
        <x:v>Cooperative play plan</x:v>
      </x:c>
      <x:c r="G585" s="27" t="str">
        <x:v>S10</x:v>
      </x:c>
      <x:c r="H585" s="27" t="str">
        <x:v>Social-Emotional</x:v>
      </x:c>
      <x:c r="I585" s="27" t="str">
        <x:v>SRC02; SRC18</x:v>
      </x:c>
      <x:c r="J585" s="27" t="str">
        <x:v>Ordered spiral link; consult explicit prerequisites for logical dependency.</x:v>
      </x:c>
    </x:row>
    <x:row r="586">
      <x:c r="A586" s="27" t="str">
        <x:v>E00582</x:v>
      </x:c>
      <x:c r="B586" s="27" t="str">
        <x:v>S10-SEL-02:PREREQ</x:v>
      </x:c>
      <x:c r="C586" s="27" t="str">
        <x:v>Associative play, turn-taking, language, and coping.</x:v>
      </x:c>
      <x:c r="D586" s="27" t="str">
        <x:v>PREREQUISITE</x:v>
      </x:c>
      <x:c r="E586" s="27" t="str">
        <x:v>S10-SEL-02</x:v>
      </x:c>
      <x:c r="F586" s="27" t="str">
        <x:v>Cooperative play plan</x:v>
      </x:c>
      <x:c r="G586" s="27" t="str">
        <x:v>S10</x:v>
      </x:c>
      <x:c r="H586" s="27" t="str">
        <x:v>Social-Emotional</x:v>
      </x:c>
      <x:c r="I586" s="27" t="str">
        <x:v>SRC02; SRC18</x:v>
      </x:c>
      <x:c r="J586" s="27" t="str">
        <x:v>Incoming prerequisite relationship.</x:v>
      </x:c>
    </x:row>
    <x:row r="587">
      <x:c r="A587" s="27" t="str">
        <x:v>E00583</x:v>
      </x:c>
      <x:c r="B587" s="27" t="str">
        <x:v>S10-SEL-02:GROUND</x:v>
      </x:c>
      <x:c r="C587" s="27" t="str">
        <x:v>G3 — Shared reference and symbol</x:v>
      </x:c>
      <x:c r="D587" s="27" t="str">
        <x:v>GROUNDED_BY</x:v>
      </x:c>
      <x:c r="E587" s="27" t="str">
        <x:v>S10-SEL-02</x:v>
      </x:c>
      <x:c r="F587" s="27" t="str">
        <x:v>Cooperative play plan</x:v>
      </x:c>
      <x:c r="G587" s="27" t="str">
        <x:v>S10</x:v>
      </x:c>
      <x:c r="H587" s="27" t="str">
        <x:v>Social-Emotional</x:v>
      </x:c>
      <x:c r="I587" s="27" t="str">
        <x:v>SRC02; SRC18</x:v>
      </x:c>
      <x:c r="J587" s="27" t="str">
        <x:v>Grounding form used to preserve meaning.</x:v>
      </x:c>
    </x:row>
    <x:row r="588">
      <x:c r="A588" s="27" t="str">
        <x:v>E00584</x:v>
      </x:c>
      <x:c r="B588" s="27" t="str">
        <x:v>S10-SEL-02</x:v>
      </x:c>
      <x:c r="C588" s="27" t="str">
        <x:v>Cooperative play plan</x:v>
      </x:c>
      <x:c r="D588" s="27" t="str">
        <x:v>CONNECTS_TO</x:v>
      </x:c>
      <x:c r="E588" s="27" t="str">
        <x:v>S10-SEL-02:CROSS</x:v>
      </x:c>
      <x:c r="F588" s="27" t="str">
        <x:v>Language and communication; health; collaboration in science, arts, civics, and projects; responsible digital/financial decisions.</x:v>
      </x:c>
      <x:c r="G588" s="27" t="str">
        <x:v>S10</x:v>
      </x:c>
      <x:c r="H588" s="27" t="str">
        <x:v>Social-Emotional</x:v>
      </x:c>
      <x:c r="I588" s="27" t="str">
        <x:v>SRC02; SRC18</x:v>
      </x:c>
      <x:c r="J588" s="27" t="str">
        <x:v>Parallel subject and representation links.</x:v>
      </x:c>
    </x:row>
    <x:row r="589">
      <x:c r="A589" s="27" t="str">
        <x:v>E00585</x:v>
      </x:c>
      <x:c r="B589" s="27" t="str">
        <x:v>S10-SEL-02</x:v>
      </x:c>
      <x:c r="C589" s="27" t="str">
        <x:v>Cooperative play plan</x:v>
      </x:c>
      <x:c r="D589" s="27" t="str">
        <x:v>UNLOCKS</x:v>
      </x:c>
      <x:c r="E589" s="27" t="str">
        <x:v>S10-SEL-02:NEXT</x:v>
      </x:c>
      <x:c r="F589" s="27" t="str">
        <x:v>Cooperative planning is a precursor to group inquiry, ensemble performance, and team projects.</x:v>
      </x:c>
      <x:c r="G589" s="27" t="str">
        <x:v>S10</x:v>
      </x:c>
      <x:c r="H589" s="27" t="str">
        <x:v>Social-Emotional</x:v>
      </x:c>
      <x:c r="I589" s="27" t="str">
        <x:v>SRC02; SRC18</x:v>
      </x:c>
      <x:c r="J589" s="27" t="str">
        <x:v>Outgoing use and placement rationale.</x:v>
      </x:c>
    </x:row>
    <x:row r="590">
      <x:c r="A590" s="27" t="str">
        <x:v>E00586</x:v>
      </x:c>
      <x:c r="B590" s="27" t="str">
        <x:v>S10-SEL-02</x:v>
      </x:c>
      <x:c r="C590" s="27" t="str">
        <x:v>Cooperative play plan</x:v>
      </x:c>
      <x:c r="D590" s="27" t="str">
        <x:v>VERIFIED_BY</x:v>
      </x:c>
      <x:c r="E590" s="27" t="str">
        <x:v>S10-SEL-02:EVIDENCE</x:v>
      </x:c>
      <x:c r="F590" s="27" t="str">
        <x:v>Participates in a shared plan with complementary roles for several minutes.</x:v>
      </x:c>
      <x:c r="G590" s="27" t="str">
        <x:v>S10</x:v>
      </x:c>
      <x:c r="H590" s="27" t="str">
        <x:v>Social-Emotional</x:v>
      </x:c>
      <x:c r="I590" s="27" t="str">
        <x:v>SRC02; SRC18</x:v>
      </x:c>
      <x:c r="J590" s="27" t="str">
        <x:v>Observable evidence of usable learning.</x:v>
      </x:c>
    </x:row>
    <x:row r="591">
      <x:c r="A591" s="27" t="str">
        <x:v>E00587</x:v>
      </x:c>
      <x:c r="B591" s="27" t="str">
        <x:v>S09-LANG-01</x:v>
      </x:c>
      <x:c r="C591" s="27" t="str">
        <x:v>Previous node in domain progression</x:v>
      </x:c>
      <x:c r="D591" s="27" t="str">
        <x:v>DOMAIN_SEQUENCE</x:v>
      </x:c>
      <x:c r="E591" s="27" t="str">
        <x:v>S10-LANG-01</x:v>
      </x:c>
      <x:c r="F591" s="27" t="str">
        <x:v>Category and relation vocabulary</x:v>
      </x:c>
      <x:c r="G591" s="27" t="str">
        <x:v>S10</x:v>
      </x:c>
      <x:c r="H591" s="27" t="str">
        <x:v>Language &amp; Communication</x:v>
      </x:c>
      <x:c r="I591" s="27" t="str">
        <x:v>SRC02; SRC10</x:v>
      </x:c>
      <x:c r="J591" s="27" t="str">
        <x:v>Ordered spiral link; consult explicit prerequisites for logical dependency.</x:v>
      </x:c>
    </x:row>
    <x:row r="592">
      <x:c r="A592" s="27" t="str">
        <x:v>E00588</x:v>
      </x:c>
      <x:c r="B592" s="27" t="str">
        <x:v>S10-LANG-01:PREREQ</x:v>
      </x:c>
      <x:c r="C592" s="27" t="str">
        <x:v>Functional grouping, sentences, and rich conversation.</x:v>
      </x:c>
      <x:c r="D592" s="27" t="str">
        <x:v>PREREQUISITE</x:v>
      </x:c>
      <x:c r="E592" s="27" t="str">
        <x:v>S10-LANG-01</x:v>
      </x:c>
      <x:c r="F592" s="27" t="str">
        <x:v>Category and relation vocabulary</x:v>
      </x:c>
      <x:c r="G592" s="27" t="str">
        <x:v>S10</x:v>
      </x:c>
      <x:c r="H592" s="27" t="str">
        <x:v>Language &amp; Communication</x:v>
      </x:c>
      <x:c r="I592" s="27" t="str">
        <x:v>SRC02; SRC10</x:v>
      </x:c>
      <x:c r="J592" s="27" t="str">
        <x:v>Incoming prerequisite relationship.</x:v>
      </x:c>
    </x:row>
    <x:row r="593">
      <x:c r="A593" s="27" t="str">
        <x:v>E00589</x:v>
      </x:c>
      <x:c r="B593" s="27" t="str">
        <x:v>S10-LANG-01:GROUND</x:v>
      </x:c>
      <x:c r="C593" s="27" t="str">
        <x:v>G3 — Shared reference and symbol</x:v>
      </x:c>
      <x:c r="D593" s="27" t="str">
        <x:v>GROUNDED_BY</x:v>
      </x:c>
      <x:c r="E593" s="27" t="str">
        <x:v>S10-LANG-01</x:v>
      </x:c>
      <x:c r="F593" s="27" t="str">
        <x:v>Category and relation vocabulary</x:v>
      </x:c>
      <x:c r="G593" s="27" t="str">
        <x:v>S10</x:v>
      </x:c>
      <x:c r="H593" s="27" t="str">
        <x:v>Language &amp; Communication</x:v>
      </x:c>
      <x:c r="I593" s="27" t="str">
        <x:v>SRC02; SRC10</x:v>
      </x:c>
      <x:c r="J593" s="27" t="str">
        <x:v>Grounding form used to preserve meaning.</x:v>
      </x:c>
    </x:row>
    <x:row r="594">
      <x:c r="A594" s="27" t="str">
        <x:v>E00590</x:v>
      </x:c>
      <x:c r="B594" s="27" t="str">
        <x:v>S10-LANG-01</x:v>
      </x:c>
      <x:c r="C594" s="27" t="str">
        <x:v>Category and relation vocabulary</x:v>
      </x:c>
      <x:c r="D594" s="27" t="str">
        <x:v>CONNECTS_TO</x:v>
      </x:c>
      <x:c r="E594" s="27" t="str">
        <x:v>S10-LANG-01:CROSS</x:v>
      </x:c>
      <x:c r="F594" s="27" t="str">
        <x:v>Reading and writing; vocabulary for math/science/social studies; discussion, music prosody, and world-language learning.</x:v>
      </x:c>
      <x:c r="G594" s="27" t="str">
        <x:v>S10</x:v>
      </x:c>
      <x:c r="H594" s="27" t="str">
        <x:v>Language &amp; Communication</x:v>
      </x:c>
      <x:c r="I594" s="27" t="str">
        <x:v>SRC02; SRC10</x:v>
      </x:c>
      <x:c r="J594" s="27" t="str">
        <x:v>Parallel subject and representation links.</x:v>
      </x:c>
    </x:row>
    <x:row r="595">
      <x:c r="A595" s="27" t="str">
        <x:v>E00591</x:v>
      </x:c>
      <x:c r="B595" s="27" t="str">
        <x:v>S10-LANG-01</x:v>
      </x:c>
      <x:c r="C595" s="27" t="str">
        <x:v>Category and relation vocabulary</x:v>
      </x:c>
      <x:c r="D595" s="27" t="str">
        <x:v>UNLOCKS</x:v>
      </x:c>
      <x:c r="E595" s="27" t="str">
        <x:v>S10-LANG-01:NEXT</x:v>
      </x:c>
      <x:c r="F595" s="27" t="str">
        <x:v>Connected word knowledge improves comprehension, retrieval, inference, and precise explanation.</x:v>
      </x:c>
      <x:c r="G595" s="27" t="str">
        <x:v>S10</x:v>
      </x:c>
      <x:c r="H595" s="27" t="str">
        <x:v>Language &amp; Communication</x:v>
      </x:c>
      <x:c r="I595" s="27" t="str">
        <x:v>SRC02; SRC10</x:v>
      </x:c>
      <x:c r="J595" s="27" t="str">
        <x:v>Outgoing use and placement rationale.</x:v>
      </x:c>
    </x:row>
    <x:row r="596">
      <x:c r="A596" s="27" t="str">
        <x:v>E00592</x:v>
      </x:c>
      <x:c r="B596" s="27" t="str">
        <x:v>S10-LANG-01</x:v>
      </x:c>
      <x:c r="C596" s="27" t="str">
        <x:v>Category and relation vocabulary</x:v>
      </x:c>
      <x:c r="D596" s="27" t="str">
        <x:v>VERIFIED_BY</x:v>
      </x:c>
      <x:c r="E596" s="27" t="str">
        <x:v>S10-LANG-01:EVIDENCE</x:v>
      </x:c>
      <x:c r="F596" s="27" t="str">
        <x:v>Defines or sorts familiar words by an appropriate category or relation.</x:v>
      </x:c>
      <x:c r="G596" s="27" t="str">
        <x:v>S10</x:v>
      </x:c>
      <x:c r="H596" s="27" t="str">
        <x:v>Language &amp; Communication</x:v>
      </x:c>
      <x:c r="I596" s="27" t="str">
        <x:v>SRC02; SRC10</x:v>
      </x:c>
      <x:c r="J596" s="27" t="str">
        <x:v>Observable evidence of usable learning.</x:v>
      </x:c>
    </x:row>
    <x:row r="597">
      <x:c r="A597" s="27" t="str">
        <x:v>E00593</x:v>
      </x:c>
      <x:c r="B597" s="27" t="str">
        <x:v>S10-LANG-01</x:v>
      </x:c>
      <x:c r="C597" s="27" t="str">
        <x:v>Previous node in domain progression</x:v>
      </x:c>
      <x:c r="D597" s="27" t="str">
        <x:v>DOMAIN_SEQUENCE</x:v>
      </x:c>
      <x:c r="E597" s="27" t="str">
        <x:v>S10-LANG-02</x:v>
      </x:c>
      <x:c r="F597" s="27" t="str">
        <x:v>Beginning–middle–end story</x:v>
      </x:c>
      <x:c r="G597" s="27" t="str">
        <x:v>S10</x:v>
      </x:c>
      <x:c r="H597" s="27" t="str">
        <x:v>Language &amp; Communication</x:v>
      </x:c>
      <x:c r="I597" s="27" t="str">
        <x:v>SRC02; SRC10</x:v>
      </x:c>
      <x:c r="J597" s="27" t="str">
        <x:v>Ordered spiral link; consult explicit prerequisites for logical dependency.</x:v>
      </x:c>
    </x:row>
    <x:row r="598">
      <x:c r="A598" s="27" t="str">
        <x:v>E00594</x:v>
      </x:c>
      <x:c r="B598" s="27" t="str">
        <x:v>S10-LANG-02:PREREQ</x:v>
      </x:c>
      <x:c r="C598" s="27" t="str">
        <x:v>Event retell and three-event order.</x:v>
      </x:c>
      <x:c r="D598" s="27" t="str">
        <x:v>PREREQUISITE</x:v>
      </x:c>
      <x:c r="E598" s="27" t="str">
        <x:v>S10-LANG-02</x:v>
      </x:c>
      <x:c r="F598" s="27" t="str">
        <x:v>Beginning–middle–end story</x:v>
      </x:c>
      <x:c r="G598" s="27" t="str">
        <x:v>S10</x:v>
      </x:c>
      <x:c r="H598" s="27" t="str">
        <x:v>Language &amp; Communication</x:v>
      </x:c>
      <x:c r="I598" s="27" t="str">
        <x:v>SRC02; SRC10</x:v>
      </x:c>
      <x:c r="J598" s="27" t="str">
        <x:v>Incoming prerequisite relationship.</x:v>
      </x:c>
    </x:row>
    <x:row r="599">
      <x:c r="A599" s="27" t="str">
        <x:v>E00595</x:v>
      </x:c>
      <x:c r="B599" s="27" t="str">
        <x:v>S10-LANG-02:GROUND</x:v>
      </x:c>
      <x:c r="C599" s="27" t="str">
        <x:v>G3 — Shared reference and symbol</x:v>
      </x:c>
      <x:c r="D599" s="27" t="str">
        <x:v>GROUNDED_BY</x:v>
      </x:c>
      <x:c r="E599" s="27" t="str">
        <x:v>S10-LANG-02</x:v>
      </x:c>
      <x:c r="F599" s="27" t="str">
        <x:v>Beginning–middle–end story</x:v>
      </x:c>
      <x:c r="G599" s="27" t="str">
        <x:v>S10</x:v>
      </x:c>
      <x:c r="H599" s="27" t="str">
        <x:v>Language &amp; Communication</x:v>
      </x:c>
      <x:c r="I599" s="27" t="str">
        <x:v>SRC02; SRC10</x:v>
      </x:c>
      <x:c r="J599" s="27" t="str">
        <x:v>Grounding form used to preserve meaning.</x:v>
      </x:c>
    </x:row>
    <x:row r="600">
      <x:c r="A600" s="27" t="str">
        <x:v>E00596</x:v>
      </x:c>
      <x:c r="B600" s="27" t="str">
        <x:v>S10-LANG-02</x:v>
      </x:c>
      <x:c r="C600" s="27" t="str">
        <x:v>Beginning–middle–end story</x:v>
      </x:c>
      <x:c r="D600" s="27" t="str">
        <x:v>CONNECTS_TO</x:v>
      </x:c>
      <x:c r="E600" s="27" t="str">
        <x:v>S10-LANG-02:CROSS</x:v>
      </x:c>
      <x:c r="F600" s="27" t="str">
        <x:v>Reading and writing; vocabulary for math/science/social studies; discussion, music prosody, and world-language learning.</x:v>
      </x:c>
      <x:c r="G600" s="27" t="str">
        <x:v>S10</x:v>
      </x:c>
      <x:c r="H600" s="27" t="str">
        <x:v>Language &amp; Communication</x:v>
      </x:c>
      <x:c r="I600" s="27" t="str">
        <x:v>SRC02; SRC10</x:v>
      </x:c>
      <x:c r="J600" s="27" t="str">
        <x:v>Parallel subject and representation links.</x:v>
      </x:c>
    </x:row>
    <x:row r="601">
      <x:c r="A601" s="27" t="str">
        <x:v>E00597</x:v>
      </x:c>
      <x:c r="B601" s="27" t="str">
        <x:v>S10-LANG-02</x:v>
      </x:c>
      <x:c r="C601" s="27" t="str">
        <x:v>Beginning–middle–end story</x:v>
      </x:c>
      <x:c r="D601" s="27" t="str">
        <x:v>UNLOCKS</x:v>
      </x:c>
      <x:c r="E601" s="27" t="str">
        <x:v>S10-LANG-02:NEXT</x:v>
      </x:c>
      <x:c r="F601" s="27" t="str">
        <x:v>Narrative structure later organizes reading comprehension and composition.</x:v>
      </x:c>
      <x:c r="G601" s="27" t="str">
        <x:v>S10</x:v>
      </x:c>
      <x:c r="H601" s="27" t="str">
        <x:v>Language &amp; Communication</x:v>
      </x:c>
      <x:c r="I601" s="27" t="str">
        <x:v>SRC02; SRC10</x:v>
      </x:c>
      <x:c r="J601" s="27" t="str">
        <x:v>Outgoing use and placement rationale.</x:v>
      </x:c>
    </x:row>
    <x:row r="602">
      <x:c r="A602" s="27" t="str">
        <x:v>E00598</x:v>
      </x:c>
      <x:c r="B602" s="27" t="str">
        <x:v>S10-LANG-02</x:v>
      </x:c>
      <x:c r="C602" s="27" t="str">
        <x:v>Beginning–middle–end story</x:v>
      </x:c>
      <x:c r="D602" s="27" t="str">
        <x:v>VERIFIED_BY</x:v>
      </x:c>
      <x:c r="E602" s="27" t="str">
        <x:v>S10-LANG-02:EVIDENCE</x:v>
      </x:c>
      <x:c r="F602" s="27" t="str">
        <x:v>Produces a coherent short story sequence using speech, pictures, action, or AAC.</x:v>
      </x:c>
      <x:c r="G602" s="27" t="str">
        <x:v>S10</x:v>
      </x:c>
      <x:c r="H602" s="27" t="str">
        <x:v>Language &amp; Communication</x:v>
      </x:c>
      <x:c r="I602" s="27" t="str">
        <x:v>SRC02; SRC10</x:v>
      </x:c>
      <x:c r="J602" s="27" t="str">
        <x:v>Observable evidence of usable learning.</x:v>
      </x:c>
    </x:row>
    <x:row r="603">
      <x:c r="A603" s="27" t="str">
        <x:v>E00599</x:v>
      </x:c>
      <x:c r="B603" s="27" t="str">
        <x:v>S09-READ-02</x:v>
      </x:c>
      <x:c r="C603" s="27" t="str">
        <x:v>Previous node in domain progression</x:v>
      </x:c>
      <x:c r="D603" s="27" t="str">
        <x:v>DOMAIN_SEQUENCE</x:v>
      </x:c>
      <x:c r="E603" s="27" t="str">
        <x:v>S10-READ-01</x:v>
      </x:c>
      <x:c r="F603" s="27" t="str">
        <x:v>Print carries language</x:v>
      </x:c>
      <x:c r="G603" s="27" t="str">
        <x:v>S10</x:v>
      </x:c>
      <x:c r="H603" s="27" t="str">
        <x:v>Reading</x:v>
      </x:c>
      <x:c r="I603" s="27" t="str">
        <x:v>SRC02; SRC08; SRC10</x:v>
      </x:c>
      <x:c r="J603" s="27" t="str">
        <x:v>Ordered spiral link; consult explicit prerequisites for logical dependency.</x:v>
      </x:c>
    </x:row>
    <x:row r="604">
      <x:c r="A604" s="27" t="str">
        <x:v>E00600</x:v>
      </x:c>
      <x:c r="B604" s="27" t="str">
        <x:v>S10-READ-01:PREREQ</x:v>
      </x:c>
      <x:c r="C604" s="27" t="str">
        <x:v>Book knowledge, symbolic representation, and oral language.</x:v>
      </x:c>
      <x:c r="D604" s="27" t="str">
        <x:v>PREREQUISITE</x:v>
      </x:c>
      <x:c r="E604" s="27" t="str">
        <x:v>S10-READ-01</x:v>
      </x:c>
      <x:c r="F604" s="27" t="str">
        <x:v>Print carries language</x:v>
      </x:c>
      <x:c r="G604" s="27" t="str">
        <x:v>S10</x:v>
      </x:c>
      <x:c r="H604" s="27" t="str">
        <x:v>Reading</x:v>
      </x:c>
      <x:c r="I604" s="27" t="str">
        <x:v>SRC02; SRC08; SRC10</x:v>
      </x:c>
      <x:c r="J604" s="27" t="str">
        <x:v>Incoming prerequisite relationship.</x:v>
      </x:c>
    </x:row>
    <x:row r="605">
      <x:c r="A605" s="27" t="str">
        <x:v>E00601</x:v>
      </x:c>
      <x:c r="B605" s="27" t="str">
        <x:v>S10-READ-01:GROUND</x:v>
      </x:c>
      <x:c r="C605" s="27" t="str">
        <x:v>G3 — Shared reference and symbol</x:v>
      </x:c>
      <x:c r="D605" s="27" t="str">
        <x:v>GROUNDED_BY</x:v>
      </x:c>
      <x:c r="E605" s="27" t="str">
        <x:v>S10-READ-01</x:v>
      </x:c>
      <x:c r="F605" s="27" t="str">
        <x:v>Print carries language</x:v>
      </x:c>
      <x:c r="G605" s="27" t="str">
        <x:v>S10</x:v>
      </x:c>
      <x:c r="H605" s="27" t="str">
        <x:v>Reading</x:v>
      </x:c>
      <x:c r="I605" s="27" t="str">
        <x:v>SRC02; SRC08; SRC10</x:v>
      </x:c>
      <x:c r="J605" s="27" t="str">
        <x:v>Grounding form used to preserve meaning.</x:v>
      </x:c>
    </x:row>
    <x:row r="606">
      <x:c r="A606" s="27" t="str">
        <x:v>E00602</x:v>
      </x:c>
      <x:c r="B606" s="27" t="str">
        <x:v>S10-READ-01</x:v>
      </x:c>
      <x:c r="C606" s="27" t="str">
        <x:v>Print carries language</x:v>
      </x:c>
      <x:c r="D606" s="27" t="str">
        <x:v>CONNECTS_TO</x:v>
      </x:c>
      <x:c r="E606" s="27" t="str">
        <x:v>S10-READ-01:CROSS</x:v>
      </x:c>
      <x:c r="F606" s="27" t="str">
        <x:v>Oral language and writing; evidence in science/social studies; mathematical and technical problem interpretation; media verification.</x:v>
      </x:c>
      <x:c r="G606" s="27" t="str">
        <x:v>S10</x:v>
      </x:c>
      <x:c r="H606" s="27" t="str">
        <x:v>Reading</x:v>
      </x:c>
      <x:c r="I606" s="27" t="str">
        <x:v>SRC02; SRC08; SRC10</x:v>
      </x:c>
      <x:c r="J606" s="27" t="str">
        <x:v>Parallel subject and representation links.</x:v>
      </x:c>
    </x:row>
    <x:row r="607">
      <x:c r="A607" s="27" t="str">
        <x:v>E00603</x:v>
      </x:c>
      <x:c r="B607" s="27" t="str">
        <x:v>S10-READ-01</x:v>
      </x:c>
      <x:c r="C607" s="27" t="str">
        <x:v>Print carries language</x:v>
      </x:c>
      <x:c r="D607" s="27" t="str">
        <x:v>UNLOCKS</x:v>
      </x:c>
      <x:c r="E607" s="27" t="str">
        <x:v>S10-READ-01:NEXT</x:v>
      </x:c>
      <x:c r="F607" s="27" t="str">
        <x:v>Print awareness lets instruction focus on letters, words, and decoding.</x:v>
      </x:c>
      <x:c r="G607" s="27" t="str">
        <x:v>S10</x:v>
      </x:c>
      <x:c r="H607" s="27" t="str">
        <x:v>Reading</x:v>
      </x:c>
      <x:c r="I607" s="27" t="str">
        <x:v>SRC02; SRC08; SRC10</x:v>
      </x:c>
      <x:c r="J607" s="27" t="str">
        <x:v>Outgoing use and placement rationale.</x:v>
      </x:c>
    </x:row>
    <x:row r="608">
      <x:c r="A608" s="27" t="str">
        <x:v>E00604</x:v>
      </x:c>
      <x:c r="B608" s="27" t="str">
        <x:v>S10-READ-01</x:v>
      </x:c>
      <x:c r="C608" s="27" t="str">
        <x:v>Print carries language</x:v>
      </x:c>
      <x:c r="D608" s="27" t="str">
        <x:v>VERIFIED_BY</x:v>
      </x:c>
      <x:c r="E608" s="27" t="str">
        <x:v>S10-READ-01:EVIDENCE</x:v>
      </x:c>
      <x:c r="F608" s="27" t="str">
        <x:v>Distinguishes print from pictures and tracks a short familiar line with guidance.</x:v>
      </x:c>
      <x:c r="G608" s="27" t="str">
        <x:v>S10</x:v>
      </x:c>
      <x:c r="H608" s="27" t="str">
        <x:v>Reading</x:v>
      </x:c>
      <x:c r="I608" s="27" t="str">
        <x:v>SRC02; SRC08; SRC10</x:v>
      </x:c>
      <x:c r="J608" s="27" t="str">
        <x:v>Observable evidence of usable learning.</x:v>
      </x:c>
    </x:row>
    <x:row r="609">
      <x:c r="A609" s="27" t="str">
        <x:v>E00605</x:v>
      </x:c>
      <x:c r="B609" s="27" t="str">
        <x:v>S10-READ-01</x:v>
      </x:c>
      <x:c r="C609" s="27" t="str">
        <x:v>Previous node in domain progression</x:v>
      </x:c>
      <x:c r="D609" s="27" t="str">
        <x:v>DOMAIN_SEQUENCE</x:v>
      </x:c>
      <x:c r="E609" s="27" t="str">
        <x:v>S10-READ-02</x:v>
      </x:c>
      <x:c r="F609" s="27" t="str">
        <x:v>Name and environmental-letter recognition</x:v>
      </x:c>
      <x:c r="G609" s="27" t="str">
        <x:v>S10</x:v>
      </x:c>
      <x:c r="H609" s="27" t="str">
        <x:v>Reading</x:v>
      </x:c>
      <x:c r="I609" s="27" t="str">
        <x:v>SRC02; SRC08; SRC10</x:v>
      </x:c>
      <x:c r="J609" s="27" t="str">
        <x:v>Ordered spiral link; consult explicit prerequisites for logical dependency.</x:v>
      </x:c>
    </x:row>
    <x:row r="610">
      <x:c r="A610" s="27" t="str">
        <x:v>E00606</x:v>
      </x:c>
      <x:c r="B610" s="27" t="str">
        <x:v>S10-READ-02:PREREQ</x:v>
      </x:c>
      <x:c r="C610" s="27" t="str">
        <x:v>Visual matching and print awareness.</x:v>
      </x:c>
      <x:c r="D610" s="27" t="str">
        <x:v>PREREQUISITE</x:v>
      </x:c>
      <x:c r="E610" s="27" t="str">
        <x:v>S10-READ-02</x:v>
      </x:c>
      <x:c r="F610" s="27" t="str">
        <x:v>Name and environmental-letter recognition</x:v>
      </x:c>
      <x:c r="G610" s="27" t="str">
        <x:v>S10</x:v>
      </x:c>
      <x:c r="H610" s="27" t="str">
        <x:v>Reading</x:v>
      </x:c>
      <x:c r="I610" s="27" t="str">
        <x:v>SRC02; SRC08; SRC10</x:v>
      </x:c>
      <x:c r="J610" s="27" t="str">
        <x:v>Incoming prerequisite relationship.</x:v>
      </x:c>
    </x:row>
    <x:row r="611">
      <x:c r="A611" s="27" t="str">
        <x:v>E00607</x:v>
      </x:c>
      <x:c r="B611" s="27" t="str">
        <x:v>S10-READ-02:GROUND</x:v>
      </x:c>
      <x:c r="C611" s="27" t="str">
        <x:v>G3 — Shared reference and symbol</x:v>
      </x:c>
      <x:c r="D611" s="27" t="str">
        <x:v>GROUNDED_BY</x:v>
      </x:c>
      <x:c r="E611" s="27" t="str">
        <x:v>S10-READ-02</x:v>
      </x:c>
      <x:c r="F611" s="27" t="str">
        <x:v>Name and environmental-letter recognition</x:v>
      </x:c>
      <x:c r="G611" s="27" t="str">
        <x:v>S10</x:v>
      </x:c>
      <x:c r="H611" s="27" t="str">
        <x:v>Reading</x:v>
      </x:c>
      <x:c r="I611" s="27" t="str">
        <x:v>SRC02; SRC08; SRC10</x:v>
      </x:c>
      <x:c r="J611" s="27" t="str">
        <x:v>Grounding form used to preserve meaning.</x:v>
      </x:c>
    </x:row>
    <x:row r="612">
      <x:c r="A612" s="27" t="str">
        <x:v>E00608</x:v>
      </x:c>
      <x:c r="B612" s="27" t="str">
        <x:v>S10-READ-02</x:v>
      </x:c>
      <x:c r="C612" s="27" t="str">
        <x:v>Name and environmental-letter recognition</x:v>
      </x:c>
      <x:c r="D612" s="27" t="str">
        <x:v>CONNECTS_TO</x:v>
      </x:c>
      <x:c r="E612" s="27" t="str">
        <x:v>S10-READ-02:CROSS</x:v>
      </x:c>
      <x:c r="F612" s="27" t="str">
        <x:v>Oral language and writing; evidence in science/social studies; mathematical and technical problem interpretation; media verification.</x:v>
      </x:c>
      <x:c r="G612" s="27" t="str">
        <x:v>S10</x:v>
      </x:c>
      <x:c r="H612" s="27" t="str">
        <x:v>Reading</x:v>
      </x:c>
      <x:c r="I612" s="27" t="str">
        <x:v>SRC02; SRC08; SRC10</x:v>
      </x:c>
      <x:c r="J612" s="27" t="str">
        <x:v>Parallel subject and representation links.</x:v>
      </x:c>
    </x:row>
    <x:row r="613">
      <x:c r="A613" s="27" t="str">
        <x:v>E00609</x:v>
      </x:c>
      <x:c r="B613" s="27" t="str">
        <x:v>S10-READ-02</x:v>
      </x:c>
      <x:c r="C613" s="27" t="str">
        <x:v>Name and environmental-letter recognition</x:v>
      </x:c>
      <x:c r="D613" s="27" t="str">
        <x:v>UNLOCKS</x:v>
      </x:c>
      <x:c r="E613" s="27" t="str">
        <x:v>S10-READ-02:NEXT</x:v>
      </x:c>
      <x:c r="F613" s="27" t="str">
        <x:v>Stable letter identities are needed to attach sounds and write conventional forms.</x:v>
      </x:c>
      <x:c r="G613" s="27" t="str">
        <x:v>S10</x:v>
      </x:c>
      <x:c r="H613" s="27" t="str">
        <x:v>Reading</x:v>
      </x:c>
      <x:c r="I613" s="27" t="str">
        <x:v>SRC02; SRC08; SRC10</x:v>
      </x:c>
      <x:c r="J613" s="27" t="str">
        <x:v>Outgoing use and placement rationale.</x:v>
      </x:c>
    </x:row>
    <x:row r="614">
      <x:c r="A614" s="27" t="str">
        <x:v>E00610</x:v>
      </x:c>
      <x:c r="B614" s="27" t="str">
        <x:v>S10-READ-02</x:v>
      </x:c>
      <x:c r="C614" s="27" t="str">
        <x:v>Name and environmental-letter recognition</x:v>
      </x:c>
      <x:c r="D614" s="27" t="str">
        <x:v>VERIFIED_BY</x:v>
      </x:c>
      <x:c r="E614" s="27" t="str">
        <x:v>S10-READ-02:EVIDENCE</x:v>
      </x:c>
      <x:c r="F614" s="27" t="str">
        <x:v>Finds own name and identifies several letters across different examples.</x:v>
      </x:c>
      <x:c r="G614" s="27" t="str">
        <x:v>S10</x:v>
      </x:c>
      <x:c r="H614" s="27" t="str">
        <x:v>Reading</x:v>
      </x:c>
      <x:c r="I614" s="27" t="str">
        <x:v>SRC02; SRC08; SRC10</x:v>
      </x:c>
      <x:c r="J614" s="27" t="str">
        <x:v>Observable evidence of usable learning.</x:v>
      </x:c>
    </x:row>
    <x:row r="615">
      <x:c r="A615" s="27" t="str">
        <x:v>E00611</x:v>
      </x:c>
      <x:c r="B615" s="27" t="str">
        <x:v>S10-READ-02</x:v>
      </x:c>
      <x:c r="C615" s="27" t="str">
        <x:v>Previous node in domain progression</x:v>
      </x:c>
      <x:c r="D615" s="27" t="str">
        <x:v>DOMAIN_SEQUENCE</x:v>
      </x:c>
      <x:c r="E615" s="27" t="str">
        <x:v>S10-READ-03</x:v>
      </x:c>
      <x:c r="F615" s="27" t="str">
        <x:v>Word and syllable segmentation</x:v>
      </x:c>
      <x:c r="G615" s="27" t="str">
        <x:v>S10</x:v>
      </x:c>
      <x:c r="H615" s="27" t="str">
        <x:v>Reading</x:v>
      </x:c>
      <x:c r="I615" s="27" t="str">
        <x:v>SRC02; SRC08; SRC10</x:v>
      </x:c>
      <x:c r="J615" s="27" t="str">
        <x:v>Ordered spiral link; consult explicit prerequisites for logical dependency.</x:v>
      </x:c>
    </x:row>
    <x:row r="616">
      <x:c r="A616" s="27" t="str">
        <x:v>E00612</x:v>
      </x:c>
      <x:c r="B616" s="27" t="str">
        <x:v>S10-READ-03:PREREQ</x:v>
      </x:c>
      <x:c r="C616" s="27" t="str">
        <x:v>Rhyme sensitivity, rhythm, and oral language.</x:v>
      </x:c>
      <x:c r="D616" s="27" t="str">
        <x:v>PREREQUISITE</x:v>
      </x:c>
      <x:c r="E616" s="27" t="str">
        <x:v>S10-READ-03</x:v>
      </x:c>
      <x:c r="F616" s="27" t="str">
        <x:v>Word and syllable segmentation</x:v>
      </x:c>
      <x:c r="G616" s="27" t="str">
        <x:v>S10</x:v>
      </x:c>
      <x:c r="H616" s="27" t="str">
        <x:v>Reading</x:v>
      </x:c>
      <x:c r="I616" s="27" t="str">
        <x:v>SRC02; SRC08; SRC10</x:v>
      </x:c>
      <x:c r="J616" s="27" t="str">
        <x:v>Incoming prerequisite relationship.</x:v>
      </x:c>
    </x:row>
    <x:row r="617">
      <x:c r="A617" s="27" t="str">
        <x:v>E00613</x:v>
      </x:c>
      <x:c r="B617" s="27" t="str">
        <x:v>S10-READ-03:GROUND</x:v>
      </x:c>
      <x:c r="C617" s="27" t="str">
        <x:v>G3 — Shared reference and symbol</x:v>
      </x:c>
      <x:c r="D617" s="27" t="str">
        <x:v>GROUNDED_BY</x:v>
      </x:c>
      <x:c r="E617" s="27" t="str">
        <x:v>S10-READ-03</x:v>
      </x:c>
      <x:c r="F617" s="27" t="str">
        <x:v>Word and syllable segmentation</x:v>
      </x:c>
      <x:c r="G617" s="27" t="str">
        <x:v>S10</x:v>
      </x:c>
      <x:c r="H617" s="27" t="str">
        <x:v>Reading</x:v>
      </x:c>
      <x:c r="I617" s="27" t="str">
        <x:v>SRC02; SRC08; SRC10</x:v>
      </x:c>
      <x:c r="J617" s="27" t="str">
        <x:v>Grounding form used to preserve meaning.</x:v>
      </x:c>
    </x:row>
    <x:row r="618">
      <x:c r="A618" s="27" t="str">
        <x:v>E00614</x:v>
      </x:c>
      <x:c r="B618" s="27" t="str">
        <x:v>S10-READ-03</x:v>
      </x:c>
      <x:c r="C618" s="27" t="str">
        <x:v>Word and syllable segmentation</x:v>
      </x:c>
      <x:c r="D618" s="27" t="str">
        <x:v>CONNECTS_TO</x:v>
      </x:c>
      <x:c r="E618" s="27" t="str">
        <x:v>S10-READ-03:CROSS</x:v>
      </x:c>
      <x:c r="F618" s="27" t="str">
        <x:v>Oral language and writing; evidence in science/social studies; mathematical and technical problem interpretation; media verification.</x:v>
      </x:c>
      <x:c r="G618" s="27" t="str">
        <x:v>S10</x:v>
      </x:c>
      <x:c r="H618" s="27" t="str">
        <x:v>Reading</x:v>
      </x:c>
      <x:c r="I618" s="27" t="str">
        <x:v>SRC02; SRC08; SRC10</x:v>
      </x:c>
      <x:c r="J618" s="27" t="str">
        <x:v>Parallel subject and representation links.</x:v>
      </x:c>
    </x:row>
    <x:row r="619">
      <x:c r="A619" s="27" t="str">
        <x:v>E00615</x:v>
      </x:c>
      <x:c r="B619" s="27" t="str">
        <x:v>S10-READ-03</x:v>
      </x:c>
      <x:c r="C619" s="27" t="str">
        <x:v>Word and syllable segmentation</x:v>
      </x:c>
      <x:c r="D619" s="27" t="str">
        <x:v>UNLOCKS</x:v>
      </x:c>
      <x:c r="E619" s="27" t="str">
        <x:v>S10-READ-03:NEXT</x:v>
      </x:c>
      <x:c r="F619" s="27" t="str">
        <x:v>Larger sound-unit segmentation prepares onset-rime and phoneme segmentation.</x:v>
      </x:c>
      <x:c r="G619" s="27" t="str">
        <x:v>S10</x:v>
      </x:c>
      <x:c r="H619" s="27" t="str">
        <x:v>Reading</x:v>
      </x:c>
      <x:c r="I619" s="27" t="str">
        <x:v>SRC02; SRC08; SRC10</x:v>
      </x:c>
      <x:c r="J619" s="27" t="str">
        <x:v>Outgoing use and placement rationale.</x:v>
      </x:c>
    </x:row>
    <x:row r="620">
      <x:c r="A620" s="27" t="str">
        <x:v>E00616</x:v>
      </x:c>
      <x:c r="B620" s="27" t="str">
        <x:v>S10-READ-03</x:v>
      </x:c>
      <x:c r="C620" s="27" t="str">
        <x:v>Word and syllable segmentation</x:v>
      </x:c>
      <x:c r="D620" s="27" t="str">
        <x:v>VERIFIED_BY</x:v>
      </x:c>
      <x:c r="E620" s="27" t="str">
        <x:v>S10-READ-03:EVIDENCE</x:v>
      </x:c>
      <x:c r="F620" s="27" t="str">
        <x:v>Claps or marks the syllables in familiar words and identifies separate words in a short spoken phrase.</x:v>
      </x:c>
      <x:c r="G620" s="27" t="str">
        <x:v>S10</x:v>
      </x:c>
      <x:c r="H620" s="27" t="str">
        <x:v>Reading</x:v>
      </x:c>
      <x:c r="I620" s="27" t="str">
        <x:v>SRC02; SRC08; SRC10</x:v>
      </x:c>
      <x:c r="J620" s="27" t="str">
        <x:v>Observable evidence of usable learning.</x:v>
      </x:c>
    </x:row>
    <x:row r="621">
      <x:c r="A621" s="27" t="str">
        <x:v>E00617</x:v>
      </x:c>
      <x:c r="B621" s="27" t="str">
        <x:v>S10-WRITE-01:PREREQ</x:v>
      </x:c>
      <x:c r="C621" s="27" t="str">
        <x:v>Controlled marks, symbolic representation, and print carries language.</x:v>
      </x:c>
      <x:c r="D621" s="27" t="str">
        <x:v>PREREQUISITE</x:v>
      </x:c>
      <x:c r="E621" s="27" t="str">
        <x:v>S10-WRITE-01</x:v>
      </x:c>
      <x:c r="F621" s="27" t="str">
        <x:v>Meaningful drawing and letter-like forms</x:v>
      </x:c>
      <x:c r="G621" s="27" t="str">
        <x:v>S10</x:v>
      </x:c>
      <x:c r="H621" s="27" t="str">
        <x:v>Writing &amp; Language</x:v>
      </x:c>
      <x:c r="I621" s="27" t="str">
        <x:v>SRC02; SRC10; SRC21</x:v>
      </x:c>
      <x:c r="J621" s="27" t="str">
        <x:v>Incoming prerequisite relationship.</x:v>
      </x:c>
    </x:row>
    <x:row r="622">
      <x:c r="A622" s="27" t="str">
        <x:v>E00618</x:v>
      </x:c>
      <x:c r="B622" s="27" t="str">
        <x:v>S10-WRITE-01:GROUND</x:v>
      </x:c>
      <x:c r="C622" s="27" t="str">
        <x:v>G3 — Shared reference and symbol</x:v>
      </x:c>
      <x:c r="D622" s="27" t="str">
        <x:v>GROUNDED_BY</x:v>
      </x:c>
      <x:c r="E622" s="27" t="str">
        <x:v>S10-WRITE-01</x:v>
      </x:c>
      <x:c r="F622" s="27" t="str">
        <x:v>Meaningful drawing and letter-like forms</x:v>
      </x:c>
      <x:c r="G622" s="27" t="str">
        <x:v>S10</x:v>
      </x:c>
      <x:c r="H622" s="27" t="str">
        <x:v>Writing &amp; Language</x:v>
      </x:c>
      <x:c r="I622" s="27" t="str">
        <x:v>SRC02; SRC10; SRC21</x:v>
      </x:c>
      <x:c r="J622" s="27" t="str">
        <x:v>Grounding form used to preserve meaning.</x:v>
      </x:c>
    </x:row>
    <x:row r="623">
      <x:c r="A623" s="27" t="str">
        <x:v>E00619</x:v>
      </x:c>
      <x:c r="B623" s="27" t="str">
        <x:v>S10-WRITE-01</x:v>
      </x:c>
      <x:c r="C623" s="27" t="str">
        <x:v>Meaningful drawing and letter-like forms</x:v>
      </x:c>
      <x:c r="D623" s="27" t="str">
        <x:v>CONNECTS_TO</x:v>
      </x:c>
      <x:c r="E623" s="27" t="str">
        <x:v>S10-WRITE-01:CROSS</x:v>
      </x:c>
      <x:c r="F623" s="27" t="str">
        <x:v>Reading models; evidence from science/social studies; mathematical explanation; research, media, and presentation.</x:v>
      </x:c>
      <x:c r="G623" s="27" t="str">
        <x:v>S10</x:v>
      </x:c>
      <x:c r="H623" s="27" t="str">
        <x:v>Writing &amp; Language</x:v>
      </x:c>
      <x:c r="I623" s="27" t="str">
        <x:v>SRC02; SRC10; SRC21</x:v>
      </x:c>
      <x:c r="J623" s="27" t="str">
        <x:v>Parallel subject and representation links.</x:v>
      </x:c>
    </x:row>
    <x:row r="624">
      <x:c r="A624" s="27" t="str">
        <x:v>E00620</x:v>
      </x:c>
      <x:c r="B624" s="27" t="str">
        <x:v>S10-WRITE-01</x:v>
      </x:c>
      <x:c r="C624" s="27" t="str">
        <x:v>Meaningful drawing and letter-like forms</x:v>
      </x:c>
      <x:c r="D624" s="27" t="str">
        <x:v>UNLOCKS</x:v>
      </x:c>
      <x:c r="E624" s="27" t="str">
        <x:v>S10-WRITE-01:NEXT</x:v>
      </x:c>
      <x:c r="F624" s="27" t="str">
        <x:v>Intentional message-making connects composition to transcription before conventional spelling.</x:v>
      </x:c>
      <x:c r="G624" s="27" t="str">
        <x:v>S10</x:v>
      </x:c>
      <x:c r="H624" s="27" t="str">
        <x:v>Writing &amp; Language</x:v>
      </x:c>
      <x:c r="I624" s="27" t="str">
        <x:v>SRC02; SRC10; SRC21</x:v>
      </x:c>
      <x:c r="J624" s="27" t="str">
        <x:v>Outgoing use and placement rationale.</x:v>
      </x:c>
    </x:row>
    <x:row r="625">
      <x:c r="A625" s="27" t="str">
        <x:v>E00621</x:v>
      </x:c>
      <x:c r="B625" s="27" t="str">
        <x:v>S10-WRITE-01</x:v>
      </x:c>
      <x:c r="C625" s="27" t="str">
        <x:v>Meaningful drawing and letter-like forms</x:v>
      </x:c>
      <x:c r="D625" s="27" t="str">
        <x:v>VERIFIED_BY</x:v>
      </x:c>
      <x:c r="E625" s="27" t="str">
        <x:v>S10-WRITE-01:EVIDENCE</x:v>
      </x:c>
      <x:c r="F625" s="27" t="str">
        <x:v>Explains a stable message represented by own marks or dictated text.</x:v>
      </x:c>
      <x:c r="G625" s="27" t="str">
        <x:v>S10</x:v>
      </x:c>
      <x:c r="H625" s="27" t="str">
        <x:v>Writing &amp; Language</x:v>
      </x:c>
      <x:c r="I625" s="27" t="str">
        <x:v>SRC02; SRC10; SRC21</x:v>
      </x:c>
      <x:c r="J625" s="27" t="str">
        <x:v>Observable evidence of usable learning.</x:v>
      </x:c>
    </x:row>
    <x:row r="626">
      <x:c r="A626" s="27" t="str">
        <x:v>E00622</x:v>
      </x:c>
      <x:c r="B626" s="27" t="str">
        <x:v>S09-MATH-03</x:v>
      </x:c>
      <x:c r="C626" s="27" t="str">
        <x:v>Previous node in domain progression</x:v>
      </x:c>
      <x:c r="D626" s="27" t="str">
        <x:v>DOMAIN_SEQUENCE</x:v>
      </x:c>
      <x:c r="E626" s="27" t="str">
        <x:v>S10-MATH-01</x:v>
      </x:c>
      <x:c r="F626" s="27" t="str">
        <x:v>Counting and cardinality to about 5–10</x:v>
      </x:c>
      <x:c r="G626" s="27" t="str">
        <x:v>S10</x:v>
      </x:c>
      <x:c r="H626" s="27" t="str">
        <x:v>Mathematics</x:v>
      </x:c>
      <x:c r="I626" s="27" t="str">
        <x:v>SRC02; SRC07; SRC09</x:v>
      </x:c>
      <x:c r="J626" s="27" t="str">
        <x:v>Ordered spiral link; consult explicit prerequisites for logical dependency.</x:v>
      </x:c>
    </x:row>
    <x:row r="627">
      <x:c r="A627" s="27" t="str">
        <x:v>E00623</x:v>
      </x:c>
      <x:c r="B627" s="27" t="str">
        <x:v>S10-MATH-01:PREREQ</x:v>
      </x:c>
      <x:c r="C627" s="27" t="str">
        <x:v>Stable count list, one-to-one counting, and how-many meaning.</x:v>
      </x:c>
      <x:c r="D627" s="27" t="str">
        <x:v>PREREQUISITE</x:v>
      </x:c>
      <x:c r="E627" s="27" t="str">
        <x:v>S10-MATH-01</x:v>
      </x:c>
      <x:c r="F627" s="27" t="str">
        <x:v>Counting and cardinality to about 5–10</x:v>
      </x:c>
      <x:c r="G627" s="27" t="str">
        <x:v>S10</x:v>
      </x:c>
      <x:c r="H627" s="27" t="str">
        <x:v>Mathematics</x:v>
      </x:c>
      <x:c r="I627" s="27" t="str">
        <x:v>SRC02; SRC07; SRC09</x:v>
      </x:c>
      <x:c r="J627" s="27" t="str">
        <x:v>Incoming prerequisite relationship.</x:v>
      </x:c>
    </x:row>
    <x:row r="628">
      <x:c r="A628" s="27" t="str">
        <x:v>E00624</x:v>
      </x:c>
      <x:c r="B628" s="27" t="str">
        <x:v>S10-MATH-01:GROUND</x:v>
      </x:c>
      <x:c r="C628" s="27" t="str">
        <x:v>G3 — Shared reference and symbol</x:v>
      </x:c>
      <x:c r="D628" s="27" t="str">
        <x:v>GROUNDED_BY</x:v>
      </x:c>
      <x:c r="E628" s="27" t="str">
        <x:v>S10-MATH-01</x:v>
      </x:c>
      <x:c r="F628" s="27" t="str">
        <x:v>Counting and cardinality to about 5–10</x:v>
      </x:c>
      <x:c r="G628" s="27" t="str">
        <x:v>S10</x:v>
      </x:c>
      <x:c r="H628" s="27" t="str">
        <x:v>Mathematics</x:v>
      </x:c>
      <x:c r="I628" s="27" t="str">
        <x:v>SRC02; SRC07; SRC09</x:v>
      </x:c>
      <x:c r="J628" s="27" t="str">
        <x:v>Grounding form used to preserve meaning.</x:v>
      </x:c>
    </x:row>
    <x:row r="629">
      <x:c r="A629" s="27" t="str">
        <x:v>E00625</x:v>
      </x:c>
      <x:c r="B629" s="27" t="str">
        <x:v>S10-MATH-01</x:v>
      </x:c>
      <x:c r="C629" s="27" t="str">
        <x:v>Counting and cardinality to about 5–10</x:v>
      </x:c>
      <x:c r="D629" s="27" t="str">
        <x:v>CONNECTS_TO</x:v>
      </x:c>
      <x:c r="E629" s="27" t="str">
        <x:v>S10-MATH-01:CROSS</x:v>
      </x:c>
      <x:c r="F629" s="27" t="str">
        <x:v>Physical quantity and spatial action; science measurement/models; computing/algorithms; finance; music rhythm/pattern; geographic data.</x:v>
      </x:c>
      <x:c r="G629" s="27" t="str">
        <x:v>S10</x:v>
      </x:c>
      <x:c r="H629" s="27" t="str">
        <x:v>Mathematics</x:v>
      </x:c>
      <x:c r="I629" s="27" t="str">
        <x:v>SRC02; SRC07; SRC09</x:v>
      </x:c>
      <x:c r="J629" s="27" t="str">
        <x:v>Parallel subject and representation links.</x:v>
      </x:c>
    </x:row>
    <x:row r="630">
      <x:c r="A630" s="27" t="str">
        <x:v>E00626</x:v>
      </x:c>
      <x:c r="B630" s="27" t="str">
        <x:v>S10-MATH-01</x:v>
      </x:c>
      <x:c r="C630" s="27" t="str">
        <x:v>Counting and cardinality to about 5–10</x:v>
      </x:c>
      <x:c r="D630" s="27" t="str">
        <x:v>UNLOCKS</x:v>
      </x:c>
      <x:c r="E630" s="27" t="str">
        <x:v>S10-MATH-01:NEXT</x:v>
      </x:c>
      <x:c r="F630" s="27" t="str">
        <x:v>Reliable small-set counting supports numeral mapping, comparison, and concrete operations.</x:v>
      </x:c>
      <x:c r="G630" s="27" t="str">
        <x:v>S10</x:v>
      </x:c>
      <x:c r="H630" s="27" t="str">
        <x:v>Mathematics</x:v>
      </x:c>
      <x:c r="I630" s="27" t="str">
        <x:v>SRC02; SRC07; SRC09</x:v>
      </x:c>
      <x:c r="J630" s="27" t="str">
        <x:v>Outgoing use and placement rationale.</x:v>
      </x:c>
    </x:row>
    <x:row r="631">
      <x:c r="A631" s="27" t="str">
        <x:v>E00627</x:v>
      </x:c>
      <x:c r="B631" s="27" t="str">
        <x:v>S10-MATH-01</x:v>
      </x:c>
      <x:c r="C631" s="27" t="str">
        <x:v>Counting and cardinality to about 5–10</x:v>
      </x:c>
      <x:c r="D631" s="27" t="str">
        <x:v>VERIFIED_BY</x:v>
      </x:c>
      <x:c r="E631" s="27" t="str">
        <x:v>S10-MATH-01:EVIDENCE</x:v>
      </x:c>
      <x:c r="F631" s="27" t="str">
        <x:v>Counts an arranged or scattered small set and reports the total.</x:v>
      </x:c>
      <x:c r="G631" s="27" t="str">
        <x:v>S10</x:v>
      </x:c>
      <x:c r="H631" s="27" t="str">
        <x:v>Mathematics</x:v>
      </x:c>
      <x:c r="I631" s="27" t="str">
        <x:v>SRC02; SRC07; SRC09</x:v>
      </x:c>
      <x:c r="J631" s="27" t="str">
        <x:v>Observable evidence of usable learning.</x:v>
      </x:c>
    </x:row>
    <x:row r="632">
      <x:c r="A632" s="27" t="str">
        <x:v>E00628</x:v>
      </x:c>
      <x:c r="B632" s="27" t="str">
        <x:v>S10-MATH-01</x:v>
      </x:c>
      <x:c r="C632" s="27" t="str">
        <x:v>Previous node in domain progression</x:v>
      </x:c>
      <x:c r="D632" s="27" t="str">
        <x:v>DOMAIN_SEQUENCE</x:v>
      </x:c>
      <x:c r="E632" s="27" t="str">
        <x:v>S10-MATH-02</x:v>
      </x:c>
      <x:c r="F632" s="27" t="str">
        <x:v>Common 2D shape recognition</x:v>
      </x:c>
      <x:c r="G632" s="27" t="str">
        <x:v>S10</x:v>
      </x:c>
      <x:c r="H632" s="27" t="str">
        <x:v>Mathematics</x:v>
      </x:c>
      <x:c r="I632" s="27" t="str">
        <x:v>SRC02; SRC07; SRC09</x:v>
      </x:c>
      <x:c r="J632" s="27" t="str">
        <x:v>Ordered spiral link; consult explicit prerequisites for logical dependency.</x:v>
      </x:c>
    </x:row>
    <x:row r="633">
      <x:c r="A633" s="27" t="str">
        <x:v>E00629</x:v>
      </x:c>
      <x:c r="B633" s="27" t="str">
        <x:v>S10-MATH-02:PREREQ</x:v>
      </x:c>
      <x:c r="C633" s="27" t="str">
        <x:v>Object constancy, matching, and attribute language.</x:v>
      </x:c>
      <x:c r="D633" s="27" t="str">
        <x:v>PREREQUISITE</x:v>
      </x:c>
      <x:c r="E633" s="27" t="str">
        <x:v>S10-MATH-02</x:v>
      </x:c>
      <x:c r="F633" s="27" t="str">
        <x:v>Common 2D shape recognition</x:v>
      </x:c>
      <x:c r="G633" s="27" t="str">
        <x:v>S10</x:v>
      </x:c>
      <x:c r="H633" s="27" t="str">
        <x:v>Mathematics</x:v>
      </x:c>
      <x:c r="I633" s="27" t="str">
        <x:v>SRC02; SRC07; SRC09</x:v>
      </x:c>
      <x:c r="J633" s="27" t="str">
        <x:v>Incoming prerequisite relationship.</x:v>
      </x:c>
    </x:row>
    <x:row r="634">
      <x:c r="A634" s="27" t="str">
        <x:v>E00630</x:v>
      </x:c>
      <x:c r="B634" s="27" t="str">
        <x:v>S10-MATH-02:GROUND</x:v>
      </x:c>
      <x:c r="C634" s="27" t="str">
        <x:v>G3 — Shared reference and symbol</x:v>
      </x:c>
      <x:c r="D634" s="27" t="str">
        <x:v>GROUNDED_BY</x:v>
      </x:c>
      <x:c r="E634" s="27" t="str">
        <x:v>S10-MATH-02</x:v>
      </x:c>
      <x:c r="F634" s="27" t="str">
        <x:v>Common 2D shape recognition</x:v>
      </x:c>
      <x:c r="G634" s="27" t="str">
        <x:v>S10</x:v>
      </x:c>
      <x:c r="H634" s="27" t="str">
        <x:v>Mathematics</x:v>
      </x:c>
      <x:c r="I634" s="27" t="str">
        <x:v>SRC02; SRC07; SRC09</x:v>
      </x:c>
      <x:c r="J634" s="27" t="str">
        <x:v>Grounding form used to preserve meaning.</x:v>
      </x:c>
    </x:row>
    <x:row r="635">
      <x:c r="A635" s="27" t="str">
        <x:v>E00631</x:v>
      </x:c>
      <x:c r="B635" s="27" t="str">
        <x:v>S10-MATH-02</x:v>
      </x:c>
      <x:c r="C635" s="27" t="str">
        <x:v>Common 2D shape recognition</x:v>
      </x:c>
      <x:c r="D635" s="27" t="str">
        <x:v>CONNECTS_TO</x:v>
      </x:c>
      <x:c r="E635" s="27" t="str">
        <x:v>S10-MATH-02:CROSS</x:v>
      </x:c>
      <x:c r="F635" s="27" t="str">
        <x:v>Physical quantity and spatial action; science measurement/models; computing/algorithms; finance; music rhythm/pattern; geographic data.</x:v>
      </x:c>
      <x:c r="G635" s="27" t="str">
        <x:v>S10</x:v>
      </x:c>
      <x:c r="H635" s="27" t="str">
        <x:v>Mathematics</x:v>
      </x:c>
      <x:c r="I635" s="27" t="str">
        <x:v>SRC02; SRC07; SRC09</x:v>
      </x:c>
      <x:c r="J635" s="27" t="str">
        <x:v>Parallel subject and representation links.</x:v>
      </x:c>
    </x:row>
    <x:row r="636">
      <x:c r="A636" s="27" t="str">
        <x:v>E00632</x:v>
      </x:c>
      <x:c r="B636" s="27" t="str">
        <x:v>S10-MATH-02</x:v>
      </x:c>
      <x:c r="C636" s="27" t="str">
        <x:v>Common 2D shape recognition</x:v>
      </x:c>
      <x:c r="D636" s="27" t="str">
        <x:v>UNLOCKS</x:v>
      </x:c>
      <x:c r="E636" s="27" t="str">
        <x:v>S10-MATH-02:NEXT</x:v>
      </x:c>
      <x:c r="F636" s="27" t="str">
        <x:v>Shape constancy supports properties, composition, spatial visualization, and later geometry.</x:v>
      </x:c>
      <x:c r="G636" s="27" t="str">
        <x:v>S10</x:v>
      </x:c>
      <x:c r="H636" s="27" t="str">
        <x:v>Mathematics</x:v>
      </x:c>
      <x:c r="I636" s="27" t="str">
        <x:v>SRC02; SRC07; SRC09</x:v>
      </x:c>
      <x:c r="J636" s="27" t="str">
        <x:v>Outgoing use and placement rationale.</x:v>
      </x:c>
    </x:row>
    <x:row r="637">
      <x:c r="A637" s="27" t="str">
        <x:v>E00633</x:v>
      </x:c>
      <x:c r="B637" s="27" t="str">
        <x:v>S10-MATH-02</x:v>
      </x:c>
      <x:c r="C637" s="27" t="str">
        <x:v>Common 2D shape recognition</x:v>
      </x:c>
      <x:c r="D637" s="27" t="str">
        <x:v>VERIFIED_BY</x:v>
      </x:c>
      <x:c r="E637" s="27" t="str">
        <x:v>S10-MATH-02:EVIDENCE</x:v>
      </x:c>
      <x:c r="F637" s="27" t="str">
        <x:v>Names or matches a common shape even when it is turned or presented in a new size.</x:v>
      </x:c>
      <x:c r="G637" s="27" t="str">
        <x:v>S10</x:v>
      </x:c>
      <x:c r="H637" s="27" t="str">
        <x:v>Mathematics</x:v>
      </x:c>
      <x:c r="I637" s="27" t="str">
        <x:v>SRC02; SRC07; SRC09</x:v>
      </x:c>
      <x:c r="J637" s="27" t="str">
        <x:v>Observable evidence of usable learning.</x:v>
      </x:c>
    </x:row>
    <x:row r="638">
      <x:c r="A638" s="27" t="str">
        <x:v>E00634</x:v>
      </x:c>
      <x:c r="B638" s="27" t="str">
        <x:v>S10-MATH-02</x:v>
      </x:c>
      <x:c r="C638" s="27" t="str">
        <x:v>Previous node in domain progression</x:v>
      </x:c>
      <x:c r="D638" s="27" t="str">
        <x:v>DOMAIN_SEQUENCE</x:v>
      </x:c>
      <x:c r="E638" s="27" t="str">
        <x:v>S10-MATH-03</x:v>
      </x:c>
      <x:c r="F638" s="27" t="str">
        <x:v>Direct comparison</x:v>
      </x:c>
      <x:c r="G638" s="27" t="str">
        <x:v>S10</x:v>
      </x:c>
      <x:c r="H638" s="27" t="str">
        <x:v>Mathematics</x:v>
      </x:c>
      <x:c r="I638" s="27" t="str">
        <x:v>SRC02; SRC07; SRC09</x:v>
      </x:c>
      <x:c r="J638" s="27" t="str">
        <x:v>Ordered spiral link; consult explicit prerequisites for logical dependency.</x:v>
      </x:c>
    </x:row>
    <x:row r="639">
      <x:c r="A639" s="27" t="str">
        <x:v>E00635</x:v>
      </x:c>
      <x:c r="B639" s="27" t="str">
        <x:v>S10-MATH-03:PREREQ</x:v>
      </x:c>
      <x:c r="C639" s="27" t="str">
        <x:v>Comparison language and spatial control.</x:v>
      </x:c>
      <x:c r="D639" s="27" t="str">
        <x:v>PREREQUISITE</x:v>
      </x:c>
      <x:c r="E639" s="27" t="str">
        <x:v>S10-MATH-03</x:v>
      </x:c>
      <x:c r="F639" s="27" t="str">
        <x:v>Direct comparison</x:v>
      </x:c>
      <x:c r="G639" s="27" t="str">
        <x:v>S10</x:v>
      </x:c>
      <x:c r="H639" s="27" t="str">
        <x:v>Mathematics</x:v>
      </x:c>
      <x:c r="I639" s="27" t="str">
        <x:v>SRC02; SRC07; SRC09</x:v>
      </x:c>
      <x:c r="J639" s="27" t="str">
        <x:v>Incoming prerequisite relationship.</x:v>
      </x:c>
    </x:row>
    <x:row r="640">
      <x:c r="A640" s="27" t="str">
        <x:v>E00636</x:v>
      </x:c>
      <x:c r="B640" s="27" t="str">
        <x:v>S10-MATH-03:GROUND</x:v>
      </x:c>
      <x:c r="C640" s="27" t="str">
        <x:v>G3 — Shared reference and symbol</x:v>
      </x:c>
      <x:c r="D640" s="27" t="str">
        <x:v>GROUNDED_BY</x:v>
      </x:c>
      <x:c r="E640" s="27" t="str">
        <x:v>S10-MATH-03</x:v>
      </x:c>
      <x:c r="F640" s="27" t="str">
        <x:v>Direct comparison</x:v>
      </x:c>
      <x:c r="G640" s="27" t="str">
        <x:v>S10</x:v>
      </x:c>
      <x:c r="H640" s="27" t="str">
        <x:v>Mathematics</x:v>
      </x:c>
      <x:c r="I640" s="27" t="str">
        <x:v>SRC02; SRC07; SRC09</x:v>
      </x:c>
      <x:c r="J640" s="27" t="str">
        <x:v>Grounding form used to preserve meaning.</x:v>
      </x:c>
    </x:row>
    <x:row r="641">
      <x:c r="A641" s="27" t="str">
        <x:v>E00637</x:v>
      </x:c>
      <x:c r="B641" s="27" t="str">
        <x:v>S10-MATH-03</x:v>
      </x:c>
      <x:c r="C641" s="27" t="str">
        <x:v>Direct comparison</x:v>
      </x:c>
      <x:c r="D641" s="27" t="str">
        <x:v>CONNECTS_TO</x:v>
      </x:c>
      <x:c r="E641" s="27" t="str">
        <x:v>S10-MATH-03:CROSS</x:v>
      </x:c>
      <x:c r="F641" s="27" t="str">
        <x:v>Physical quantity and spatial action; science measurement/models; computing/algorithms; finance; music rhythm/pattern; geographic data.</x:v>
      </x:c>
      <x:c r="G641" s="27" t="str">
        <x:v>S10</x:v>
      </x:c>
      <x:c r="H641" s="27" t="str">
        <x:v>Mathematics</x:v>
      </x:c>
      <x:c r="I641" s="27" t="str">
        <x:v>SRC02; SRC07; SRC09</x:v>
      </x:c>
      <x:c r="J641" s="27" t="str">
        <x:v>Parallel subject and representation links.</x:v>
      </x:c>
    </x:row>
    <x:row r="642">
      <x:c r="A642" s="27" t="str">
        <x:v>E00638</x:v>
      </x:c>
      <x:c r="B642" s="27" t="str">
        <x:v>S10-MATH-03</x:v>
      </x:c>
      <x:c r="C642" s="27" t="str">
        <x:v>Direct comparison</x:v>
      </x:c>
      <x:c r="D642" s="27" t="str">
        <x:v>UNLOCKS</x:v>
      </x:c>
      <x:c r="E642" s="27" t="str">
        <x:v>S10-MATH-03:NEXT</x:v>
      </x:c>
      <x:c r="F642" s="27" t="str">
        <x:v>Direct comparison establishes the attribute before units and measuring tools are introduced.</x:v>
      </x:c>
      <x:c r="G642" s="27" t="str">
        <x:v>S10</x:v>
      </x:c>
      <x:c r="H642" s="27" t="str">
        <x:v>Mathematics</x:v>
      </x:c>
      <x:c r="I642" s="27" t="str">
        <x:v>SRC02; SRC07; SRC09</x:v>
      </x:c>
      <x:c r="J642" s="27" t="str">
        <x:v>Outgoing use and placement rationale.</x:v>
      </x:c>
    </x:row>
    <x:row r="643">
      <x:c r="A643" s="27" t="str">
        <x:v>E00639</x:v>
      </x:c>
      <x:c r="B643" s="27" t="str">
        <x:v>S10-MATH-03</x:v>
      </x:c>
      <x:c r="C643" s="27" t="str">
        <x:v>Direct comparison</x:v>
      </x:c>
      <x:c r="D643" s="27" t="str">
        <x:v>VERIFIED_BY</x:v>
      </x:c>
      <x:c r="E643" s="27" t="str">
        <x:v>S10-MATH-03:EVIDENCE</x:v>
      </x:c>
      <x:c r="F643" s="27" t="str">
        <x:v>Correctly identifies which of two aligned objects is longer/taller or which container holds more through testing.</x:v>
      </x:c>
      <x:c r="G643" s="27" t="str">
        <x:v>S10</x:v>
      </x:c>
      <x:c r="H643" s="27" t="str">
        <x:v>Mathematics</x:v>
      </x:c>
      <x:c r="I643" s="27" t="str">
        <x:v>SRC02; SRC07; SRC09</x:v>
      </x:c>
      <x:c r="J643" s="27" t="str">
        <x:v>Observable evidence of usable learning.</x:v>
      </x:c>
    </x:row>
    <x:row r="644">
      <x:c r="A644" s="27" t="str">
        <x:v>E00640</x:v>
      </x:c>
      <x:c r="B644" s="27" t="str">
        <x:v>S09-SCI-01</x:v>
      </x:c>
      <x:c r="C644" s="27" t="str">
        <x:v>Previous node in domain progression</x:v>
      </x:c>
      <x:c r="D644" s="27" t="str">
        <x:v>DOMAIN_SEQUENCE</x:v>
      </x:c>
      <x:c r="E644" s="27" t="str">
        <x:v>S10-SCI-01</x:v>
      </x:c>
      <x:c r="F644" s="27" t="str">
        <x:v>Observation versus guess</x:v>
      </x:c>
      <x:c r="G644" s="27" t="str">
        <x:v>S10</x:v>
      </x:c>
      <x:c r="H644" s="27" t="str">
        <x:v>Science &amp; Engineering</x:v>
      </x:c>
      <x:c r="I644" s="27" t="str">
        <x:v>SRC02; SRC11</x:v>
      </x:c>
      <x:c r="J644" s="27" t="str">
        <x:v>Ordered spiral link; consult explicit prerequisites for logical dependency.</x:v>
      </x:c>
    </x:row>
    <x:row r="645">
      <x:c r="A645" s="27" t="str">
        <x:v>E00641</x:v>
      </x:c>
      <x:c r="B645" s="27" t="str">
        <x:v>S10-SCI-01:PREREQ</x:v>
      </x:c>
      <x:c r="C645" s="27" t="str">
        <x:v>Question–observe–answer cycle and property language.</x:v>
      </x:c>
      <x:c r="D645" s="27" t="str">
        <x:v>PREREQUISITE</x:v>
      </x:c>
      <x:c r="E645" s="27" t="str">
        <x:v>S10-SCI-01</x:v>
      </x:c>
      <x:c r="F645" s="27" t="str">
        <x:v>Observation versus guess</x:v>
      </x:c>
      <x:c r="G645" s="27" t="str">
        <x:v>S10</x:v>
      </x:c>
      <x:c r="H645" s="27" t="str">
        <x:v>Science &amp; Engineering</x:v>
      </x:c>
      <x:c r="I645" s="27" t="str">
        <x:v>SRC02; SRC11</x:v>
      </x:c>
      <x:c r="J645" s="27" t="str">
        <x:v>Incoming prerequisite relationship.</x:v>
      </x:c>
    </x:row>
    <x:row r="646">
      <x:c r="A646" s="27" t="str">
        <x:v>E00642</x:v>
      </x:c>
      <x:c r="B646" s="27" t="str">
        <x:v>S10-SCI-01:GROUND</x:v>
      </x:c>
      <x:c r="C646" s="27" t="str">
        <x:v>G3 — Shared reference and symbol</x:v>
      </x:c>
      <x:c r="D646" s="27" t="str">
        <x:v>GROUNDED_BY</x:v>
      </x:c>
      <x:c r="E646" s="27" t="str">
        <x:v>S10-SCI-01</x:v>
      </x:c>
      <x:c r="F646" s="27" t="str">
        <x:v>Observation versus guess</x:v>
      </x:c>
      <x:c r="G646" s="27" t="str">
        <x:v>S10</x:v>
      </x:c>
      <x:c r="H646" s="27" t="str">
        <x:v>Science &amp; Engineering</x:v>
      </x:c>
      <x:c r="I646" s="27" t="str">
        <x:v>SRC02; SRC11</x:v>
      </x:c>
      <x:c r="J646" s="27" t="str">
        <x:v>Grounding form used to preserve meaning.</x:v>
      </x:c>
    </x:row>
    <x:row r="647">
      <x:c r="A647" s="27" t="str">
        <x:v>E00643</x:v>
      </x:c>
      <x:c r="B647" s="27" t="str">
        <x:v>S10-SCI-01</x:v>
      </x:c>
      <x:c r="C647" s="27" t="str">
        <x:v>Observation versus guess</x:v>
      </x:c>
      <x:c r="D647" s="27" t="str">
        <x:v>CONNECTS_TO</x:v>
      </x:c>
      <x:c r="E647" s="27" t="str">
        <x:v>S10-SCI-01:CROSS</x:v>
      </x:c>
      <x:c r="F647" s="27" t="str">
        <x:v>Sensory observation and action; mathematics/data; reading/writing evidence; computing/models; health and environmental/civic decisions.</x:v>
      </x:c>
      <x:c r="G647" s="27" t="str">
        <x:v>S10</x:v>
      </x:c>
      <x:c r="H647" s="27" t="str">
        <x:v>Science &amp; Engineering</x:v>
      </x:c>
      <x:c r="I647" s="27" t="str">
        <x:v>SRC02; SRC11</x:v>
      </x:c>
      <x:c r="J647" s="27" t="str">
        <x:v>Parallel subject and representation links.</x:v>
      </x:c>
    </x:row>
    <x:row r="648">
      <x:c r="A648" s="27" t="str">
        <x:v>E00644</x:v>
      </x:c>
      <x:c r="B648" s="27" t="str">
        <x:v>S10-SCI-01</x:v>
      </x:c>
      <x:c r="C648" s="27" t="str">
        <x:v>Observation versus guess</x:v>
      </x:c>
      <x:c r="D648" s="27" t="str">
        <x:v>UNLOCKS</x:v>
      </x:c>
      <x:c r="E648" s="27" t="str">
        <x:v>S10-SCI-01:NEXT</x:v>
      </x:c>
      <x:c r="F648" s="27" t="str">
        <x:v>The distinction begins disciplined use of evidence.</x:v>
      </x:c>
      <x:c r="G648" s="27" t="str">
        <x:v>S10</x:v>
      </x:c>
      <x:c r="H648" s="27" t="str">
        <x:v>Science &amp; Engineering</x:v>
      </x:c>
      <x:c r="I648" s="27" t="str">
        <x:v>SRC02; SRC11</x:v>
      </x:c>
      <x:c r="J648" s="27" t="str">
        <x:v>Outgoing use and placement rationale.</x:v>
      </x:c>
    </x:row>
    <x:row r="649">
      <x:c r="A649" s="27" t="str">
        <x:v>E00645</x:v>
      </x:c>
      <x:c r="B649" s="27" t="str">
        <x:v>S10-SCI-01</x:v>
      </x:c>
      <x:c r="C649" s="27" t="str">
        <x:v>Observation versus guess</x:v>
      </x:c>
      <x:c r="D649" s="27" t="str">
        <x:v>VERIFIED_BY</x:v>
      </x:c>
      <x:c r="E649" s="27" t="str">
        <x:v>S10-SCI-01:EVIDENCE</x:v>
      </x:c>
      <x:c r="F649" s="27" t="str">
        <x:v>Answers what did you notice with an observable feature or event.</x:v>
      </x:c>
      <x:c r="G649" s="27" t="str">
        <x:v>S10</x:v>
      </x:c>
      <x:c r="H649" s="27" t="str">
        <x:v>Science &amp; Engineering</x:v>
      </x:c>
      <x:c r="I649" s="27" t="str">
        <x:v>SRC02; SRC11</x:v>
      </x:c>
      <x:c r="J649" s="27" t="str">
        <x:v>Observable evidence of usable learning.</x:v>
      </x:c>
    </x:row>
    <x:row r="650">
      <x:c r="A650" s="27" t="str">
        <x:v>E00646</x:v>
      </x:c>
      <x:c r="B650" s="27" t="str">
        <x:v>S09-ARTS-01</x:v>
      </x:c>
      <x:c r="C650" s="27" t="str">
        <x:v>Previous node in domain progression</x:v>
      </x:c>
      <x:c r="D650" s="27" t="str">
        <x:v>DOMAIN_SEQUENCE</x:v>
      </x:c>
      <x:c r="E650" s="27" t="str">
        <x:v>S10-ARTS-01</x:v>
      </x:c>
      <x:c r="F650" s="27" t="str">
        <x:v>Steady beat and contrast</x:v>
      </x:c>
      <x:c r="G650" s="27" t="str">
        <x:v>S10</x:v>
      </x:c>
      <x:c r="H650" s="27" t="str">
        <x:v>Music &amp; Arts</x:v>
      </x:c>
      <x:c r="I650" s="27" t="str">
        <x:v>SRC02; SRC13</x:v>
      </x:c>
      <x:c r="J650" s="27" t="str">
        <x:v>Ordered spiral link; consult explicit prerequisites for logical dependency.</x:v>
      </x:c>
    </x:row>
    <x:row r="651">
      <x:c r="A651" s="27" t="str">
        <x:v>E00647</x:v>
      </x:c>
      <x:c r="B651" s="27" t="str">
        <x:v>S10-ARTS-01:PREREQ</x:v>
      </x:c>
      <x:c r="C651" s="27" t="str">
        <x:v>Pulse experience, rhythm echo, and comparison language.</x:v>
      </x:c>
      <x:c r="D651" s="27" t="str">
        <x:v>PREREQUISITE</x:v>
      </x:c>
      <x:c r="E651" s="27" t="str">
        <x:v>S10-ARTS-01</x:v>
      </x:c>
      <x:c r="F651" s="27" t="str">
        <x:v>Steady beat and contrast</x:v>
      </x:c>
      <x:c r="G651" s="27" t="str">
        <x:v>S10</x:v>
      </x:c>
      <x:c r="H651" s="27" t="str">
        <x:v>Music &amp; Arts</x:v>
      </x:c>
      <x:c r="I651" s="27" t="str">
        <x:v>SRC02; SRC13</x:v>
      </x:c>
      <x:c r="J651" s="27" t="str">
        <x:v>Incoming prerequisite relationship.</x:v>
      </x:c>
    </x:row>
    <x:row r="652">
      <x:c r="A652" s="27" t="str">
        <x:v>E00648</x:v>
      </x:c>
      <x:c r="B652" s="27" t="str">
        <x:v>S10-ARTS-01:GROUND</x:v>
      </x:c>
      <x:c r="C652" s="27" t="str">
        <x:v>G3 — Shared reference and symbol</x:v>
      </x:c>
      <x:c r="D652" s="27" t="str">
        <x:v>GROUNDED_BY</x:v>
      </x:c>
      <x:c r="E652" s="27" t="str">
        <x:v>S10-ARTS-01</x:v>
      </x:c>
      <x:c r="F652" s="27" t="str">
        <x:v>Steady beat and contrast</x:v>
      </x:c>
      <x:c r="G652" s="27" t="str">
        <x:v>S10</x:v>
      </x:c>
      <x:c r="H652" s="27" t="str">
        <x:v>Music &amp; Arts</x:v>
      </x:c>
      <x:c r="I652" s="27" t="str">
        <x:v>SRC02; SRC13</x:v>
      </x:c>
      <x:c r="J652" s="27" t="str">
        <x:v>Grounding form used to preserve meaning.</x:v>
      </x:c>
    </x:row>
    <x:row r="653">
      <x:c r="A653" s="27" t="str">
        <x:v>E00649</x:v>
      </x:c>
      <x:c r="B653" s="27" t="str">
        <x:v>S10-ARTS-01</x:v>
      </x:c>
      <x:c r="C653" s="27" t="str">
        <x:v>Steady beat and contrast</x:v>
      </x:c>
      <x:c r="D653" s="27" t="str">
        <x:v>CONNECTS_TO</x:v>
      </x:c>
      <x:c r="E653" s="27" t="str">
        <x:v>S10-ARTS-01:CROSS</x:v>
      </x:c>
      <x:c r="F653" s="27" t="str">
        <x:v>Sensory discrimination; motor timing; language/prosody; mathematics/pattern; history/culture; emotion, design, and technology.</x:v>
      </x:c>
      <x:c r="G653" s="27" t="str">
        <x:v>S10</x:v>
      </x:c>
      <x:c r="H653" s="27" t="str">
        <x:v>Music &amp; Arts</x:v>
      </x:c>
      <x:c r="I653" s="27" t="str">
        <x:v>SRC02; SRC13</x:v>
      </x:c>
      <x:c r="J653" s="27" t="str">
        <x:v>Parallel subject and representation links.</x:v>
      </x:c>
    </x:row>
    <x:row r="654">
      <x:c r="A654" s="27" t="str">
        <x:v>E00650</x:v>
      </x:c>
      <x:c r="B654" s="27" t="str">
        <x:v>S10-ARTS-01</x:v>
      </x:c>
      <x:c r="C654" s="27" t="str">
        <x:v>Steady beat and contrast</x:v>
      </x:c>
      <x:c r="D654" s="27" t="str">
        <x:v>UNLOCKS</x:v>
      </x:c>
      <x:c r="E654" s="27" t="str">
        <x:v>S10-ARTS-01:NEXT</x:v>
      </x:c>
      <x:c r="F654" s="27" t="str">
        <x:v>Beat and contrast are organizing dimensions for rhythm, melody, expression, and notation.</x:v>
      </x:c>
      <x:c r="G654" s="27" t="str">
        <x:v>S10</x:v>
      </x:c>
      <x:c r="H654" s="27" t="str">
        <x:v>Music &amp; Arts</x:v>
      </x:c>
      <x:c r="I654" s="27" t="str">
        <x:v>SRC02; SRC13</x:v>
      </x:c>
      <x:c r="J654" s="27" t="str">
        <x:v>Outgoing use and placement rationale.</x:v>
      </x:c>
    </x:row>
    <x:row r="655">
      <x:c r="A655" s="27" t="str">
        <x:v>E00651</x:v>
      </x:c>
      <x:c r="B655" s="27" t="str">
        <x:v>S10-ARTS-01</x:v>
      </x:c>
      <x:c r="C655" s="27" t="str">
        <x:v>Steady beat and contrast</x:v>
      </x:c>
      <x:c r="D655" s="27" t="str">
        <x:v>VERIFIED_BY</x:v>
      </x:c>
      <x:c r="E655" s="27" t="str">
        <x:v>S10-ARTS-01:EVIDENCE</x:v>
      </x:c>
      <x:c r="F655" s="27" t="str">
        <x:v>Moves or plays with a beat for several cycles and labels or demonstrates a requested contrast.</x:v>
      </x:c>
      <x:c r="G655" s="27" t="str">
        <x:v>S10</x:v>
      </x:c>
      <x:c r="H655" s="27" t="str">
        <x:v>Music &amp; Arts</x:v>
      </x:c>
      <x:c r="I655" s="27" t="str">
        <x:v>SRC02; SRC13</x:v>
      </x:c>
      <x:c r="J655" s="27" t="str">
        <x:v>Observable evidence of usable learning.</x:v>
      </x:c>
    </x:row>
    <x:row r="656">
      <x:c r="A656" s="27" t="str">
        <x:v>E00652</x:v>
      </x:c>
      <x:c r="B656" s="27" t="str">
        <x:v>S08-HLTH-01</x:v>
      </x:c>
      <x:c r="C656" s="27" t="str">
        <x:v>Previous node in domain progression</x:v>
      </x:c>
      <x:c r="D656" s="27" t="str">
        <x:v>DOMAIN_SEQUENCE</x:v>
      </x:c>
      <x:c r="E656" s="27" t="str">
        <x:v>S10-HLTH-01</x:v>
      </x:c>
      <x:c r="F656" s="27" t="str">
        <x:v>Fundamental movement exploration</x:v>
      </x:c>
      <x:c r="G656" s="27" t="str">
        <x:v>S10</x:v>
      </x:c>
      <x:c r="H656" s="27" t="str">
        <x:v>Physical &amp; Health</x:v>
      </x:c>
      <x:c r="I656" s="27" t="str">
        <x:v>SRC02; SRC14</x:v>
      </x:c>
      <x:c r="J656" s="27" t="str">
        <x:v>Ordered spiral link; consult explicit prerequisites for logical dependency.</x:v>
      </x:c>
    </x:row>
    <x:row r="657">
      <x:c r="A657" s="27" t="str">
        <x:v>E00653</x:v>
      </x:c>
      <x:c r="B657" s="27" t="str">
        <x:v>S10-HLTH-01:PREREQ</x:v>
      </x:c>
      <x:c r="C657" s="27" t="str">
        <x:v>Independent mobility, postural control, and imitation.</x:v>
      </x:c>
      <x:c r="D657" s="27" t="str">
        <x:v>PREREQUISITE</x:v>
      </x:c>
      <x:c r="E657" s="27" t="str">
        <x:v>S10-HLTH-01</x:v>
      </x:c>
      <x:c r="F657" s="27" t="str">
        <x:v>Fundamental movement exploration</x:v>
      </x:c>
      <x:c r="G657" s="27" t="str">
        <x:v>S10</x:v>
      </x:c>
      <x:c r="H657" s="27" t="str">
        <x:v>Physical &amp; Health</x:v>
      </x:c>
      <x:c r="I657" s="27" t="str">
        <x:v>SRC02; SRC14</x:v>
      </x:c>
      <x:c r="J657" s="27" t="str">
        <x:v>Incoming prerequisite relationship.</x:v>
      </x:c>
    </x:row>
    <x:row r="658">
      <x:c r="A658" s="27" t="str">
        <x:v>E00654</x:v>
      </x:c>
      <x:c r="B658" s="27" t="str">
        <x:v>S10-HLTH-01:GROUND</x:v>
      </x:c>
      <x:c r="C658" s="27" t="str">
        <x:v>G3 — Shared reference and symbol</x:v>
      </x:c>
      <x:c r="D658" s="27" t="str">
        <x:v>GROUNDED_BY</x:v>
      </x:c>
      <x:c r="E658" s="27" t="str">
        <x:v>S10-HLTH-01</x:v>
      </x:c>
      <x:c r="F658" s="27" t="str">
        <x:v>Fundamental movement exploration</x:v>
      </x:c>
      <x:c r="G658" s="27" t="str">
        <x:v>S10</x:v>
      </x:c>
      <x:c r="H658" s="27" t="str">
        <x:v>Physical &amp; Health</x:v>
      </x:c>
      <x:c r="I658" s="27" t="str">
        <x:v>SRC02; SRC14</x:v>
      </x:c>
      <x:c r="J658" s="27" t="str">
        <x:v>Grounding form used to preserve meaning.</x:v>
      </x:c>
    </x:row>
    <x:row r="659">
      <x:c r="A659" s="27" t="str">
        <x:v>E00655</x:v>
      </x:c>
      <x:c r="B659" s="27" t="str">
        <x:v>S10-HLTH-01</x:v>
      </x:c>
      <x:c r="C659" s="27" t="str">
        <x:v>Fundamental movement exploration</x:v>
      </x:c>
      <x:c r="D659" s="27" t="str">
        <x:v>CONNECTS_TO</x:v>
      </x:c>
      <x:c r="E659" s="27" t="str">
        <x:v>S10-HLTH-01:CROSS</x:v>
      </x:c>
      <x:c r="F659" s="27" t="str">
        <x:v>Motor/sensory development; life science; measurement/data; SEL/self-management; communication, safety, and decision-making.</x:v>
      </x:c>
      <x:c r="G659" s="27" t="str">
        <x:v>S10</x:v>
      </x:c>
      <x:c r="H659" s="27" t="str">
        <x:v>Physical &amp; Health</x:v>
      </x:c>
      <x:c r="I659" s="27" t="str">
        <x:v>SRC02; SRC14</x:v>
      </x:c>
      <x:c r="J659" s="27" t="str">
        <x:v>Parallel subject and representation links.</x:v>
      </x:c>
    </x:row>
    <x:row r="660">
      <x:c r="A660" s="27" t="str">
        <x:v>E00656</x:v>
      </x:c>
      <x:c r="B660" s="27" t="str">
        <x:v>S10-HLTH-01</x:v>
      </x:c>
      <x:c r="C660" s="27" t="str">
        <x:v>Fundamental movement exploration</x:v>
      </x:c>
      <x:c r="D660" s="27" t="str">
        <x:v>UNLOCKS</x:v>
      </x:c>
      <x:c r="E660" s="27" t="str">
        <x:v>S10-HLTH-01:NEXT</x:v>
      </x:c>
      <x:c r="F660" s="27" t="str">
        <x:v>Fundamental patterns are refined into games, dance, fitness, and lifelong movement competence.</x:v>
      </x:c>
      <x:c r="G660" s="27" t="str">
        <x:v>S10</x:v>
      </x:c>
      <x:c r="H660" s="27" t="str">
        <x:v>Physical &amp; Health</x:v>
      </x:c>
      <x:c r="I660" s="27" t="str">
        <x:v>SRC02; SRC14</x:v>
      </x:c>
      <x:c r="J660" s="27" t="str">
        <x:v>Outgoing use and placement rationale.</x:v>
      </x:c>
    </x:row>
    <x:row r="661">
      <x:c r="A661" s="27" t="str">
        <x:v>E00657</x:v>
      </x:c>
      <x:c r="B661" s="27" t="str">
        <x:v>S10-HLTH-01</x:v>
      </x:c>
      <x:c r="C661" s="27" t="str">
        <x:v>Fundamental movement exploration</x:v>
      </x:c>
      <x:c r="D661" s="27" t="str">
        <x:v>VERIFIED_BY</x:v>
      </x:c>
      <x:c r="E661" s="27" t="str">
        <x:v>S10-HLTH-01:EVIDENCE</x:v>
      </x:c>
      <x:c r="F661" s="27" t="str">
        <x:v>Performs several movement patterns with developing control and responds to movement cues.</x:v>
      </x:c>
      <x:c r="G661" s="27" t="str">
        <x:v>S10</x:v>
      </x:c>
      <x:c r="H661" s="27" t="str">
        <x:v>Physical &amp; Health</x:v>
      </x:c>
      <x:c r="I661" s="27" t="str">
        <x:v>SRC02; SRC14</x:v>
      </x:c>
      <x:c r="J661" s="27" t="str">
        <x:v>Observable evidence of usable learning.</x:v>
      </x:c>
    </x:row>
    <x:row r="662">
      <x:c r="A662" s="27" t="str">
        <x:v>E00658</x:v>
      </x:c>
      <x:c r="B662" s="27" t="str">
        <x:v>S10-LEARN-02</x:v>
      </x:c>
      <x:c r="C662" s="27" t="str">
        <x:v>Previous node in domain progression</x:v>
      </x:c>
      <x:c r="D662" s="27" t="str">
        <x:v>DOMAIN_SEQUENCE</x:v>
      </x:c>
      <x:c r="E662" s="27" t="str">
        <x:v>S11-LEARN-01</x:v>
      </x:c>
      <x:c r="F662" s="27" t="str">
        <x:v>Multi-step classroom routine</x:v>
      </x:c>
      <x:c r="G662" s="27" t="str">
        <x:v>S11</x:v>
      </x:c>
      <x:c r="H662" s="27" t="str">
        <x:v>Learning Foundations</x:v>
      </x:c>
      <x:c r="I662" s="27" t="str">
        <x:v>SRC02; SRC05; SRC25</x:v>
      </x:c>
      <x:c r="J662" s="27" t="str">
        <x:v>Ordered spiral link; consult explicit prerequisites for logical dependency.</x:v>
      </x:c>
    </x:row>
    <x:row r="663">
      <x:c r="A663" s="27" t="str">
        <x:v>E00659</x:v>
      </x:c>
      <x:c r="B663" s="27" t="str">
        <x:v>S11-LEARN-01:PREREQ</x:v>
      </x:c>
      <x:c r="C663" s="27" t="str">
        <x:v>Event order, short-task persistence, and rule switching.</x:v>
      </x:c>
      <x:c r="D663" s="27" t="str">
        <x:v>PREREQUISITE</x:v>
      </x:c>
      <x:c r="E663" s="27" t="str">
        <x:v>S11-LEARN-01</x:v>
      </x:c>
      <x:c r="F663" s="27" t="str">
        <x:v>Multi-step classroom routine</x:v>
      </x:c>
      <x:c r="G663" s="27" t="str">
        <x:v>S11</x:v>
      </x:c>
      <x:c r="H663" s="27" t="str">
        <x:v>Learning Foundations</x:v>
      </x:c>
      <x:c r="I663" s="27" t="str">
        <x:v>SRC02; SRC05; SRC25</x:v>
      </x:c>
      <x:c r="J663" s="27" t="str">
        <x:v>Incoming prerequisite relationship.</x:v>
      </x:c>
    </x:row>
    <x:row r="664">
      <x:c r="A664" s="27" t="str">
        <x:v>E00660</x:v>
      </x:c>
      <x:c r="B664" s="27" t="str">
        <x:v>S11-LEARN-01:GROUND</x:v>
      </x:c>
      <x:c r="C664" s="27" t="str">
        <x:v>G3 — Shared reference and symbol</x:v>
      </x:c>
      <x:c r="D664" s="27" t="str">
        <x:v>GROUNDED_BY</x:v>
      </x:c>
      <x:c r="E664" s="27" t="str">
        <x:v>S11-LEARN-01</x:v>
      </x:c>
      <x:c r="F664" s="27" t="str">
        <x:v>Multi-step classroom routine</x:v>
      </x:c>
      <x:c r="G664" s="27" t="str">
        <x:v>S11</x:v>
      </x:c>
      <x:c r="H664" s="27" t="str">
        <x:v>Learning Foundations</x:v>
      </x:c>
      <x:c r="I664" s="27" t="str">
        <x:v>SRC02; SRC05; SRC25</x:v>
      </x:c>
      <x:c r="J664" s="27" t="str">
        <x:v>Grounding form used to preserve meaning.</x:v>
      </x:c>
    </x:row>
    <x:row r="665">
      <x:c r="A665" s="27" t="str">
        <x:v>E00661</x:v>
      </x:c>
      <x:c r="B665" s="27" t="str">
        <x:v>S11-LEARN-01</x:v>
      </x:c>
      <x:c r="C665" s="27" t="str">
        <x:v>Multi-step classroom routine</x:v>
      </x:c>
      <x:c r="D665" s="27" t="str">
        <x:v>CONNECTS_TO</x:v>
      </x:c>
      <x:c r="E665" s="27" t="str">
        <x:v>S11-LEARN-01:CROSS</x:v>
      </x:c>
      <x:c r="F665" s="27" t="str">
        <x:v>All domains: attention, memory, strategy choice, monitoring, retrieval, and transfer.</x:v>
      </x:c>
      <x:c r="G665" s="27" t="str">
        <x:v>S11</x:v>
      </x:c>
      <x:c r="H665" s="27" t="str">
        <x:v>Learning Foundations</x:v>
      </x:c>
      <x:c r="I665" s="27" t="str">
        <x:v>SRC02; SRC05; SRC25</x:v>
      </x:c>
      <x:c r="J665" s="27" t="str">
        <x:v>Parallel subject and representation links.</x:v>
      </x:c>
    </x:row>
    <x:row r="666">
      <x:c r="A666" s="27" t="str">
        <x:v>E00662</x:v>
      </x:c>
      <x:c r="B666" s="27" t="str">
        <x:v>S11-LEARN-01</x:v>
      </x:c>
      <x:c r="C666" s="27" t="str">
        <x:v>Multi-step classroom routine</x:v>
      </x:c>
      <x:c r="D666" s="27" t="str">
        <x:v>UNLOCKS</x:v>
      </x:c>
      <x:c r="E666" s="27" t="str">
        <x:v>S11-LEARN-01:NEXT</x:v>
      </x:c>
      <x:c r="F666" s="27" t="str">
        <x:v>Multi-step routines support independent work, algorithms, experiments, and writing processes.</x:v>
      </x:c>
      <x:c r="G666" s="27" t="str">
        <x:v>S11</x:v>
      </x:c>
      <x:c r="H666" s="27" t="str">
        <x:v>Learning Foundations</x:v>
      </x:c>
      <x:c r="I666" s="27" t="str">
        <x:v>SRC02; SRC05; SRC25</x:v>
      </x:c>
      <x:c r="J666" s="27" t="str">
        <x:v>Outgoing use and placement rationale.</x:v>
      </x:c>
    </x:row>
    <x:row r="667">
      <x:c r="A667" s="27" t="str">
        <x:v>E00663</x:v>
      </x:c>
      <x:c r="B667" s="27" t="str">
        <x:v>S11-LEARN-01</x:v>
      </x:c>
      <x:c r="C667" s="27" t="str">
        <x:v>Multi-step classroom routine</x:v>
      </x:c>
      <x:c r="D667" s="27" t="str">
        <x:v>VERIFIED_BY</x:v>
      </x:c>
      <x:c r="E667" s="27" t="str">
        <x:v>S11-LEARN-01:EVIDENCE</x:v>
      </x:c>
      <x:c r="F667" s="27" t="str">
        <x:v>Completes a familiar sequence and checks the expected end state.</x:v>
      </x:c>
      <x:c r="G667" s="27" t="str">
        <x:v>S11</x:v>
      </x:c>
      <x:c r="H667" s="27" t="str">
        <x:v>Learning Foundations</x:v>
      </x:c>
      <x:c r="I667" s="27" t="str">
        <x:v>SRC02; SRC05; SRC25</x:v>
      </x:c>
      <x:c r="J667" s="27" t="str">
        <x:v>Observable evidence of usable learning.</x:v>
      </x:c>
    </x:row>
    <x:row r="668">
      <x:c r="A668" s="27" t="str">
        <x:v>E00664</x:v>
      </x:c>
      <x:c r="B668" s="27" t="str">
        <x:v>S11-LEARN-01</x:v>
      </x:c>
      <x:c r="C668" s="27" t="str">
        <x:v>Previous node in domain progression</x:v>
      </x:c>
      <x:c r="D668" s="27" t="str">
        <x:v>DOMAIN_SEQUENCE</x:v>
      </x:c>
      <x:c r="E668" s="27" t="str">
        <x:v>S11-LEARN-02</x:v>
      </x:c>
      <x:c r="F668" s="27" t="str">
        <x:v>Confidence and help calibration</x:v>
      </x:c>
      <x:c r="G668" s="27" t="str">
        <x:v>S11</x:v>
      </x:c>
      <x:c r="H668" s="27" t="str">
        <x:v>Learning Foundations</x:v>
      </x:c>
      <x:c r="I668" s="27" t="str">
        <x:v>SRC02; SRC05; SRC18</x:v>
      </x:c>
      <x:c r="J668" s="27" t="str">
        <x:v>Ordered spiral link; consult explicit prerequisites for logical dependency.</x:v>
      </x:c>
    </x:row>
    <x:row r="669">
      <x:c r="A669" s="27" t="str">
        <x:v>E00665</x:v>
      </x:c>
      <x:c r="B669" s="27" t="str">
        <x:v>S11-LEARN-02:PREREQ</x:v>
      </x:c>
      <x:c r="C669" s="27" t="str">
        <x:v>Agency, emotion knowledge, and plan-review language.</x:v>
      </x:c>
      <x:c r="D669" s="27" t="str">
        <x:v>PREREQUISITE</x:v>
      </x:c>
      <x:c r="E669" s="27" t="str">
        <x:v>S11-LEARN-02</x:v>
      </x:c>
      <x:c r="F669" s="27" t="str">
        <x:v>Confidence and help calibration</x:v>
      </x:c>
      <x:c r="G669" s="27" t="str">
        <x:v>S11</x:v>
      </x:c>
      <x:c r="H669" s="27" t="str">
        <x:v>Learning Foundations</x:v>
      </x:c>
      <x:c r="I669" s="27" t="str">
        <x:v>SRC02; SRC05; SRC18</x:v>
      </x:c>
      <x:c r="J669" s="27" t="str">
        <x:v>Incoming prerequisite relationship.</x:v>
      </x:c>
    </x:row>
    <x:row r="670">
      <x:c r="A670" s="27" t="str">
        <x:v>E00666</x:v>
      </x:c>
      <x:c r="B670" s="27" t="str">
        <x:v>S11-LEARN-02:GROUND</x:v>
      </x:c>
      <x:c r="C670" s="27" t="str">
        <x:v>G3 — Shared reference and symbol</x:v>
      </x:c>
      <x:c r="D670" s="27" t="str">
        <x:v>GROUNDED_BY</x:v>
      </x:c>
      <x:c r="E670" s="27" t="str">
        <x:v>S11-LEARN-02</x:v>
      </x:c>
      <x:c r="F670" s="27" t="str">
        <x:v>Confidence and help calibration</x:v>
      </x:c>
      <x:c r="G670" s="27" t="str">
        <x:v>S11</x:v>
      </x:c>
      <x:c r="H670" s="27" t="str">
        <x:v>Learning Foundations</x:v>
      </x:c>
      <x:c r="I670" s="27" t="str">
        <x:v>SRC02; SRC05; SRC18</x:v>
      </x:c>
      <x:c r="J670" s="27" t="str">
        <x:v>Grounding form used to preserve meaning.</x:v>
      </x:c>
    </x:row>
    <x:row r="671">
      <x:c r="A671" s="27" t="str">
        <x:v>E00667</x:v>
      </x:c>
      <x:c r="B671" s="27" t="str">
        <x:v>S11-LEARN-02</x:v>
      </x:c>
      <x:c r="C671" s="27" t="str">
        <x:v>Confidence and help calibration</x:v>
      </x:c>
      <x:c r="D671" s="27" t="str">
        <x:v>CONNECTS_TO</x:v>
      </x:c>
      <x:c r="E671" s="27" t="str">
        <x:v>S11-LEARN-02:CROSS</x:v>
      </x:c>
      <x:c r="F671" s="27" t="str">
        <x:v>All domains: attention, memory, strategy choice, monitoring, retrieval, and transfer.</x:v>
      </x:c>
      <x:c r="G671" s="27" t="str">
        <x:v>S11</x:v>
      </x:c>
      <x:c r="H671" s="27" t="str">
        <x:v>Learning Foundations</x:v>
      </x:c>
      <x:c r="I671" s="27" t="str">
        <x:v>SRC02; SRC05; SRC18</x:v>
      </x:c>
      <x:c r="J671" s="27" t="str">
        <x:v>Parallel subject and representation links.</x:v>
      </x:c>
    </x:row>
    <x:row r="672">
      <x:c r="A672" s="27" t="str">
        <x:v>E00668</x:v>
      </x:c>
      <x:c r="B672" s="27" t="str">
        <x:v>S11-LEARN-02</x:v>
      </x:c>
      <x:c r="C672" s="27" t="str">
        <x:v>Confidence and help calibration</x:v>
      </x:c>
      <x:c r="D672" s="27" t="str">
        <x:v>UNLOCKS</x:v>
      </x:c>
      <x:c r="E672" s="27" t="str">
        <x:v>S11-LEARN-02:NEXT</x:v>
      </x:c>
      <x:c r="F672" s="27" t="str">
        <x:v>Accurate help-seeking and confidence monitoring support efficient independent learning.</x:v>
      </x:c>
      <x:c r="G672" s="27" t="str">
        <x:v>S11</x:v>
      </x:c>
      <x:c r="H672" s="27" t="str">
        <x:v>Learning Foundations</x:v>
      </x:c>
      <x:c r="I672" s="27" t="str">
        <x:v>SRC02; SRC05; SRC18</x:v>
      </x:c>
      <x:c r="J672" s="27" t="str">
        <x:v>Outgoing use and placement rationale.</x:v>
      </x:c>
    </x:row>
    <x:row r="673">
      <x:c r="A673" s="27" t="str">
        <x:v>E00669</x:v>
      </x:c>
      <x:c r="B673" s="27" t="str">
        <x:v>S11-LEARN-02</x:v>
      </x:c>
      <x:c r="C673" s="27" t="str">
        <x:v>Confidence and help calibration</x:v>
      </x:c>
      <x:c r="D673" s="27" t="str">
        <x:v>VERIFIED_BY</x:v>
      </x:c>
      <x:c r="E673" s="27" t="str">
        <x:v>S11-LEARN-02:EVIDENCE</x:v>
      </x:c>
      <x:c r="F673" s="27" t="str">
        <x:v>Says or shows what is understood and requests a specific kind of help when needed.</x:v>
      </x:c>
      <x:c r="G673" s="27" t="str">
        <x:v>S11</x:v>
      </x:c>
      <x:c r="H673" s="27" t="str">
        <x:v>Learning Foundations</x:v>
      </x:c>
      <x:c r="I673" s="27" t="str">
        <x:v>SRC02; SRC05; SRC18</x:v>
      </x:c>
      <x:c r="J673" s="27" t="str">
        <x:v>Observable evidence of usable learning.</x:v>
      </x:c>
    </x:row>
    <x:row r="674">
      <x:c r="A674" s="27" t="str">
        <x:v>E00670</x:v>
      </x:c>
      <x:c r="B674" s="27" t="str">
        <x:v>S10-SEL-02</x:v>
      </x:c>
      <x:c r="C674" s="27" t="str">
        <x:v>Previous node in domain progression</x:v>
      </x:c>
      <x:c r="D674" s="27" t="str">
        <x:v>DOMAIN_SEQUENCE</x:v>
      </x:c>
      <x:c r="E674" s="27" t="str">
        <x:v>S11-SEL-01</x:v>
      </x:c>
      <x:c r="F674" s="27" t="str">
        <x:v>Problem–options–choice</x:v>
      </x:c>
      <x:c r="G674" s="27" t="str">
        <x:v>S11</x:v>
      </x:c>
      <x:c r="H674" s="27" t="str">
        <x:v>Social-Emotional</x:v>
      </x:c>
      <x:c r="I674" s="27" t="str">
        <x:v>SRC02; SRC18</x:v>
      </x:c>
      <x:c r="J674" s="27" t="str">
        <x:v>Ordered spiral link; consult explicit prerequisites for logical dependency.</x:v>
      </x:c>
    </x:row>
    <x:row r="675">
      <x:c r="A675" s="27" t="str">
        <x:v>E00671</x:v>
      </x:c>
      <x:c r="B675" s="27" t="str">
        <x:v>S11-SEL-01:PREREQ</x:v>
      </x:c>
      <x:c r="C675" s="27" t="str">
        <x:v>Perspective-taking, coping, language, and cause–effect reasoning.</x:v>
      </x:c>
      <x:c r="D675" s="27" t="str">
        <x:v>PREREQUISITE</x:v>
      </x:c>
      <x:c r="E675" s="27" t="str">
        <x:v>S11-SEL-01</x:v>
      </x:c>
      <x:c r="F675" s="27" t="str">
        <x:v>Problem–options–choice</x:v>
      </x:c>
      <x:c r="G675" s="27" t="str">
        <x:v>S11</x:v>
      </x:c>
      <x:c r="H675" s="27" t="str">
        <x:v>Social-Emotional</x:v>
      </x:c>
      <x:c r="I675" s="27" t="str">
        <x:v>SRC02; SRC18</x:v>
      </x:c>
      <x:c r="J675" s="27" t="str">
        <x:v>Incoming prerequisite relationship.</x:v>
      </x:c>
    </x:row>
    <x:row r="676">
      <x:c r="A676" s="27" t="str">
        <x:v>E00672</x:v>
      </x:c>
      <x:c r="B676" s="27" t="str">
        <x:v>S11-SEL-01:GROUND</x:v>
      </x:c>
      <x:c r="C676" s="27" t="str">
        <x:v>G3 — Shared reference and symbol</x:v>
      </x:c>
      <x:c r="D676" s="27" t="str">
        <x:v>GROUNDED_BY</x:v>
      </x:c>
      <x:c r="E676" s="27" t="str">
        <x:v>S11-SEL-01</x:v>
      </x:c>
      <x:c r="F676" s="27" t="str">
        <x:v>Problem–options–choice</x:v>
      </x:c>
      <x:c r="G676" s="27" t="str">
        <x:v>S11</x:v>
      </x:c>
      <x:c r="H676" s="27" t="str">
        <x:v>Social-Emotional</x:v>
      </x:c>
      <x:c r="I676" s="27" t="str">
        <x:v>SRC02; SRC18</x:v>
      </x:c>
      <x:c r="J676" s="27" t="str">
        <x:v>Grounding form used to preserve meaning.</x:v>
      </x:c>
    </x:row>
    <x:row r="677">
      <x:c r="A677" s="27" t="str">
        <x:v>E00673</x:v>
      </x:c>
      <x:c r="B677" s="27" t="str">
        <x:v>S11-SEL-01</x:v>
      </x:c>
      <x:c r="C677" s="27" t="str">
        <x:v>Problem–options–choice</x:v>
      </x:c>
      <x:c r="D677" s="27" t="str">
        <x:v>CONNECTS_TO</x:v>
      </x:c>
      <x:c r="E677" s="27" t="str">
        <x:v>S11-SEL-01:CROSS</x:v>
      </x:c>
      <x:c r="F677" s="27" t="str">
        <x:v>Language and communication; health; collaboration in science, arts, civics, and projects; responsible digital/financial decisions.</x:v>
      </x:c>
      <x:c r="G677" s="27" t="str">
        <x:v>S11</x:v>
      </x:c>
      <x:c r="H677" s="27" t="str">
        <x:v>Social-Emotional</x:v>
      </x:c>
      <x:c r="I677" s="27" t="str">
        <x:v>SRC02; SRC18</x:v>
      </x:c>
      <x:c r="J677" s="27" t="str">
        <x:v>Parallel subject and representation links.</x:v>
      </x:c>
    </x:row>
    <x:row r="678">
      <x:c r="A678" s="27" t="str">
        <x:v>E00674</x:v>
      </x:c>
      <x:c r="B678" s="27" t="str">
        <x:v>S11-SEL-01</x:v>
      </x:c>
      <x:c r="C678" s="27" t="str">
        <x:v>Problem–options–choice</x:v>
      </x:c>
      <x:c r="D678" s="27" t="str">
        <x:v>UNLOCKS</x:v>
      </x:c>
      <x:c r="E678" s="27" t="str">
        <x:v>S11-SEL-01:NEXT</x:v>
      </x:c>
      <x:c r="F678" s="27" t="str">
        <x:v>Option comparison is the core structure of later decision analysis.</x:v>
      </x:c>
      <x:c r="G678" s="27" t="str">
        <x:v>S11</x:v>
      </x:c>
      <x:c r="H678" s="27" t="str">
        <x:v>Social-Emotional</x:v>
      </x:c>
      <x:c r="I678" s="27" t="str">
        <x:v>SRC02; SRC18</x:v>
      </x:c>
      <x:c r="J678" s="27" t="str">
        <x:v>Outgoing use and placement rationale.</x:v>
      </x:c>
    </x:row>
    <x:row r="679">
      <x:c r="A679" s="27" t="str">
        <x:v>E00675</x:v>
      </x:c>
      <x:c r="B679" s="27" t="str">
        <x:v>S11-SEL-01</x:v>
      </x:c>
      <x:c r="C679" s="27" t="str">
        <x:v>Problem–options–choice</x:v>
      </x:c>
      <x:c r="D679" s="27" t="str">
        <x:v>VERIFIED_BY</x:v>
      </x:c>
      <x:c r="E679" s="27" t="str">
        <x:v>S11-SEL-01:EVIDENCE</x:v>
      </x:c>
      <x:c r="F679" s="27" t="str">
        <x:v>States the problem and chooses a workable option while considering another person or rule.</x:v>
      </x:c>
      <x:c r="G679" s="27" t="str">
        <x:v>S11</x:v>
      </x:c>
      <x:c r="H679" s="27" t="str">
        <x:v>Social-Emotional</x:v>
      </x:c>
      <x:c r="I679" s="27" t="str">
        <x:v>SRC02; SRC18</x:v>
      </x:c>
      <x:c r="J679" s="27" t="str">
        <x:v>Observable evidence of usable learning.</x:v>
      </x:c>
    </x:row>
    <x:row r="680">
      <x:c r="A680" s="27" t="str">
        <x:v>E00676</x:v>
      </x:c>
      <x:c r="B680" s="27" t="str">
        <x:v>S10-LANG-02</x:v>
      </x:c>
      <x:c r="C680" s="27" t="str">
        <x:v>Previous node in domain progression</x:v>
      </x:c>
      <x:c r="D680" s="27" t="str">
        <x:v>DOMAIN_SEQUENCE</x:v>
      </x:c>
      <x:c r="E680" s="27" t="str">
        <x:v>S11-LANG-01</x:v>
      </x:c>
      <x:c r="F680" s="27" t="str">
        <x:v>Detailed sentences and explanations</x:v>
      </x:c>
      <x:c r="G680" s="27" t="str">
        <x:v>S11</x:v>
      </x:c>
      <x:c r="H680" s="27" t="str">
        <x:v>Language &amp; Communication</x:v>
      </x:c>
      <x:c r="I680" s="27" t="str">
        <x:v>SRC02; SRC10; SRC25</x:v>
      </x:c>
      <x:c r="J680" s="27" t="str">
        <x:v>Ordered spiral link; consult explicit prerequisites for logical dependency.</x:v>
      </x:c>
    </x:row>
    <x:row r="681">
      <x:c r="A681" s="27" t="str">
        <x:v>E00677</x:v>
      </x:c>
      <x:c r="B681" s="27" t="str">
        <x:v>S11-LANG-01:PREREQ</x:v>
      </x:c>
      <x:c r="C681" s="27" t="str">
        <x:v>Short sentences, relation vocabulary, and event narrative.</x:v>
      </x:c>
      <x:c r="D681" s="27" t="str">
        <x:v>PREREQUISITE</x:v>
      </x:c>
      <x:c r="E681" s="27" t="str">
        <x:v>S11-LANG-01</x:v>
      </x:c>
      <x:c r="F681" s="27" t="str">
        <x:v>Detailed sentences and explanations</x:v>
      </x:c>
      <x:c r="G681" s="27" t="str">
        <x:v>S11</x:v>
      </x:c>
      <x:c r="H681" s="27" t="str">
        <x:v>Language &amp; Communication</x:v>
      </x:c>
      <x:c r="I681" s="27" t="str">
        <x:v>SRC02; SRC10; SRC25</x:v>
      </x:c>
      <x:c r="J681" s="27" t="str">
        <x:v>Incoming prerequisite relationship.</x:v>
      </x:c>
    </x:row>
    <x:row r="682">
      <x:c r="A682" s="27" t="str">
        <x:v>E00678</x:v>
      </x:c>
      <x:c r="B682" s="27" t="str">
        <x:v>S11-LANG-01:GROUND</x:v>
      </x:c>
      <x:c r="C682" s="27" t="str">
        <x:v>G3 — Shared reference and symbol</x:v>
      </x:c>
      <x:c r="D682" s="27" t="str">
        <x:v>GROUNDED_BY</x:v>
      </x:c>
      <x:c r="E682" s="27" t="str">
        <x:v>S11-LANG-01</x:v>
      </x:c>
      <x:c r="F682" s="27" t="str">
        <x:v>Detailed sentences and explanations</x:v>
      </x:c>
      <x:c r="G682" s="27" t="str">
        <x:v>S11</x:v>
      </x:c>
      <x:c r="H682" s="27" t="str">
        <x:v>Language &amp; Communication</x:v>
      </x:c>
      <x:c r="I682" s="27" t="str">
        <x:v>SRC02; SRC10; SRC25</x:v>
      </x:c>
      <x:c r="J682" s="27" t="str">
        <x:v>Grounding form used to preserve meaning.</x:v>
      </x:c>
    </x:row>
    <x:row r="683">
      <x:c r="A683" s="27" t="str">
        <x:v>E00679</x:v>
      </x:c>
      <x:c r="B683" s="27" t="str">
        <x:v>S11-LANG-01</x:v>
      </x:c>
      <x:c r="C683" s="27" t="str">
        <x:v>Detailed sentences and explanations</x:v>
      </x:c>
      <x:c r="D683" s="27" t="str">
        <x:v>CONNECTS_TO</x:v>
      </x:c>
      <x:c r="E683" s="27" t="str">
        <x:v>S11-LANG-01:CROSS</x:v>
      </x:c>
      <x:c r="F683" s="27" t="str">
        <x:v>Reading and writing; vocabulary for math/science/social studies; discussion, music prosody, and world-language learning.</x:v>
      </x:c>
      <x:c r="G683" s="27" t="str">
        <x:v>S11</x:v>
      </x:c>
      <x:c r="H683" s="27" t="str">
        <x:v>Language &amp; Communication</x:v>
      </x:c>
      <x:c r="I683" s="27" t="str">
        <x:v>SRC02; SRC10; SRC25</x:v>
      </x:c>
      <x:c r="J683" s="27" t="str">
        <x:v>Parallel subject and representation links.</x:v>
      </x:c>
    </x:row>
    <x:row r="684">
      <x:c r="A684" s="27" t="str">
        <x:v>E00680</x:v>
      </x:c>
      <x:c r="B684" s="27" t="str">
        <x:v>S11-LANG-01</x:v>
      </x:c>
      <x:c r="C684" s="27" t="str">
        <x:v>Detailed sentences and explanations</x:v>
      </x:c>
      <x:c r="D684" s="27" t="str">
        <x:v>UNLOCKS</x:v>
      </x:c>
      <x:c r="E684" s="27" t="str">
        <x:v>S11-LANG-01:NEXT</x:v>
      </x:c>
      <x:c r="F684" s="27" t="str">
        <x:v>Detailed syntax supports complex directions, comprehension, scientific explanation, and writing.</x:v>
      </x:c>
      <x:c r="G684" s="27" t="str">
        <x:v>S11</x:v>
      </x:c>
      <x:c r="H684" s="27" t="str">
        <x:v>Language &amp; Communication</x:v>
      </x:c>
      <x:c r="I684" s="27" t="str">
        <x:v>SRC02; SRC10; SRC25</x:v>
      </x:c>
      <x:c r="J684" s="27" t="str">
        <x:v>Outgoing use and placement rationale.</x:v>
      </x:c>
    </x:row>
    <x:row r="685">
      <x:c r="A685" s="27" t="str">
        <x:v>E00681</x:v>
      </x:c>
      <x:c r="B685" s="27" t="str">
        <x:v>S11-LANG-01</x:v>
      </x:c>
      <x:c r="C685" s="27" t="str">
        <x:v>Detailed sentences and explanations</x:v>
      </x:c>
      <x:c r="D685" s="27" t="str">
        <x:v>VERIFIED_BY</x:v>
      </x:c>
      <x:c r="E685" s="27" t="str">
        <x:v>S11-LANG-01:EVIDENCE</x:v>
      </x:c>
      <x:c r="F685" s="27" t="str">
        <x:v>Explains an event or process using multiple connected details and relation words.</x:v>
      </x:c>
      <x:c r="G685" s="27" t="str">
        <x:v>S11</x:v>
      </x:c>
      <x:c r="H685" s="27" t="str">
        <x:v>Language &amp; Communication</x:v>
      </x:c>
      <x:c r="I685" s="27" t="str">
        <x:v>SRC02; SRC10; SRC25</x:v>
      </x:c>
      <x:c r="J685" s="27" t="str">
        <x:v>Observable evidence of usable learning.</x:v>
      </x:c>
    </x:row>
    <x:row r="686">
      <x:c r="A686" s="27" t="str">
        <x:v>E00682</x:v>
      </x:c>
      <x:c r="B686" s="27" t="str">
        <x:v>S10-READ-03</x:v>
      </x:c>
      <x:c r="C686" s="27" t="str">
        <x:v>Previous node in domain progression</x:v>
      </x:c>
      <x:c r="D686" s="27" t="str">
        <x:v>DOMAIN_SEQUENCE</x:v>
      </x:c>
      <x:c r="E686" s="27" t="str">
        <x:v>S11-READ-01</x:v>
      </x:c>
      <x:c r="F686" s="27" t="str">
        <x:v>Uppercase/lowercase letter identity</x:v>
      </x:c>
      <x:c r="G686" s="27" t="str">
        <x:v>S11</x:v>
      </x:c>
      <x:c r="H686" s="27" t="str">
        <x:v>Reading</x:v>
      </x:c>
      <x:c r="I686" s="27" t="str">
        <x:v>SRC02; SRC08; SRC10; SRC25</x:v>
      </x:c>
      <x:c r="J686" s="27" t="str">
        <x:v>Ordered spiral link; consult explicit prerequisites for logical dependency.</x:v>
      </x:c>
    </x:row>
    <x:row r="687">
      <x:c r="A687" s="27" t="str">
        <x:v>E00683</x:v>
      </x:c>
      <x:c r="B687" s="27" t="str">
        <x:v>S11-READ-01:PREREQ</x:v>
      </x:c>
      <x:c r="C687" s="27" t="str">
        <x:v>Meaningful letter recognition and visual discrimination.</x:v>
      </x:c>
      <x:c r="D687" s="27" t="str">
        <x:v>PREREQUISITE</x:v>
      </x:c>
      <x:c r="E687" s="27" t="str">
        <x:v>S11-READ-01</x:v>
      </x:c>
      <x:c r="F687" s="27" t="str">
        <x:v>Uppercase/lowercase letter identity</x:v>
      </x:c>
      <x:c r="G687" s="27" t="str">
        <x:v>S11</x:v>
      </x:c>
      <x:c r="H687" s="27" t="str">
        <x:v>Reading</x:v>
      </x:c>
      <x:c r="I687" s="27" t="str">
        <x:v>SRC02; SRC08; SRC10; SRC25</x:v>
      </x:c>
      <x:c r="J687" s="27" t="str">
        <x:v>Incoming prerequisite relationship.</x:v>
      </x:c>
    </x:row>
    <x:row r="688">
      <x:c r="A688" s="27" t="str">
        <x:v>E00684</x:v>
      </x:c>
      <x:c r="B688" s="27" t="str">
        <x:v>S11-READ-01:GROUND</x:v>
      </x:c>
      <x:c r="C688" s="27" t="str">
        <x:v>G3 — Shared reference and symbol</x:v>
      </x:c>
      <x:c r="D688" s="27" t="str">
        <x:v>GROUNDED_BY</x:v>
      </x:c>
      <x:c r="E688" s="27" t="str">
        <x:v>S11-READ-01</x:v>
      </x:c>
      <x:c r="F688" s="27" t="str">
        <x:v>Uppercase/lowercase letter identity</x:v>
      </x:c>
      <x:c r="G688" s="27" t="str">
        <x:v>S11</x:v>
      </x:c>
      <x:c r="H688" s="27" t="str">
        <x:v>Reading</x:v>
      </x:c>
      <x:c r="I688" s="27" t="str">
        <x:v>SRC02; SRC08; SRC10; SRC25</x:v>
      </x:c>
      <x:c r="J688" s="27" t="str">
        <x:v>Grounding form used to preserve meaning.</x:v>
      </x:c>
    </x:row>
    <x:row r="689">
      <x:c r="A689" s="27" t="str">
        <x:v>E00685</x:v>
      </x:c>
      <x:c r="B689" s="27" t="str">
        <x:v>S11-READ-01</x:v>
      </x:c>
      <x:c r="C689" s="27" t="str">
        <x:v>Uppercase/lowercase letter identity</x:v>
      </x:c>
      <x:c r="D689" s="27" t="str">
        <x:v>CONNECTS_TO</x:v>
      </x:c>
      <x:c r="E689" s="27" t="str">
        <x:v>S11-READ-01:CROSS</x:v>
      </x:c>
      <x:c r="F689" s="27" t="str">
        <x:v>Oral language and writing; evidence in science/social studies; mathematical and technical problem interpretation; media verification.</x:v>
      </x:c>
      <x:c r="G689" s="27" t="str">
        <x:v>S11</x:v>
      </x:c>
      <x:c r="H689" s="27" t="str">
        <x:v>Reading</x:v>
      </x:c>
      <x:c r="I689" s="27" t="str">
        <x:v>SRC02; SRC08; SRC10; SRC25</x:v>
      </x:c>
      <x:c r="J689" s="27" t="str">
        <x:v>Parallel subject and representation links.</x:v>
      </x:c>
    </x:row>
    <x:row r="690">
      <x:c r="A690" s="27" t="str">
        <x:v>E00686</x:v>
      </x:c>
      <x:c r="B690" s="27" t="str">
        <x:v>S11-READ-01</x:v>
      </x:c>
      <x:c r="C690" s="27" t="str">
        <x:v>Uppercase/lowercase letter identity</x:v>
      </x:c>
      <x:c r="D690" s="27" t="str">
        <x:v>UNLOCKS</x:v>
      </x:c>
      <x:c r="E690" s="27" t="str">
        <x:v>S11-READ-01:NEXT</x:v>
      </x:c>
      <x:c r="F690" s="27" t="str">
        <x:v>Automatic letter identity permits systematic letter-sound mapping and handwriting.</x:v>
      </x:c>
      <x:c r="G690" s="27" t="str">
        <x:v>S11</x:v>
      </x:c>
      <x:c r="H690" s="27" t="str">
        <x:v>Reading</x:v>
      </x:c>
      <x:c r="I690" s="27" t="str">
        <x:v>SRC02; SRC08; SRC10; SRC25</x:v>
      </x:c>
      <x:c r="J690" s="27" t="str">
        <x:v>Outgoing use and placement rationale.</x:v>
      </x:c>
    </x:row>
    <x:row r="691">
      <x:c r="A691" s="27" t="str">
        <x:v>E00687</x:v>
      </x:c>
      <x:c r="B691" s="27" t="str">
        <x:v>S11-READ-01</x:v>
      </x:c>
      <x:c r="C691" s="27" t="str">
        <x:v>Uppercase/lowercase letter identity</x:v>
      </x:c>
      <x:c r="D691" s="27" t="str">
        <x:v>VERIFIED_BY</x:v>
      </x:c>
      <x:c r="E691" s="27" t="str">
        <x:v>S11-READ-01:EVIDENCE</x:v>
      </x:c>
      <x:c r="F691" s="27" t="str">
        <x:v>Names or selects most taught letters in varied order and form.</x:v>
      </x:c>
      <x:c r="G691" s="27" t="str">
        <x:v>S11</x:v>
      </x:c>
      <x:c r="H691" s="27" t="str">
        <x:v>Reading</x:v>
      </x:c>
      <x:c r="I691" s="27" t="str">
        <x:v>SRC02; SRC08; SRC10; SRC25</x:v>
      </x:c>
      <x:c r="J691" s="27" t="str">
        <x:v>Observable evidence of usable learning.</x:v>
      </x:c>
    </x:row>
    <x:row r="692">
      <x:c r="A692" s="27" t="str">
        <x:v>E00688</x:v>
      </x:c>
      <x:c r="B692" s="27" t="str">
        <x:v>S11-READ-01</x:v>
      </x:c>
      <x:c r="C692" s="27" t="str">
        <x:v>Previous node in domain progression</x:v>
      </x:c>
      <x:c r="D692" s="27" t="str">
        <x:v>DOMAIN_SEQUENCE</x:v>
      </x:c>
      <x:c r="E692" s="27" t="str">
        <x:v>S11-READ-02</x:v>
      </x:c>
      <x:c r="F692" s="27" t="str">
        <x:v>Rhyme, onset, and initial sound</x:v>
      </x:c>
      <x:c r="G692" s="27" t="str">
        <x:v>S11</x:v>
      </x:c>
      <x:c r="H692" s="27" t="str">
        <x:v>Reading</x:v>
      </x:c>
      <x:c r="I692" s="27" t="str">
        <x:v>SRC02; SRC08; SRC10</x:v>
      </x:c>
      <x:c r="J692" s="27" t="str">
        <x:v>Ordered spiral link; consult explicit prerequisites for logical dependency.</x:v>
      </x:c>
    </x:row>
    <x:row r="693">
      <x:c r="A693" s="27" t="str">
        <x:v>E00689</x:v>
      </x:c>
      <x:c r="B693" s="27" t="str">
        <x:v>S11-READ-02:PREREQ</x:v>
      </x:c>
      <x:c r="C693" s="27" t="str">
        <x:v>Word/syllable awareness and vocabulary.</x:v>
      </x:c>
      <x:c r="D693" s="27" t="str">
        <x:v>PREREQUISITE</x:v>
      </x:c>
      <x:c r="E693" s="27" t="str">
        <x:v>S11-READ-02</x:v>
      </x:c>
      <x:c r="F693" s="27" t="str">
        <x:v>Rhyme, onset, and initial sound</x:v>
      </x:c>
      <x:c r="G693" s="27" t="str">
        <x:v>S11</x:v>
      </x:c>
      <x:c r="H693" s="27" t="str">
        <x:v>Reading</x:v>
      </x:c>
      <x:c r="I693" s="27" t="str">
        <x:v>SRC02; SRC08; SRC10</x:v>
      </x:c>
      <x:c r="J693" s="27" t="str">
        <x:v>Incoming prerequisite relationship.</x:v>
      </x:c>
    </x:row>
    <x:row r="694">
      <x:c r="A694" s="27" t="str">
        <x:v>E00690</x:v>
      </x:c>
      <x:c r="B694" s="27" t="str">
        <x:v>S11-READ-02:GROUND</x:v>
      </x:c>
      <x:c r="C694" s="27" t="str">
        <x:v>G3 — Shared reference and symbol</x:v>
      </x:c>
      <x:c r="D694" s="27" t="str">
        <x:v>GROUNDED_BY</x:v>
      </x:c>
      <x:c r="E694" s="27" t="str">
        <x:v>S11-READ-02</x:v>
      </x:c>
      <x:c r="F694" s="27" t="str">
        <x:v>Rhyme, onset, and initial sound</x:v>
      </x:c>
      <x:c r="G694" s="27" t="str">
        <x:v>S11</x:v>
      </x:c>
      <x:c r="H694" s="27" t="str">
        <x:v>Reading</x:v>
      </x:c>
      <x:c r="I694" s="27" t="str">
        <x:v>SRC02; SRC08; SRC10</x:v>
      </x:c>
      <x:c r="J694" s="27" t="str">
        <x:v>Grounding form used to preserve meaning.</x:v>
      </x:c>
    </x:row>
    <x:row r="695">
      <x:c r="A695" s="27" t="str">
        <x:v>E00691</x:v>
      </x:c>
      <x:c r="B695" s="27" t="str">
        <x:v>S11-READ-02</x:v>
      </x:c>
      <x:c r="C695" s="27" t="str">
        <x:v>Rhyme, onset, and initial sound</x:v>
      </x:c>
      <x:c r="D695" s="27" t="str">
        <x:v>CONNECTS_TO</x:v>
      </x:c>
      <x:c r="E695" s="27" t="str">
        <x:v>S11-READ-02:CROSS</x:v>
      </x:c>
      <x:c r="F695" s="27" t="str">
        <x:v>Oral language and writing; evidence in science/social studies; mathematical and technical problem interpretation; media verification.</x:v>
      </x:c>
      <x:c r="G695" s="27" t="str">
        <x:v>S11</x:v>
      </x:c>
      <x:c r="H695" s="27" t="str">
        <x:v>Reading</x:v>
      </x:c>
      <x:c r="I695" s="27" t="str">
        <x:v>SRC02; SRC08; SRC10</x:v>
      </x:c>
      <x:c r="J695" s="27" t="str">
        <x:v>Parallel subject and representation links.</x:v>
      </x:c>
    </x:row>
    <x:row r="696">
      <x:c r="A696" s="27" t="str">
        <x:v>E00692</x:v>
      </x:c>
      <x:c r="B696" s="27" t="str">
        <x:v>S11-READ-02</x:v>
      </x:c>
      <x:c r="C696" s="27" t="str">
        <x:v>Rhyme, onset, and initial sound</x:v>
      </x:c>
      <x:c r="D696" s="27" t="str">
        <x:v>UNLOCKS</x:v>
      </x:c>
      <x:c r="E696" s="27" t="str">
        <x:v>S11-READ-02:NEXT</x:v>
      </x:c>
      <x:c r="F696" s="27" t="str">
        <x:v>Onset and initial-sound awareness narrow attention toward individual phonemes.</x:v>
      </x:c>
      <x:c r="G696" s="27" t="str">
        <x:v>S11</x:v>
      </x:c>
      <x:c r="H696" s="27" t="str">
        <x:v>Reading</x:v>
      </x:c>
      <x:c r="I696" s="27" t="str">
        <x:v>SRC02; SRC08; SRC10</x:v>
      </x:c>
      <x:c r="J696" s="27" t="str">
        <x:v>Outgoing use and placement rationale.</x:v>
      </x:c>
    </x:row>
    <x:row r="697">
      <x:c r="A697" s="27" t="str">
        <x:v>E00693</x:v>
      </x:c>
      <x:c r="B697" s="27" t="str">
        <x:v>S11-READ-02</x:v>
      </x:c>
      <x:c r="C697" s="27" t="str">
        <x:v>Rhyme, onset, and initial sound</x:v>
      </x:c>
      <x:c r="D697" s="27" t="str">
        <x:v>VERIFIED_BY</x:v>
      </x:c>
      <x:c r="E697" s="27" t="str">
        <x:v>S11-READ-02:EVIDENCE</x:v>
      </x:c>
      <x:c r="F697" s="27" t="str">
        <x:v>Generates a rhyme in a familiar pattern or groups words by beginning sound.</x:v>
      </x:c>
      <x:c r="G697" s="27" t="str">
        <x:v>S11</x:v>
      </x:c>
      <x:c r="H697" s="27" t="str">
        <x:v>Reading</x:v>
      </x:c>
      <x:c r="I697" s="27" t="str">
        <x:v>SRC02; SRC08; SRC10</x:v>
      </x:c>
      <x:c r="J697" s="27" t="str">
        <x:v>Observable evidence of usable learning.</x:v>
      </x:c>
    </x:row>
    <x:row r="698">
      <x:c r="A698" s="27" t="str">
        <x:v>E00694</x:v>
      </x:c>
      <x:c r="B698" s="27" t="str">
        <x:v>S11-READ-02</x:v>
      </x:c>
      <x:c r="C698" s="27" t="str">
        <x:v>Previous node in domain progression</x:v>
      </x:c>
      <x:c r="D698" s="27" t="str">
        <x:v>DOMAIN_SEQUENCE</x:v>
      </x:c>
      <x:c r="E698" s="27" t="str">
        <x:v>S11-READ-03</x:v>
      </x:c>
      <x:c r="F698" s="27" t="str">
        <x:v>Oral blending and segmentation introduction</x:v>
      </x:c>
      <x:c r="G698" s="27" t="str">
        <x:v>S11</x:v>
      </x:c>
      <x:c r="H698" s="27" t="str">
        <x:v>Reading</x:v>
      </x:c>
      <x:c r="I698" s="27" t="str">
        <x:v>SRC02; SRC08; SRC10</x:v>
      </x:c>
      <x:c r="J698" s="27" t="str">
        <x:v>Ordered spiral link; consult explicit prerequisites for logical dependency.</x:v>
      </x:c>
    </x:row>
    <x:row r="699">
      <x:c r="A699" s="27" t="str">
        <x:v>E00695</x:v>
      </x:c>
      <x:c r="B699" s="27" t="str">
        <x:v>S11-READ-03:PREREQ</x:v>
      </x:c>
      <x:c r="C699" s="27" t="str">
        <x:v>Syllable/onset-rime awareness and sound attention.</x:v>
      </x:c>
      <x:c r="D699" s="27" t="str">
        <x:v>PREREQUISITE</x:v>
      </x:c>
      <x:c r="E699" s="27" t="str">
        <x:v>S11-READ-03</x:v>
      </x:c>
      <x:c r="F699" s="27" t="str">
        <x:v>Oral blending and segmentation introduction</x:v>
      </x:c>
      <x:c r="G699" s="27" t="str">
        <x:v>S11</x:v>
      </x:c>
      <x:c r="H699" s="27" t="str">
        <x:v>Reading</x:v>
      </x:c>
      <x:c r="I699" s="27" t="str">
        <x:v>SRC02; SRC08; SRC10</x:v>
      </x:c>
      <x:c r="J699" s="27" t="str">
        <x:v>Incoming prerequisite relationship.</x:v>
      </x:c>
    </x:row>
    <x:row r="700">
      <x:c r="A700" s="27" t="str">
        <x:v>E00696</x:v>
      </x:c>
      <x:c r="B700" s="27" t="str">
        <x:v>S11-READ-03:GROUND</x:v>
      </x:c>
      <x:c r="C700" s="27" t="str">
        <x:v>G3 — Shared reference and symbol</x:v>
      </x:c>
      <x:c r="D700" s="27" t="str">
        <x:v>GROUNDED_BY</x:v>
      </x:c>
      <x:c r="E700" s="27" t="str">
        <x:v>S11-READ-03</x:v>
      </x:c>
      <x:c r="F700" s="27" t="str">
        <x:v>Oral blending and segmentation introduction</x:v>
      </x:c>
      <x:c r="G700" s="27" t="str">
        <x:v>S11</x:v>
      </x:c>
      <x:c r="H700" s="27" t="str">
        <x:v>Reading</x:v>
      </x:c>
      <x:c r="I700" s="27" t="str">
        <x:v>SRC02; SRC08; SRC10</x:v>
      </x:c>
      <x:c r="J700" s="27" t="str">
        <x:v>Grounding form used to preserve meaning.</x:v>
      </x:c>
    </x:row>
    <x:row r="701">
      <x:c r="A701" s="27" t="str">
        <x:v>E00697</x:v>
      </x:c>
      <x:c r="B701" s="27" t="str">
        <x:v>S11-READ-03</x:v>
      </x:c>
      <x:c r="C701" s="27" t="str">
        <x:v>Oral blending and segmentation introduction</x:v>
      </x:c>
      <x:c r="D701" s="27" t="str">
        <x:v>CONNECTS_TO</x:v>
      </x:c>
      <x:c r="E701" s="27" t="str">
        <x:v>S11-READ-03:CROSS</x:v>
      </x:c>
      <x:c r="F701" s="27" t="str">
        <x:v>Oral language and writing; evidence in science/social studies; mathematical and technical problem interpretation; media verification.</x:v>
      </x:c>
      <x:c r="G701" s="27" t="str">
        <x:v>S11</x:v>
      </x:c>
      <x:c r="H701" s="27" t="str">
        <x:v>Reading</x:v>
      </x:c>
      <x:c r="I701" s="27" t="str">
        <x:v>SRC02; SRC08; SRC10</x:v>
      </x:c>
      <x:c r="J701" s="27" t="str">
        <x:v>Parallel subject and representation links.</x:v>
      </x:c>
    </x:row>
    <x:row r="702">
      <x:c r="A702" s="27" t="str">
        <x:v>E00698</x:v>
      </x:c>
      <x:c r="B702" s="27" t="str">
        <x:v>S11-READ-03</x:v>
      </x:c>
      <x:c r="C702" s="27" t="str">
        <x:v>Oral blending and segmentation introduction</x:v>
      </x:c>
      <x:c r="D702" s="27" t="str">
        <x:v>UNLOCKS</x:v>
      </x:c>
      <x:c r="E702" s="27" t="str">
        <x:v>S11-READ-03:NEXT</x:v>
      </x:c>
      <x:c r="F702" s="27" t="str">
        <x:v>Blending is used in decoding; segmentation is used in spelling.</x:v>
      </x:c>
      <x:c r="G702" s="27" t="str">
        <x:v>S11</x:v>
      </x:c>
      <x:c r="H702" s="27" t="str">
        <x:v>Reading</x:v>
      </x:c>
      <x:c r="I702" s="27" t="str">
        <x:v>SRC02; SRC08; SRC10</x:v>
      </x:c>
      <x:c r="J702" s="27" t="str">
        <x:v>Outgoing use and placement rationale.</x:v>
      </x:c>
    </x:row>
    <x:row r="703">
      <x:c r="A703" s="27" t="str">
        <x:v>E00699</x:v>
      </x:c>
      <x:c r="B703" s="27" t="str">
        <x:v>S11-READ-03</x:v>
      </x:c>
      <x:c r="C703" s="27" t="str">
        <x:v>Oral blending and segmentation introduction</x:v>
      </x:c>
      <x:c r="D703" s="27" t="str">
        <x:v>VERIFIED_BY</x:v>
      </x:c>
      <x:c r="E703" s="27" t="str">
        <x:v>S11-READ-03:EVIDENCE</x:v>
      </x:c>
      <x:c r="F703" s="27" t="str">
        <x:v>Blends a modeled sequence into a familiar word or maps its sounds to counters.</x:v>
      </x:c>
      <x:c r="G703" s="27" t="str">
        <x:v>S11</x:v>
      </x:c>
      <x:c r="H703" s="27" t="str">
        <x:v>Reading</x:v>
      </x:c>
      <x:c r="I703" s="27" t="str">
        <x:v>SRC02; SRC08; SRC10</x:v>
      </x:c>
      <x:c r="J703" s="27" t="str">
        <x:v>Observable evidence of usable learning.</x:v>
      </x:c>
    </x:row>
    <x:row r="704">
      <x:c r="A704" s="27" t="str">
        <x:v>E00700</x:v>
      </x:c>
      <x:c r="B704" s="27" t="str">
        <x:v>S11-READ-03</x:v>
      </x:c>
      <x:c r="C704" s="27" t="str">
        <x:v>Previous node in domain progression</x:v>
      </x:c>
      <x:c r="D704" s="27" t="str">
        <x:v>DOMAIN_SEQUENCE</x:v>
      </x:c>
      <x:c r="E704" s="27" t="str">
        <x:v>S11-READ-04</x:v>
      </x:c>
      <x:c r="F704" s="27" t="str">
        <x:v>Initial letter-sound correspondences</x:v>
      </x:c>
      <x:c r="G704" s="27" t="str">
        <x:v>S11</x:v>
      </x:c>
      <x:c r="H704" s="27" t="str">
        <x:v>Reading</x:v>
      </x:c>
      <x:c r="I704" s="27" t="str">
        <x:v>SRC02; SRC08; SRC10</x:v>
      </x:c>
      <x:c r="J704" s="27" t="str">
        <x:v>Ordered spiral link; consult explicit prerequisites for logical dependency.</x:v>
      </x:c>
    </x:row>
    <x:row r="705">
      <x:c r="A705" s="27" t="str">
        <x:v>E00701</x:v>
      </x:c>
      <x:c r="B705" s="27" t="str">
        <x:v>S11-READ-04:PREREQ</x:v>
      </x:c>
      <x:c r="C705" s="27" t="str">
        <x:v>Letter identity and phoneme attention.</x:v>
      </x:c>
      <x:c r="D705" s="27" t="str">
        <x:v>PREREQUISITE</x:v>
      </x:c>
      <x:c r="E705" s="27" t="str">
        <x:v>S11-READ-04</x:v>
      </x:c>
      <x:c r="F705" s="27" t="str">
        <x:v>Initial letter-sound correspondences</x:v>
      </x:c>
      <x:c r="G705" s="27" t="str">
        <x:v>S11</x:v>
      </x:c>
      <x:c r="H705" s="27" t="str">
        <x:v>Reading</x:v>
      </x:c>
      <x:c r="I705" s="27" t="str">
        <x:v>SRC02; SRC08; SRC10</x:v>
      </x:c>
      <x:c r="J705" s="27" t="str">
        <x:v>Incoming prerequisite relationship.</x:v>
      </x:c>
    </x:row>
    <x:row r="706">
      <x:c r="A706" s="27" t="str">
        <x:v>E00702</x:v>
      </x:c>
      <x:c r="B706" s="27" t="str">
        <x:v>S11-READ-04:GROUND</x:v>
      </x:c>
      <x:c r="C706" s="27" t="str">
        <x:v>G3 — Shared reference and symbol</x:v>
      </x:c>
      <x:c r="D706" s="27" t="str">
        <x:v>GROUNDED_BY</x:v>
      </x:c>
      <x:c r="E706" s="27" t="str">
        <x:v>S11-READ-04</x:v>
      </x:c>
      <x:c r="F706" s="27" t="str">
        <x:v>Initial letter-sound correspondences</x:v>
      </x:c>
      <x:c r="G706" s="27" t="str">
        <x:v>S11</x:v>
      </x:c>
      <x:c r="H706" s="27" t="str">
        <x:v>Reading</x:v>
      </x:c>
      <x:c r="I706" s="27" t="str">
        <x:v>SRC02; SRC08; SRC10</x:v>
      </x:c>
      <x:c r="J706" s="27" t="str">
        <x:v>Grounding form used to preserve meaning.</x:v>
      </x:c>
    </x:row>
    <x:row r="707">
      <x:c r="A707" s="27" t="str">
        <x:v>E00703</x:v>
      </x:c>
      <x:c r="B707" s="27" t="str">
        <x:v>S11-READ-04</x:v>
      </x:c>
      <x:c r="C707" s="27" t="str">
        <x:v>Initial letter-sound correspondences</x:v>
      </x:c>
      <x:c r="D707" s="27" t="str">
        <x:v>CONNECTS_TO</x:v>
      </x:c>
      <x:c r="E707" s="27" t="str">
        <x:v>S11-READ-04:CROSS</x:v>
      </x:c>
      <x:c r="F707" s="27" t="str">
        <x:v>Oral language and writing; evidence in science/social studies; mathematical and technical problem interpretation; media verification.</x:v>
      </x:c>
      <x:c r="G707" s="27" t="str">
        <x:v>S11</x:v>
      </x:c>
      <x:c r="H707" s="27" t="str">
        <x:v>Reading</x:v>
      </x:c>
      <x:c r="I707" s="27" t="str">
        <x:v>SRC02; SRC08; SRC10</x:v>
      </x:c>
      <x:c r="J707" s="27" t="str">
        <x:v>Parallel subject and representation links.</x:v>
      </x:c>
    </x:row>
    <x:row r="708">
      <x:c r="A708" s="27" t="str">
        <x:v>E00704</x:v>
      </x:c>
      <x:c r="B708" s="27" t="str">
        <x:v>S11-READ-04</x:v>
      </x:c>
      <x:c r="C708" s="27" t="str">
        <x:v>Initial letter-sound correspondences</x:v>
      </x:c>
      <x:c r="D708" s="27" t="str">
        <x:v>UNLOCKS</x:v>
      </x:c>
      <x:c r="E708" s="27" t="str">
        <x:v>S11-READ-04:NEXT</x:v>
      </x:c>
      <x:c r="F708" s="27" t="str">
        <x:v>Sound-symbol mappings are combined to decode and encode simple words.</x:v>
      </x:c>
      <x:c r="G708" s="27" t="str">
        <x:v>S11</x:v>
      </x:c>
      <x:c r="H708" s="27" t="str">
        <x:v>Reading</x:v>
      </x:c>
      <x:c r="I708" s="27" t="str">
        <x:v>SRC02; SRC08; SRC10</x:v>
      </x:c>
      <x:c r="J708" s="27" t="str">
        <x:v>Outgoing use and placement rationale.</x:v>
      </x:c>
    </x:row>
    <x:row r="709">
      <x:c r="A709" s="27" t="str">
        <x:v>E00705</x:v>
      </x:c>
      <x:c r="B709" s="27" t="str">
        <x:v>S11-READ-04</x:v>
      </x:c>
      <x:c r="C709" s="27" t="str">
        <x:v>Initial letter-sound correspondences</x:v>
      </x:c>
      <x:c r="D709" s="27" t="str">
        <x:v>VERIFIED_BY</x:v>
      </x:c>
      <x:c r="E709" s="27" t="str">
        <x:v>S11-READ-04:EVIDENCE</x:v>
      </x:c>
      <x:c r="F709" s="27" t="str">
        <x:v>Produces a common sound for taught letters and selects a letter for a heard sound.</x:v>
      </x:c>
      <x:c r="G709" s="27" t="str">
        <x:v>S11</x:v>
      </x:c>
      <x:c r="H709" s="27" t="str">
        <x:v>Reading</x:v>
      </x:c>
      <x:c r="I709" s="27" t="str">
        <x:v>SRC02; SRC08; SRC10</x:v>
      </x:c>
      <x:c r="J709" s="27" t="str">
        <x:v>Observable evidence of usable learning.</x:v>
      </x:c>
    </x:row>
    <x:row r="710">
      <x:c r="A710" s="27" t="str">
        <x:v>E00706</x:v>
      </x:c>
      <x:c r="B710" s="27" t="str">
        <x:v>S10-WRITE-01</x:v>
      </x:c>
      <x:c r="C710" s="27" t="str">
        <x:v>Previous node in domain progression</x:v>
      </x:c>
      <x:c r="D710" s="27" t="str">
        <x:v>DOMAIN_SEQUENCE</x:v>
      </x:c>
      <x:c r="E710" s="27" t="str">
        <x:v>S11-WRITE-01</x:v>
      </x:c>
      <x:c r="F710" s="27" t="str">
        <x:v>Name and basic letter formation</x:v>
      </x:c>
      <x:c r="G710" s="27" t="str">
        <x:v>S11</x:v>
      </x:c>
      <x:c r="H710" s="27" t="str">
        <x:v>Writing &amp; Language</x:v>
      </x:c>
      <x:c r="I710" s="27" t="str">
        <x:v>SRC02; SRC10; SRC21</x:v>
      </x:c>
      <x:c r="J710" s="27" t="str">
        <x:v>Ordered spiral link; consult explicit prerequisites for logical dependency.</x:v>
      </x:c>
    </x:row>
    <x:row r="711">
      <x:c r="A711" s="27" t="str">
        <x:v>E00707</x:v>
      </x:c>
      <x:c r="B711" s="27" t="str">
        <x:v>S11-WRITE-01:PREREQ</x:v>
      </x:c>
      <x:c r="C711" s="27" t="str">
        <x:v>Controlled marks, letter identity, and fine-motor/tool access.</x:v>
      </x:c>
      <x:c r="D711" s="27" t="str">
        <x:v>PREREQUISITE</x:v>
      </x:c>
      <x:c r="E711" s="27" t="str">
        <x:v>S11-WRITE-01</x:v>
      </x:c>
      <x:c r="F711" s="27" t="str">
        <x:v>Name and basic letter formation</x:v>
      </x:c>
      <x:c r="G711" s="27" t="str">
        <x:v>S11</x:v>
      </x:c>
      <x:c r="H711" s="27" t="str">
        <x:v>Writing &amp; Language</x:v>
      </x:c>
      <x:c r="I711" s="27" t="str">
        <x:v>SRC02; SRC10; SRC21</x:v>
      </x:c>
      <x:c r="J711" s="27" t="str">
        <x:v>Incoming prerequisite relationship.</x:v>
      </x:c>
    </x:row>
    <x:row r="712">
      <x:c r="A712" s="27" t="str">
        <x:v>E00708</x:v>
      </x:c>
      <x:c r="B712" s="27" t="str">
        <x:v>S11-WRITE-01:GROUND</x:v>
      </x:c>
      <x:c r="C712" s="27" t="str">
        <x:v>G3 — Shared reference and symbol</x:v>
      </x:c>
      <x:c r="D712" s="27" t="str">
        <x:v>GROUNDED_BY</x:v>
      </x:c>
      <x:c r="E712" s="27" t="str">
        <x:v>S11-WRITE-01</x:v>
      </x:c>
      <x:c r="F712" s="27" t="str">
        <x:v>Name and basic letter formation</x:v>
      </x:c>
      <x:c r="G712" s="27" t="str">
        <x:v>S11</x:v>
      </x:c>
      <x:c r="H712" s="27" t="str">
        <x:v>Writing &amp; Language</x:v>
      </x:c>
      <x:c r="I712" s="27" t="str">
        <x:v>SRC02; SRC10; SRC21</x:v>
      </x:c>
      <x:c r="J712" s="27" t="str">
        <x:v>Grounding form used to preserve meaning.</x:v>
      </x:c>
    </x:row>
    <x:row r="713">
      <x:c r="A713" s="27" t="str">
        <x:v>E00709</x:v>
      </x:c>
      <x:c r="B713" s="27" t="str">
        <x:v>S11-WRITE-01</x:v>
      </x:c>
      <x:c r="C713" s="27" t="str">
        <x:v>Name and basic letter formation</x:v>
      </x:c>
      <x:c r="D713" s="27" t="str">
        <x:v>CONNECTS_TO</x:v>
      </x:c>
      <x:c r="E713" s="27" t="str">
        <x:v>S11-WRITE-01:CROSS</x:v>
      </x:c>
      <x:c r="F713" s="27" t="str">
        <x:v>Reading models; evidence from science/social studies; mathematical explanation; research, media, and presentation.</x:v>
      </x:c>
      <x:c r="G713" s="27" t="str">
        <x:v>S11</x:v>
      </x:c>
      <x:c r="H713" s="27" t="str">
        <x:v>Writing &amp; Language</x:v>
      </x:c>
      <x:c r="I713" s="27" t="str">
        <x:v>SRC02; SRC10; SRC21</x:v>
      </x:c>
      <x:c r="J713" s="27" t="str">
        <x:v>Parallel subject and representation links.</x:v>
      </x:c>
    </x:row>
    <x:row r="714">
      <x:c r="A714" s="27" t="str">
        <x:v>E00710</x:v>
      </x:c>
      <x:c r="B714" s="27" t="str">
        <x:v>S11-WRITE-01</x:v>
      </x:c>
      <x:c r="C714" s="27" t="str">
        <x:v>Name and basic letter formation</x:v>
      </x:c>
      <x:c r="D714" s="27" t="str">
        <x:v>UNLOCKS</x:v>
      </x:c>
      <x:c r="E714" s="27" t="str">
        <x:v>S11-WRITE-01:NEXT</x:v>
      </x:c>
      <x:c r="F714" s="27" t="str">
        <x:v>Automatic transcription reduces cognitive load during composition.</x:v>
      </x:c>
      <x:c r="G714" s="27" t="str">
        <x:v>S11</x:v>
      </x:c>
      <x:c r="H714" s="27" t="str">
        <x:v>Writing &amp; Language</x:v>
      </x:c>
      <x:c r="I714" s="27" t="str">
        <x:v>SRC02; SRC10; SRC21</x:v>
      </x:c>
      <x:c r="J714" s="27" t="str">
        <x:v>Outgoing use and placement rationale.</x:v>
      </x:c>
    </x:row>
    <x:row r="715">
      <x:c r="A715" s="27" t="str">
        <x:v>E00711</x:v>
      </x:c>
      <x:c r="B715" s="27" t="str">
        <x:v>S11-WRITE-01</x:v>
      </x:c>
      <x:c r="C715" s="27" t="str">
        <x:v>Name and basic letter formation</x:v>
      </x:c>
      <x:c r="D715" s="27" t="str">
        <x:v>VERIFIED_BY</x:v>
      </x:c>
      <x:c r="E715" s="27" t="str">
        <x:v>S11-WRITE-01:EVIDENCE</x:v>
      </x:c>
      <x:c r="F715" s="27" t="str">
        <x:v>Produces recognizable name/letters while maintaining intended direction and order.</x:v>
      </x:c>
      <x:c r="G715" s="27" t="str">
        <x:v>S11</x:v>
      </x:c>
      <x:c r="H715" s="27" t="str">
        <x:v>Writing &amp; Language</x:v>
      </x:c>
      <x:c r="I715" s="27" t="str">
        <x:v>SRC02; SRC10; SRC21</x:v>
      </x:c>
      <x:c r="J715" s="27" t="str">
        <x:v>Observable evidence of usable learning.</x:v>
      </x:c>
    </x:row>
    <x:row r="716">
      <x:c r="A716" s="27" t="str">
        <x:v>E00712</x:v>
      </x:c>
      <x:c r="B716" s="27" t="str">
        <x:v>S11-WRITE-01</x:v>
      </x:c>
      <x:c r="C716" s="27" t="str">
        <x:v>Previous node in domain progression</x:v>
      </x:c>
      <x:c r="D716" s="27" t="str">
        <x:v>DOMAIN_SEQUENCE</x:v>
      </x:c>
      <x:c r="E716" s="27" t="str">
        <x:v>S11-WRITE-02</x:v>
      </x:c>
      <x:c r="F716" s="27" t="str">
        <x:v>Sound-based invented spelling</x:v>
      </x:c>
      <x:c r="G716" s="27" t="str">
        <x:v>S11</x:v>
      </x:c>
      <x:c r="H716" s="27" t="str">
        <x:v>Writing &amp; Language</x:v>
      </x:c>
      <x:c r="I716" s="27" t="str">
        <x:v>SRC02; SRC08; SRC10</x:v>
      </x:c>
      <x:c r="J716" s="27" t="str">
        <x:v>Ordered spiral link; consult explicit prerequisites for logical dependency.</x:v>
      </x:c>
    </x:row>
    <x:row r="717">
      <x:c r="A717" s="27" t="str">
        <x:v>E00713</x:v>
      </x:c>
      <x:c r="B717" s="27" t="str">
        <x:v>S11-WRITE-02:PREREQ</x:v>
      </x:c>
      <x:c r="C717" s="27" t="str">
        <x:v>Phoneme segmentation and letter-sound knowledge.</x:v>
      </x:c>
      <x:c r="D717" s="27" t="str">
        <x:v>PREREQUISITE</x:v>
      </x:c>
      <x:c r="E717" s="27" t="str">
        <x:v>S11-WRITE-02</x:v>
      </x:c>
      <x:c r="F717" s="27" t="str">
        <x:v>Sound-based invented spelling</x:v>
      </x:c>
      <x:c r="G717" s="27" t="str">
        <x:v>S11</x:v>
      </x:c>
      <x:c r="H717" s="27" t="str">
        <x:v>Writing &amp; Language</x:v>
      </x:c>
      <x:c r="I717" s="27" t="str">
        <x:v>SRC02; SRC08; SRC10</x:v>
      </x:c>
      <x:c r="J717" s="27" t="str">
        <x:v>Incoming prerequisite relationship.</x:v>
      </x:c>
    </x:row>
    <x:row r="718">
      <x:c r="A718" s="27" t="str">
        <x:v>E00714</x:v>
      </x:c>
      <x:c r="B718" s="27" t="str">
        <x:v>S11-WRITE-02:GROUND</x:v>
      </x:c>
      <x:c r="C718" s="27" t="str">
        <x:v>G3 — Shared reference and symbol</x:v>
      </x:c>
      <x:c r="D718" s="27" t="str">
        <x:v>GROUNDED_BY</x:v>
      </x:c>
      <x:c r="E718" s="27" t="str">
        <x:v>S11-WRITE-02</x:v>
      </x:c>
      <x:c r="F718" s="27" t="str">
        <x:v>Sound-based invented spelling</x:v>
      </x:c>
      <x:c r="G718" s="27" t="str">
        <x:v>S11</x:v>
      </x:c>
      <x:c r="H718" s="27" t="str">
        <x:v>Writing &amp; Language</x:v>
      </x:c>
      <x:c r="I718" s="27" t="str">
        <x:v>SRC02; SRC08; SRC10</x:v>
      </x:c>
      <x:c r="J718" s="27" t="str">
        <x:v>Grounding form used to preserve meaning.</x:v>
      </x:c>
    </x:row>
    <x:row r="719">
      <x:c r="A719" s="27" t="str">
        <x:v>E00715</x:v>
      </x:c>
      <x:c r="B719" s="27" t="str">
        <x:v>S11-WRITE-02</x:v>
      </x:c>
      <x:c r="C719" s="27" t="str">
        <x:v>Sound-based invented spelling</x:v>
      </x:c>
      <x:c r="D719" s="27" t="str">
        <x:v>CONNECTS_TO</x:v>
      </x:c>
      <x:c r="E719" s="27" t="str">
        <x:v>S11-WRITE-02:CROSS</x:v>
      </x:c>
      <x:c r="F719" s="27" t="str">
        <x:v>Reading models; evidence from science/social studies; mathematical explanation; research, media, and presentation.</x:v>
      </x:c>
      <x:c r="G719" s="27" t="str">
        <x:v>S11</x:v>
      </x:c>
      <x:c r="H719" s="27" t="str">
        <x:v>Writing &amp; Language</x:v>
      </x:c>
      <x:c r="I719" s="27" t="str">
        <x:v>SRC02; SRC08; SRC10</x:v>
      </x:c>
      <x:c r="J719" s="27" t="str">
        <x:v>Parallel subject and representation links.</x:v>
      </x:c>
    </x:row>
    <x:row r="720">
      <x:c r="A720" s="27" t="str">
        <x:v>E00716</x:v>
      </x:c>
      <x:c r="B720" s="27" t="str">
        <x:v>S11-WRITE-02</x:v>
      </x:c>
      <x:c r="C720" s="27" t="str">
        <x:v>Sound-based invented spelling</x:v>
      </x:c>
      <x:c r="D720" s="27" t="str">
        <x:v>UNLOCKS</x:v>
      </x:c>
      <x:c r="E720" s="27" t="str">
        <x:v>S11-WRITE-02:NEXT</x:v>
      </x:c>
      <x:c r="F720" s="27" t="str">
        <x:v>Invented spelling exposes encoding knowledge and prepares systematic spelling patterns.</x:v>
      </x:c>
      <x:c r="G720" s="27" t="str">
        <x:v>S11</x:v>
      </x:c>
      <x:c r="H720" s="27" t="str">
        <x:v>Writing &amp; Language</x:v>
      </x:c>
      <x:c r="I720" s="27" t="str">
        <x:v>SRC02; SRC08; SRC10</x:v>
      </x:c>
      <x:c r="J720" s="27" t="str">
        <x:v>Outgoing use and placement rationale.</x:v>
      </x:c>
    </x:row>
    <x:row r="721">
      <x:c r="A721" s="27" t="str">
        <x:v>E00717</x:v>
      </x:c>
      <x:c r="B721" s="27" t="str">
        <x:v>S11-WRITE-02</x:v>
      </x:c>
      <x:c r="C721" s="27" t="str">
        <x:v>Sound-based invented spelling</x:v>
      </x:c>
      <x:c r="D721" s="27" t="str">
        <x:v>VERIFIED_BY</x:v>
      </x:c>
      <x:c r="E721" s="27" t="str">
        <x:v>S11-WRITE-02:EVIDENCE</x:v>
      </x:c>
      <x:c r="F721" s="27" t="str">
        <x:v>Writes at least initial and final sounds in familiar simple words using plausible letters.</x:v>
      </x:c>
      <x:c r="G721" s="27" t="str">
        <x:v>S11</x:v>
      </x:c>
      <x:c r="H721" s="27" t="str">
        <x:v>Writing &amp; Language</x:v>
      </x:c>
      <x:c r="I721" s="27" t="str">
        <x:v>SRC02; SRC08; SRC10</x:v>
      </x:c>
      <x:c r="J721" s="27" t="str">
        <x:v>Observable evidence of usable learning.</x:v>
      </x:c>
    </x:row>
    <x:row r="722">
      <x:c r="A722" s="27" t="str">
        <x:v>E00718</x:v>
      </x:c>
      <x:c r="B722" s="27" t="str">
        <x:v>S10-MATH-03</x:v>
      </x:c>
      <x:c r="C722" s="27" t="str">
        <x:v>Previous node in domain progression</x:v>
      </x:c>
      <x:c r="D722" s="27" t="str">
        <x:v>DOMAIN_SEQUENCE</x:v>
      </x:c>
      <x:c r="E722" s="27" t="str">
        <x:v>S11-MATH-01</x:v>
      </x:c>
      <x:c r="F722" s="27" t="str">
        <x:v>Count, compare, and represent to about 10–20</x:v>
      </x:c>
      <x:c r="G722" s="27" t="str">
        <x:v>S11</x:v>
      </x:c>
      <x:c r="H722" s="27" t="str">
        <x:v>Mathematics</x:v>
      </x:c>
      <x:c r="I722" s="27" t="str">
        <x:v>SRC02; SRC07; SRC09; SRC25</x:v>
      </x:c>
      <x:c r="J722" s="27" t="str">
        <x:v>Ordered spiral link; consult explicit prerequisites for logical dependency.</x:v>
      </x:c>
    </x:row>
    <x:row r="723">
      <x:c r="A723" s="27" t="str">
        <x:v>E00719</x:v>
      </x:c>
      <x:c r="B723" s="27" t="str">
        <x:v>S11-MATH-01:PREREQ</x:v>
      </x:c>
      <x:c r="C723" s="27" t="str">
        <x:v>Reliable small-set cardinality and numeral recognition.</x:v>
      </x:c>
      <x:c r="D723" s="27" t="str">
        <x:v>PREREQUISITE</x:v>
      </x:c>
      <x:c r="E723" s="27" t="str">
        <x:v>S11-MATH-01</x:v>
      </x:c>
      <x:c r="F723" s="27" t="str">
        <x:v>Count, compare, and represent to about 10–20</x:v>
      </x:c>
      <x:c r="G723" s="27" t="str">
        <x:v>S11</x:v>
      </x:c>
      <x:c r="H723" s="27" t="str">
        <x:v>Mathematics</x:v>
      </x:c>
      <x:c r="I723" s="27" t="str">
        <x:v>SRC02; SRC07; SRC09; SRC25</x:v>
      </x:c>
      <x:c r="J723" s="27" t="str">
        <x:v>Incoming prerequisite relationship.</x:v>
      </x:c>
    </x:row>
    <x:row r="724">
      <x:c r="A724" s="27" t="str">
        <x:v>E00720</x:v>
      </x:c>
      <x:c r="B724" s="27" t="str">
        <x:v>S11-MATH-01:GROUND</x:v>
      </x:c>
      <x:c r="C724" s="27" t="str">
        <x:v>G3 — Shared reference and symbol</x:v>
      </x:c>
      <x:c r="D724" s="27" t="str">
        <x:v>GROUNDED_BY</x:v>
      </x:c>
      <x:c r="E724" s="27" t="str">
        <x:v>S11-MATH-01</x:v>
      </x:c>
      <x:c r="F724" s="27" t="str">
        <x:v>Count, compare, and represent to about 10–20</x:v>
      </x:c>
      <x:c r="G724" s="27" t="str">
        <x:v>S11</x:v>
      </x:c>
      <x:c r="H724" s="27" t="str">
        <x:v>Mathematics</x:v>
      </x:c>
      <x:c r="I724" s="27" t="str">
        <x:v>SRC02; SRC07; SRC09; SRC25</x:v>
      </x:c>
      <x:c r="J724" s="27" t="str">
        <x:v>Grounding form used to preserve meaning.</x:v>
      </x:c>
    </x:row>
    <x:row r="725">
      <x:c r="A725" s="27" t="str">
        <x:v>E00721</x:v>
      </x:c>
      <x:c r="B725" s="27" t="str">
        <x:v>S11-MATH-01</x:v>
      </x:c>
      <x:c r="C725" s="27" t="str">
        <x:v>Count, compare, and represent to about 10–20</x:v>
      </x:c>
      <x:c r="D725" s="27" t="str">
        <x:v>CONNECTS_TO</x:v>
      </x:c>
      <x:c r="E725" s="27" t="str">
        <x:v>S11-MATH-01:CROSS</x:v>
      </x:c>
      <x:c r="F725" s="27" t="str">
        <x:v>Physical quantity and spatial action; science measurement/models; computing/algorithms; finance; music rhythm/pattern; geographic data.</x:v>
      </x:c>
      <x:c r="G725" s="27" t="str">
        <x:v>S11</x:v>
      </x:c>
      <x:c r="H725" s="27" t="str">
        <x:v>Mathematics</x:v>
      </x:c>
      <x:c r="I725" s="27" t="str">
        <x:v>SRC02; SRC07; SRC09; SRC25</x:v>
      </x:c>
      <x:c r="J725" s="27" t="str">
        <x:v>Parallel subject and representation links.</x:v>
      </x:c>
    </x:row>
    <x:row r="726">
      <x:c r="A726" s="27" t="str">
        <x:v>E00722</x:v>
      </x:c>
      <x:c r="B726" s="27" t="str">
        <x:v>S11-MATH-01</x:v>
      </x:c>
      <x:c r="C726" s="27" t="str">
        <x:v>Count, compare, and represent to about 10–20</x:v>
      </x:c>
      <x:c r="D726" s="27" t="str">
        <x:v>UNLOCKS</x:v>
      </x:c>
      <x:c r="E726" s="27" t="str">
        <x:v>S11-MATH-01:NEXT</x:v>
      </x:c>
      <x:c r="F726" s="27" t="str">
        <x:v>Quantity–numeral mapping supports formal kindergarten operations and place-value preparation.</x:v>
      </x:c>
      <x:c r="G726" s="27" t="str">
        <x:v>S11</x:v>
      </x:c>
      <x:c r="H726" s="27" t="str">
        <x:v>Mathematics</x:v>
      </x:c>
      <x:c r="I726" s="27" t="str">
        <x:v>SRC02; SRC07; SRC09; SRC25</x:v>
      </x:c>
      <x:c r="J726" s="27" t="str">
        <x:v>Outgoing use and placement rationale.</x:v>
      </x:c>
    </x:row>
    <x:row r="727">
      <x:c r="A727" s="27" t="str">
        <x:v>E00723</x:v>
      </x:c>
      <x:c r="B727" s="27" t="str">
        <x:v>S11-MATH-01</x:v>
      </x:c>
      <x:c r="C727" s="27" t="str">
        <x:v>Count, compare, and represent to about 10–20</x:v>
      </x:c>
      <x:c r="D727" s="27" t="str">
        <x:v>VERIFIED_BY</x:v>
      </x:c>
      <x:c r="E727" s="27" t="str">
        <x:v>S11-MATH-01:EVIDENCE</x:v>
      </x:c>
      <x:c r="F727" s="27" t="str">
        <x:v>Counts a set, selects/writes its numeral, and identifies which of two small sets has more.</x:v>
      </x:c>
      <x:c r="G727" s="27" t="str">
        <x:v>S11</x:v>
      </x:c>
      <x:c r="H727" s="27" t="str">
        <x:v>Mathematics</x:v>
      </x:c>
      <x:c r="I727" s="27" t="str">
        <x:v>SRC02; SRC07; SRC09; SRC25</x:v>
      </x:c>
      <x:c r="J727" s="27" t="str">
        <x:v>Observable evidence of usable learning.</x:v>
      </x:c>
    </x:row>
    <x:row r="728">
      <x:c r="A728" s="27" t="str">
        <x:v>E00724</x:v>
      </x:c>
      <x:c r="B728" s="27" t="str">
        <x:v>S11-MATH-01</x:v>
      </x:c>
      <x:c r="C728" s="27" t="str">
        <x:v>Previous node in domain progression</x:v>
      </x:c>
      <x:c r="D728" s="27" t="str">
        <x:v>DOMAIN_SEQUENCE</x:v>
      </x:c>
      <x:c r="E728" s="27" t="str">
        <x:v>S11-MATH-02</x:v>
      </x:c>
      <x:c r="F728" s="27" t="str">
        <x:v>Compose and decompose small quantities</x:v>
      </x:c>
      <x:c r="G728" s="27" t="str">
        <x:v>S11</x:v>
      </x:c>
      <x:c r="H728" s="27" t="str">
        <x:v>Mathematics</x:v>
      </x:c>
      <x:c r="I728" s="27" t="str">
        <x:v>SRC02; SRC07; SRC09</x:v>
      </x:c>
      <x:c r="J728" s="27" t="str">
        <x:v>Ordered spiral link; consult explicit prerequisites for logical dependency.</x:v>
      </x:c>
    </x:row>
    <x:row r="729">
      <x:c r="A729" s="27" t="str">
        <x:v>E00725</x:v>
      </x:c>
      <x:c r="B729" s="27" t="str">
        <x:v>S11-MATH-02:PREREQ</x:v>
      </x:c>
      <x:c r="C729" s="27" t="str">
        <x:v>Cardinality, comparison, and one-to-one tracking.</x:v>
      </x:c>
      <x:c r="D729" s="27" t="str">
        <x:v>PREREQUISITE</x:v>
      </x:c>
      <x:c r="E729" s="27" t="str">
        <x:v>S11-MATH-02</x:v>
      </x:c>
      <x:c r="F729" s="27" t="str">
        <x:v>Compose and decompose small quantities</x:v>
      </x:c>
      <x:c r="G729" s="27" t="str">
        <x:v>S11</x:v>
      </x:c>
      <x:c r="H729" s="27" t="str">
        <x:v>Mathematics</x:v>
      </x:c>
      <x:c r="I729" s="27" t="str">
        <x:v>SRC02; SRC07; SRC09</x:v>
      </x:c>
      <x:c r="J729" s="27" t="str">
        <x:v>Incoming prerequisite relationship.</x:v>
      </x:c>
    </x:row>
    <x:row r="730">
      <x:c r="A730" s="27" t="str">
        <x:v>E00726</x:v>
      </x:c>
      <x:c r="B730" s="27" t="str">
        <x:v>S11-MATH-02:GROUND</x:v>
      </x:c>
      <x:c r="C730" s="27" t="str">
        <x:v>G3 — Shared reference and symbol</x:v>
      </x:c>
      <x:c r="D730" s="27" t="str">
        <x:v>GROUNDED_BY</x:v>
      </x:c>
      <x:c r="E730" s="27" t="str">
        <x:v>S11-MATH-02</x:v>
      </x:c>
      <x:c r="F730" s="27" t="str">
        <x:v>Compose and decompose small quantities</x:v>
      </x:c>
      <x:c r="G730" s="27" t="str">
        <x:v>S11</x:v>
      </x:c>
      <x:c r="H730" s="27" t="str">
        <x:v>Mathematics</x:v>
      </x:c>
      <x:c r="I730" s="27" t="str">
        <x:v>SRC02; SRC07; SRC09</x:v>
      </x:c>
      <x:c r="J730" s="27" t="str">
        <x:v>Grounding form used to preserve meaning.</x:v>
      </x:c>
    </x:row>
    <x:row r="731">
      <x:c r="A731" s="27" t="str">
        <x:v>E00727</x:v>
      </x:c>
      <x:c r="B731" s="27" t="str">
        <x:v>S11-MATH-02</x:v>
      </x:c>
      <x:c r="C731" s="27" t="str">
        <x:v>Compose and decompose small quantities</x:v>
      </x:c>
      <x:c r="D731" s="27" t="str">
        <x:v>CONNECTS_TO</x:v>
      </x:c>
      <x:c r="E731" s="27" t="str">
        <x:v>S11-MATH-02:CROSS</x:v>
      </x:c>
      <x:c r="F731" s="27" t="str">
        <x:v>Physical quantity and spatial action; science measurement/models; computing/algorithms; finance; music rhythm/pattern; geographic data.</x:v>
      </x:c>
      <x:c r="G731" s="27" t="str">
        <x:v>S11</x:v>
      </x:c>
      <x:c r="H731" s="27" t="str">
        <x:v>Mathematics</x:v>
      </x:c>
      <x:c r="I731" s="27" t="str">
        <x:v>SRC02; SRC07; SRC09</x:v>
      </x:c>
      <x:c r="J731" s="27" t="str">
        <x:v>Parallel subject and representation links.</x:v>
      </x:c>
    </x:row>
    <x:row r="732">
      <x:c r="A732" s="27" t="str">
        <x:v>E00728</x:v>
      </x:c>
      <x:c r="B732" s="27" t="str">
        <x:v>S11-MATH-02</x:v>
      </x:c>
      <x:c r="C732" s="27" t="str">
        <x:v>Compose and decompose small quantities</x:v>
      </x:c>
      <x:c r="D732" s="27" t="str">
        <x:v>UNLOCKS</x:v>
      </x:c>
      <x:c r="E732" s="27" t="str">
        <x:v>S11-MATH-02:NEXT</x:v>
      </x:c>
      <x:c r="F732" s="27" t="str">
        <x:v>Part–whole structure is the conceptual foundation of addition, subtraction, fact families, and fractions.</x:v>
      </x:c>
      <x:c r="G732" s="27" t="str">
        <x:v>S11</x:v>
      </x:c>
      <x:c r="H732" s="27" t="str">
        <x:v>Mathematics</x:v>
      </x:c>
      <x:c r="I732" s="27" t="str">
        <x:v>SRC02; SRC07; SRC09</x:v>
      </x:c>
      <x:c r="J732" s="27" t="str">
        <x:v>Outgoing use and placement rationale.</x:v>
      </x:c>
    </x:row>
    <x:row r="733">
      <x:c r="A733" s="27" t="str">
        <x:v>E00729</x:v>
      </x:c>
      <x:c r="B733" s="27" t="str">
        <x:v>S11-MATH-02</x:v>
      </x:c>
      <x:c r="C733" s="27" t="str">
        <x:v>Compose and decompose small quantities</x:v>
      </x:c>
      <x:c r="D733" s="27" t="str">
        <x:v>VERIFIED_BY</x:v>
      </x:c>
      <x:c r="E733" s="27" t="str">
        <x:v>S11-MATH-02:EVIDENCE</x:v>
      </x:c>
      <x:c r="F733" s="27" t="str">
        <x:v>Shows more than one way to make a small target quantity and explains the two parts.</x:v>
      </x:c>
      <x:c r="G733" s="27" t="str">
        <x:v>S11</x:v>
      </x:c>
      <x:c r="H733" s="27" t="str">
        <x:v>Mathematics</x:v>
      </x:c>
      <x:c r="I733" s="27" t="str">
        <x:v>SRC02; SRC07; SRC09</x:v>
      </x:c>
      <x:c r="J733" s="27" t="str">
        <x:v>Observable evidence of usable learning.</x:v>
      </x:c>
    </x:row>
    <x:row r="734">
      <x:c r="A734" s="27" t="str">
        <x:v>E00730</x:v>
      </x:c>
      <x:c r="B734" s="27" t="str">
        <x:v>S11-MATH-02</x:v>
      </x:c>
      <x:c r="C734" s="27" t="str">
        <x:v>Previous node in domain progression</x:v>
      </x:c>
      <x:c r="D734" s="27" t="str">
        <x:v>DOMAIN_SEQUENCE</x:v>
      </x:c>
      <x:c r="E734" s="27" t="str">
        <x:v>S11-MATH-03</x:v>
      </x:c>
      <x:c r="F734" s="27" t="str">
        <x:v>Create and explain repeating patterns</x:v>
      </x:c>
      <x:c r="G734" s="27" t="str">
        <x:v>S11</x:v>
      </x:c>
      <x:c r="H734" s="27" t="str">
        <x:v>Mathematics</x:v>
      </x:c>
      <x:c r="I734" s="27" t="str">
        <x:v>SRC02; SRC07; SRC09</x:v>
      </x:c>
      <x:c r="J734" s="27" t="str">
        <x:v>Ordered spiral link; consult explicit prerequisites for logical dependency.</x:v>
      </x:c>
    </x:row>
    <x:row r="735">
      <x:c r="A735" s="27" t="str">
        <x:v>E00731</x:v>
      </x:c>
      <x:c r="B735" s="27" t="str">
        <x:v>S11-MATH-03:PREREQ</x:v>
      </x:c>
      <x:c r="C735" s="27" t="str">
        <x:v>Copying AB patterns, sorting, and sequence language.</x:v>
      </x:c>
      <x:c r="D735" s="27" t="str">
        <x:v>PREREQUISITE</x:v>
      </x:c>
      <x:c r="E735" s="27" t="str">
        <x:v>S11-MATH-03</x:v>
      </x:c>
      <x:c r="F735" s="27" t="str">
        <x:v>Create and explain repeating patterns</x:v>
      </x:c>
      <x:c r="G735" s="27" t="str">
        <x:v>S11</x:v>
      </x:c>
      <x:c r="H735" s="27" t="str">
        <x:v>Mathematics</x:v>
      </x:c>
      <x:c r="I735" s="27" t="str">
        <x:v>SRC02; SRC07; SRC09</x:v>
      </x:c>
      <x:c r="J735" s="27" t="str">
        <x:v>Incoming prerequisite relationship.</x:v>
      </x:c>
    </x:row>
    <x:row r="736">
      <x:c r="A736" s="27" t="str">
        <x:v>E00732</x:v>
      </x:c>
      <x:c r="B736" s="27" t="str">
        <x:v>S11-MATH-03:GROUND</x:v>
      </x:c>
      <x:c r="C736" s="27" t="str">
        <x:v>G3 — Shared reference and symbol</x:v>
      </x:c>
      <x:c r="D736" s="27" t="str">
        <x:v>GROUNDED_BY</x:v>
      </x:c>
      <x:c r="E736" s="27" t="str">
        <x:v>S11-MATH-03</x:v>
      </x:c>
      <x:c r="F736" s="27" t="str">
        <x:v>Create and explain repeating patterns</x:v>
      </x:c>
      <x:c r="G736" s="27" t="str">
        <x:v>S11</x:v>
      </x:c>
      <x:c r="H736" s="27" t="str">
        <x:v>Mathematics</x:v>
      </x:c>
      <x:c r="I736" s="27" t="str">
        <x:v>SRC02; SRC07; SRC09</x:v>
      </x:c>
      <x:c r="J736" s="27" t="str">
        <x:v>Grounding form used to preserve meaning.</x:v>
      </x:c>
    </x:row>
    <x:row r="737">
      <x:c r="A737" s="27" t="str">
        <x:v>E00733</x:v>
      </x:c>
      <x:c r="B737" s="27" t="str">
        <x:v>S11-MATH-03</x:v>
      </x:c>
      <x:c r="C737" s="27" t="str">
        <x:v>Create and explain repeating patterns</x:v>
      </x:c>
      <x:c r="D737" s="27" t="str">
        <x:v>CONNECTS_TO</x:v>
      </x:c>
      <x:c r="E737" s="27" t="str">
        <x:v>S11-MATH-03:CROSS</x:v>
      </x:c>
      <x:c r="F737" s="27" t="str">
        <x:v>Physical quantity and spatial action; science measurement/models; computing/algorithms; finance; music rhythm/pattern; geographic data.</x:v>
      </x:c>
      <x:c r="G737" s="27" t="str">
        <x:v>S11</x:v>
      </x:c>
      <x:c r="H737" s="27" t="str">
        <x:v>Mathematics</x:v>
      </x:c>
      <x:c r="I737" s="27" t="str">
        <x:v>SRC02; SRC07; SRC09</x:v>
      </x:c>
      <x:c r="J737" s="27" t="str">
        <x:v>Parallel subject and representation links.</x:v>
      </x:c>
    </x:row>
    <x:row r="738">
      <x:c r="A738" s="27" t="str">
        <x:v>E00734</x:v>
      </x:c>
      <x:c r="B738" s="27" t="str">
        <x:v>S11-MATH-03</x:v>
      </x:c>
      <x:c r="C738" s="27" t="str">
        <x:v>Create and explain repeating patterns</x:v>
      </x:c>
      <x:c r="D738" s="27" t="str">
        <x:v>UNLOCKS</x:v>
      </x:c>
      <x:c r="E738" s="27" t="str">
        <x:v>S11-MATH-03:NEXT</x:v>
      </x:c>
      <x:c r="F738" s="27" t="str">
        <x:v>Naming the unit shifts pattern work from imitation to generalization.</x:v>
      </x:c>
      <x:c r="G738" s="27" t="str">
        <x:v>S11</x:v>
      </x:c>
      <x:c r="H738" s="27" t="str">
        <x:v>Mathematics</x:v>
      </x:c>
      <x:c r="I738" s="27" t="str">
        <x:v>SRC02; SRC07; SRC09</x:v>
      </x:c>
      <x:c r="J738" s="27" t="str">
        <x:v>Outgoing use and placement rationale.</x:v>
      </x:c>
    </x:row>
    <x:row r="739">
      <x:c r="A739" s="27" t="str">
        <x:v>E00735</x:v>
      </x:c>
      <x:c r="B739" s="27" t="str">
        <x:v>S11-MATH-03</x:v>
      </x:c>
      <x:c r="C739" s="27" t="str">
        <x:v>Create and explain repeating patterns</x:v>
      </x:c>
      <x:c r="D739" s="27" t="str">
        <x:v>VERIFIED_BY</x:v>
      </x:c>
      <x:c r="E739" s="27" t="str">
        <x:v>S11-MATH-03:EVIDENCE</x:v>
      </x:c>
      <x:c r="F739" s="27" t="str">
        <x:v>Creates a repeating pattern and identifies the smallest part that repeats.</x:v>
      </x:c>
      <x:c r="G739" s="27" t="str">
        <x:v>S11</x:v>
      </x:c>
      <x:c r="H739" s="27" t="str">
        <x:v>Mathematics</x:v>
      </x:c>
      <x:c r="I739" s="27" t="str">
        <x:v>SRC02; SRC07; SRC09</x:v>
      </x:c>
      <x:c r="J739" s="27" t="str">
        <x:v>Observable evidence of usable learning.</x:v>
      </x:c>
    </x:row>
    <x:row r="740">
      <x:c r="A740" s="27" t="str">
        <x:v>E00736</x:v>
      </x:c>
      <x:c r="B740" s="27" t="str">
        <x:v>S11-MATH-03</x:v>
      </x:c>
      <x:c r="C740" s="27" t="str">
        <x:v>Previous node in domain progression</x:v>
      </x:c>
      <x:c r="D740" s="27" t="str">
        <x:v>DOMAIN_SEQUENCE</x:v>
      </x:c>
      <x:c r="E740" s="27" t="str">
        <x:v>S11-MATH-04</x:v>
      </x:c>
      <x:c r="F740" s="27" t="str">
        <x:v>Shape attributes and composition</x:v>
      </x:c>
      <x:c r="G740" s="27" t="str">
        <x:v>S11</x:v>
      </x:c>
      <x:c r="H740" s="27" t="str">
        <x:v>Mathematics</x:v>
      </x:c>
      <x:c r="I740" s="27" t="str">
        <x:v>SRC02; SRC07; SRC09</x:v>
      </x:c>
      <x:c r="J740" s="27" t="str">
        <x:v>Ordered spiral link; consult explicit prerequisites for logical dependency.</x:v>
      </x:c>
    </x:row>
    <x:row r="741">
      <x:c r="A741" s="27" t="str">
        <x:v>E00737</x:v>
      </x:c>
      <x:c r="B741" s="27" t="str">
        <x:v>S11-MATH-04:PREREQ</x:v>
      </x:c>
      <x:c r="C741" s="27" t="str">
        <x:v>Shape constancy, attribute vocabulary, and controlled placement.</x:v>
      </x:c>
      <x:c r="D741" s="27" t="str">
        <x:v>PREREQUISITE</x:v>
      </x:c>
      <x:c r="E741" s="27" t="str">
        <x:v>S11-MATH-04</x:v>
      </x:c>
      <x:c r="F741" s="27" t="str">
        <x:v>Shape attributes and composition</x:v>
      </x:c>
      <x:c r="G741" s="27" t="str">
        <x:v>S11</x:v>
      </x:c>
      <x:c r="H741" s="27" t="str">
        <x:v>Mathematics</x:v>
      </x:c>
      <x:c r="I741" s="27" t="str">
        <x:v>SRC02; SRC07; SRC09</x:v>
      </x:c>
      <x:c r="J741" s="27" t="str">
        <x:v>Incoming prerequisite relationship.</x:v>
      </x:c>
    </x:row>
    <x:row r="742">
      <x:c r="A742" s="27" t="str">
        <x:v>E00738</x:v>
      </x:c>
      <x:c r="B742" s="27" t="str">
        <x:v>S11-MATH-04:GROUND</x:v>
      </x:c>
      <x:c r="C742" s="27" t="str">
        <x:v>G3 — Shared reference and symbol</x:v>
      </x:c>
      <x:c r="D742" s="27" t="str">
        <x:v>GROUNDED_BY</x:v>
      </x:c>
      <x:c r="E742" s="27" t="str">
        <x:v>S11-MATH-04</x:v>
      </x:c>
      <x:c r="F742" s="27" t="str">
        <x:v>Shape attributes and composition</x:v>
      </x:c>
      <x:c r="G742" s="27" t="str">
        <x:v>S11</x:v>
      </x:c>
      <x:c r="H742" s="27" t="str">
        <x:v>Mathematics</x:v>
      </x:c>
      <x:c r="I742" s="27" t="str">
        <x:v>SRC02; SRC07; SRC09</x:v>
      </x:c>
      <x:c r="J742" s="27" t="str">
        <x:v>Grounding form used to preserve meaning.</x:v>
      </x:c>
    </x:row>
    <x:row r="743">
      <x:c r="A743" s="27" t="str">
        <x:v>E00739</x:v>
      </x:c>
      <x:c r="B743" s="27" t="str">
        <x:v>S11-MATH-04</x:v>
      </x:c>
      <x:c r="C743" s="27" t="str">
        <x:v>Shape attributes and composition</x:v>
      </x:c>
      <x:c r="D743" s="27" t="str">
        <x:v>CONNECTS_TO</x:v>
      </x:c>
      <x:c r="E743" s="27" t="str">
        <x:v>S11-MATH-04:CROSS</x:v>
      </x:c>
      <x:c r="F743" s="27" t="str">
        <x:v>Physical quantity and spatial action; science measurement/models; computing/algorithms; finance; music rhythm/pattern; geographic data.</x:v>
      </x:c>
      <x:c r="G743" s="27" t="str">
        <x:v>S11</x:v>
      </x:c>
      <x:c r="H743" s="27" t="str">
        <x:v>Mathematics</x:v>
      </x:c>
      <x:c r="I743" s="27" t="str">
        <x:v>SRC02; SRC07; SRC09</x:v>
      </x:c>
      <x:c r="J743" s="27" t="str">
        <x:v>Parallel subject and representation links.</x:v>
      </x:c>
    </x:row>
    <x:row r="744">
      <x:c r="A744" s="27" t="str">
        <x:v>E00740</x:v>
      </x:c>
      <x:c r="B744" s="27" t="str">
        <x:v>S11-MATH-04</x:v>
      </x:c>
      <x:c r="C744" s="27" t="str">
        <x:v>Shape attributes and composition</x:v>
      </x:c>
      <x:c r="D744" s="27" t="str">
        <x:v>UNLOCKS</x:v>
      </x:c>
      <x:c r="E744" s="27" t="str">
        <x:v>S11-MATH-04:NEXT</x:v>
      </x:c>
      <x:c r="F744" s="27" t="str">
        <x:v>Properties and composition prepare classification, area, fractions, and geometric reasoning.</x:v>
      </x:c>
      <x:c r="G744" s="27" t="str">
        <x:v>S11</x:v>
      </x:c>
      <x:c r="H744" s="27" t="str">
        <x:v>Mathematics</x:v>
      </x:c>
      <x:c r="I744" s="27" t="str">
        <x:v>SRC02; SRC07; SRC09</x:v>
      </x:c>
      <x:c r="J744" s="27" t="str">
        <x:v>Outgoing use and placement rationale.</x:v>
      </x:c>
    </x:row>
    <x:row r="745">
      <x:c r="A745" s="27" t="str">
        <x:v>E00741</x:v>
      </x:c>
      <x:c r="B745" s="27" t="str">
        <x:v>S11-MATH-04</x:v>
      </x:c>
      <x:c r="C745" s="27" t="str">
        <x:v>Shape attributes and composition</x:v>
      </x:c>
      <x:c r="D745" s="27" t="str">
        <x:v>VERIFIED_BY</x:v>
      </x:c>
      <x:c r="E745" s="27" t="str">
        <x:v>S11-MATH-04:EVIDENCE</x:v>
      </x:c>
      <x:c r="F745" s="27" t="str">
        <x:v>Explains at least one defining feature and builds or partitions a composite shape.</x:v>
      </x:c>
      <x:c r="G745" s="27" t="str">
        <x:v>S11</x:v>
      </x:c>
      <x:c r="H745" s="27" t="str">
        <x:v>Mathematics</x:v>
      </x:c>
      <x:c r="I745" s="27" t="str">
        <x:v>SRC02; SRC07; SRC09</x:v>
      </x:c>
      <x:c r="J745" s="27" t="str">
        <x:v>Observable evidence of usable learning.</x:v>
      </x:c>
    </x:row>
    <x:row r="746">
      <x:c r="A746" s="27" t="str">
        <x:v>E00742</x:v>
      </x:c>
      <x:c r="B746" s="27" t="str">
        <x:v>S10-SCI-01</x:v>
      </x:c>
      <x:c r="C746" s="27" t="str">
        <x:v>Previous node in domain progression</x:v>
      </x:c>
      <x:c r="D746" s="27" t="str">
        <x:v>DOMAIN_SEQUENCE</x:v>
      </x:c>
      <x:c r="E746" s="27" t="str">
        <x:v>S11-SCI-01</x:v>
      </x:c>
      <x:c r="F746" s="27" t="str">
        <x:v>Prediction–test–record–explain</x:v>
      </x:c>
      <x:c r="G746" s="27" t="str">
        <x:v>S11</x:v>
      </x:c>
      <x:c r="H746" s="27" t="str">
        <x:v>Science &amp; Engineering</x:v>
      </x:c>
      <x:c r="I746" s="27" t="str">
        <x:v>SRC02; SRC11; SRC25</x:v>
      </x:c>
      <x:c r="J746" s="27" t="str">
        <x:v>Ordered spiral link; consult explicit prerequisites for logical dependency.</x:v>
      </x:c>
    </x:row>
    <x:row r="747">
      <x:c r="A747" s="27" t="str">
        <x:v>E00743</x:v>
      </x:c>
      <x:c r="B747" s="27" t="str">
        <x:v>S11-SCI-01:PREREQ</x:v>
      </x:c>
      <x:c r="C747" s="27" t="str">
        <x:v>Observation versus guess, question cycle, counting, and representation.</x:v>
      </x:c>
      <x:c r="D747" s="27" t="str">
        <x:v>PREREQUISITE</x:v>
      </x:c>
      <x:c r="E747" s="27" t="str">
        <x:v>S11-SCI-01</x:v>
      </x:c>
      <x:c r="F747" s="27" t="str">
        <x:v>Prediction–test–record–explain</x:v>
      </x:c>
      <x:c r="G747" s="27" t="str">
        <x:v>S11</x:v>
      </x:c>
      <x:c r="H747" s="27" t="str">
        <x:v>Science &amp; Engineering</x:v>
      </x:c>
      <x:c r="I747" s="27" t="str">
        <x:v>SRC02; SRC11; SRC25</x:v>
      </x:c>
      <x:c r="J747" s="27" t="str">
        <x:v>Incoming prerequisite relationship.</x:v>
      </x:c>
    </x:row>
    <x:row r="748">
      <x:c r="A748" s="27" t="str">
        <x:v>E00744</x:v>
      </x:c>
      <x:c r="B748" s="27" t="str">
        <x:v>S11-SCI-01:GROUND</x:v>
      </x:c>
      <x:c r="C748" s="27" t="str">
        <x:v>G3 — Shared reference and symbol</x:v>
      </x:c>
      <x:c r="D748" s="27" t="str">
        <x:v>GROUNDED_BY</x:v>
      </x:c>
      <x:c r="E748" s="27" t="str">
        <x:v>S11-SCI-01</x:v>
      </x:c>
      <x:c r="F748" s="27" t="str">
        <x:v>Prediction–test–record–explain</x:v>
      </x:c>
      <x:c r="G748" s="27" t="str">
        <x:v>S11</x:v>
      </x:c>
      <x:c r="H748" s="27" t="str">
        <x:v>Science &amp; Engineering</x:v>
      </x:c>
      <x:c r="I748" s="27" t="str">
        <x:v>SRC02; SRC11; SRC25</x:v>
      </x:c>
      <x:c r="J748" s="27" t="str">
        <x:v>Grounding form used to preserve meaning.</x:v>
      </x:c>
    </x:row>
    <x:row r="749">
      <x:c r="A749" s="27" t="str">
        <x:v>E00745</x:v>
      </x:c>
      <x:c r="B749" s="27" t="str">
        <x:v>S11-SCI-01</x:v>
      </x:c>
      <x:c r="C749" s="27" t="str">
        <x:v>Prediction–test–record–explain</x:v>
      </x:c>
      <x:c r="D749" s="27" t="str">
        <x:v>CONNECTS_TO</x:v>
      </x:c>
      <x:c r="E749" s="27" t="str">
        <x:v>S11-SCI-01:CROSS</x:v>
      </x:c>
      <x:c r="F749" s="27" t="str">
        <x:v>Sensory observation and action; mathematics/data; reading/writing evidence; computing/models; health and environmental/civic decisions.</x:v>
      </x:c>
      <x:c r="G749" s="27" t="str">
        <x:v>S11</x:v>
      </x:c>
      <x:c r="H749" s="27" t="str">
        <x:v>Science &amp; Engineering</x:v>
      </x:c>
      <x:c r="I749" s="27" t="str">
        <x:v>SRC02; SRC11; SRC25</x:v>
      </x:c>
      <x:c r="J749" s="27" t="str">
        <x:v>Parallel subject and representation links.</x:v>
      </x:c>
    </x:row>
    <x:row r="750">
      <x:c r="A750" s="27" t="str">
        <x:v>E00746</x:v>
      </x:c>
      <x:c r="B750" s="27" t="str">
        <x:v>S11-SCI-01</x:v>
      </x:c>
      <x:c r="C750" s="27" t="str">
        <x:v>Prediction–test–record–explain</x:v>
      </x:c>
      <x:c r="D750" s="27" t="str">
        <x:v>UNLOCKS</x:v>
      </x:c>
      <x:c r="E750" s="27" t="str">
        <x:v>S11-SCI-01:NEXT</x:v>
      </x:c>
      <x:c r="F750" s="27" t="str">
        <x:v>This cycle integrates evidence, data, causal reasoning, and communication.</x:v>
      </x:c>
      <x:c r="G750" s="27" t="str">
        <x:v>S11</x:v>
      </x:c>
      <x:c r="H750" s="27" t="str">
        <x:v>Science &amp; Engineering</x:v>
      </x:c>
      <x:c r="I750" s="27" t="str">
        <x:v>SRC02; SRC11; SRC25</x:v>
      </x:c>
      <x:c r="J750" s="27" t="str">
        <x:v>Outgoing use and placement rationale.</x:v>
      </x:c>
    </x:row>
    <x:row r="751">
      <x:c r="A751" s="27" t="str">
        <x:v>E00747</x:v>
      </x:c>
      <x:c r="B751" s="27" t="str">
        <x:v>S11-SCI-01</x:v>
      </x:c>
      <x:c r="C751" s="27" t="str">
        <x:v>Prediction–test–record–explain</x:v>
      </x:c>
      <x:c r="D751" s="27" t="str">
        <x:v>VERIFIED_BY</x:v>
      </x:c>
      <x:c r="E751" s="27" t="str">
        <x:v>S11-SCI-01:EVIDENCE</x:v>
      </x:c>
      <x:c r="F751" s="27" t="str">
        <x:v>Completes all four parts with adult scaffolding and refers to the recorded result.</x:v>
      </x:c>
      <x:c r="G751" s="27" t="str">
        <x:v>S11</x:v>
      </x:c>
      <x:c r="H751" s="27" t="str">
        <x:v>Science &amp; Engineering</x:v>
      </x:c>
      <x:c r="I751" s="27" t="str">
        <x:v>SRC02; SRC11; SRC25</x:v>
      </x:c>
      <x:c r="J751" s="27" t="str">
        <x:v>Observable evidence of usable learning.</x:v>
      </x:c>
    </x:row>
    <x:row r="752">
      <x:c r="A752" s="27" t="str">
        <x:v>E00748</x:v>
      </x:c>
      <x:c r="B752" s="27" t="str">
        <x:v>S11-SST-01:PREREQ</x:v>
      </x:c>
      <x:c r="C752" s="27" t="str">
        <x:v>Perspective, spatial language, event sequence, and category vocabulary.</x:v>
      </x:c>
      <x:c r="D752" s="27" t="str">
        <x:v>PREREQUISITE</x:v>
      </x:c>
      <x:c r="E752" s="27" t="str">
        <x:v>S11-SST-01</x:v>
      </x:c>
      <x:c r="F752" s="27" t="str">
        <x:v>Roles, rules, maps, and time</x:v>
      </x:c>
      <x:c r="G752" s="27" t="str">
        <x:v>S11</x:v>
      </x:c>
      <x:c r="H752" s="27" t="str">
        <x:v>Social Studies</x:v>
      </x:c>
      <x:c r="I752" s="27" t="str">
        <x:v>SRC02; SRC12; SRC25</x:v>
      </x:c>
      <x:c r="J752" s="27" t="str">
        <x:v>Incoming prerequisite relationship.</x:v>
      </x:c>
    </x:row>
    <x:row r="753">
      <x:c r="A753" s="27" t="str">
        <x:v>E00749</x:v>
      </x:c>
      <x:c r="B753" s="27" t="str">
        <x:v>S11-SST-01:GROUND</x:v>
      </x:c>
      <x:c r="C753" s="27" t="str">
        <x:v>G3 — Shared reference and symbol</x:v>
      </x:c>
      <x:c r="D753" s="27" t="str">
        <x:v>GROUNDED_BY</x:v>
      </x:c>
      <x:c r="E753" s="27" t="str">
        <x:v>S11-SST-01</x:v>
      </x:c>
      <x:c r="F753" s="27" t="str">
        <x:v>Roles, rules, maps, and time</x:v>
      </x:c>
      <x:c r="G753" s="27" t="str">
        <x:v>S11</x:v>
      </x:c>
      <x:c r="H753" s="27" t="str">
        <x:v>Social Studies</x:v>
      </x:c>
      <x:c r="I753" s="27" t="str">
        <x:v>SRC02; SRC12; SRC25</x:v>
      </x:c>
      <x:c r="J753" s="27" t="str">
        <x:v>Grounding form used to preserve meaning.</x:v>
      </x:c>
    </x:row>
    <x:row r="754">
      <x:c r="A754" s="27" t="str">
        <x:v>E00750</x:v>
      </x:c>
      <x:c r="B754" s="27" t="str">
        <x:v>S11-SST-01</x:v>
      </x:c>
      <x:c r="C754" s="27" t="str">
        <x:v>Roles, rules, maps, and time</x:v>
      </x:c>
      <x:c r="D754" s="27" t="str">
        <x:v>CONNECTS_TO</x:v>
      </x:c>
      <x:c r="E754" s="27" t="str">
        <x:v>S11-SST-01:CROSS</x:v>
      </x:c>
      <x:c r="F754" s="27" t="str">
        <x:v>Language/literacy and source evidence; maps/data/economics; ethics/SEL; media literacy; arts/culture; civic action.</x:v>
      </x:c>
      <x:c r="G754" s="27" t="str">
        <x:v>S11</x:v>
      </x:c>
      <x:c r="H754" s="27" t="str">
        <x:v>Social Studies</x:v>
      </x:c>
      <x:c r="I754" s="27" t="str">
        <x:v>SRC02; SRC12; SRC25</x:v>
      </x:c>
      <x:c r="J754" s="27" t="str">
        <x:v>Parallel subject and representation links.</x:v>
      </x:c>
    </x:row>
    <x:row r="755">
      <x:c r="A755" s="27" t="str">
        <x:v>E00751</x:v>
      </x:c>
      <x:c r="B755" s="27" t="str">
        <x:v>S11-SST-01</x:v>
      </x:c>
      <x:c r="C755" s="27" t="str">
        <x:v>Roles, rules, maps, and time</x:v>
      </x:c>
      <x:c r="D755" s="27" t="str">
        <x:v>UNLOCKS</x:v>
      </x:c>
      <x:c r="E755" s="27" t="str">
        <x:v>S11-SST-01:NEXT</x:v>
      </x:c>
      <x:c r="F755" s="27" t="str">
        <x:v>These concepts become civics, geography, history, and economics in school.</x:v>
      </x:c>
      <x:c r="G755" s="27" t="str">
        <x:v>S11</x:v>
      </x:c>
      <x:c r="H755" s="27" t="str">
        <x:v>Social Studies</x:v>
      </x:c>
      <x:c r="I755" s="27" t="str">
        <x:v>SRC02; SRC12; SRC25</x:v>
      </x:c>
      <x:c r="J755" s="27" t="str">
        <x:v>Outgoing use and placement rationale.</x:v>
      </x:c>
    </x:row>
    <x:row r="756">
      <x:c r="A756" s="27" t="str">
        <x:v>E00752</x:v>
      </x:c>
      <x:c r="B756" s="27" t="str">
        <x:v>S11-SST-01</x:v>
      </x:c>
      <x:c r="C756" s="27" t="str">
        <x:v>Roles, rules, maps, and time</x:v>
      </x:c>
      <x:c r="D756" s="27" t="str">
        <x:v>VERIFIED_BY</x:v>
      </x:c>
      <x:c r="E756" s="27" t="str">
        <x:v>S11-SST-01:EVIDENCE</x:v>
      </x:c>
      <x:c r="F756" s="27" t="str">
        <x:v>Explains a familiar role or rule, uses a simple map, and orders personal events.</x:v>
      </x:c>
      <x:c r="G756" s="27" t="str">
        <x:v>S11</x:v>
      </x:c>
      <x:c r="H756" s="27" t="str">
        <x:v>Social Studies</x:v>
      </x:c>
      <x:c r="I756" s="27" t="str">
        <x:v>SRC02; SRC12; SRC25</x:v>
      </x:c>
      <x:c r="J756" s="27" t="str">
        <x:v>Observable evidence of usable learning.</x:v>
      </x:c>
    </x:row>
    <x:row r="757">
      <x:c r="A757" s="27" t="str">
        <x:v>E00753</x:v>
      </x:c>
      <x:c r="B757" s="27" t="str">
        <x:v>S10-ARTS-01</x:v>
      </x:c>
      <x:c r="C757" s="27" t="str">
        <x:v>Previous node in domain progression</x:v>
      </x:c>
      <x:c r="D757" s="27" t="str">
        <x:v>DOMAIN_SEQUENCE</x:v>
      </x:c>
      <x:c r="E757" s="27" t="str">
        <x:v>S11-ARTS-01</x:v>
      </x:c>
      <x:c r="F757" s="27" t="str">
        <x:v>Rhythm, pitch, and expressive symbols</x:v>
      </x:c>
      <x:c r="G757" s="27" t="str">
        <x:v>S11</x:v>
      </x:c>
      <x:c r="H757" s="27" t="str">
        <x:v>Music &amp; Arts</x:v>
      </x:c>
      <x:c r="I757" s="27" t="str">
        <x:v>SRC02; SRC13</x:v>
      </x:c>
      <x:c r="J757" s="27" t="str">
        <x:v>Ordered spiral link; consult explicit prerequisites for logical dependency.</x:v>
      </x:c>
    </x:row>
    <x:row r="758">
      <x:c r="A758" s="27" t="str">
        <x:v>E00754</x:v>
      </x:c>
      <x:c r="B758" s="27" t="str">
        <x:v>S11-ARTS-01:PREREQ</x:v>
      </x:c>
      <x:c r="C758" s="27" t="str">
        <x:v>Steady beat, contrast, sequence, and symbolic marks.</x:v>
      </x:c>
      <x:c r="D758" s="27" t="str">
        <x:v>PREREQUISITE</x:v>
      </x:c>
      <x:c r="E758" s="27" t="str">
        <x:v>S11-ARTS-01</x:v>
      </x:c>
      <x:c r="F758" s="27" t="str">
        <x:v>Rhythm, pitch, and expressive symbols</x:v>
      </x:c>
      <x:c r="G758" s="27" t="str">
        <x:v>S11</x:v>
      </x:c>
      <x:c r="H758" s="27" t="str">
        <x:v>Music &amp; Arts</x:v>
      </x:c>
      <x:c r="I758" s="27" t="str">
        <x:v>SRC02; SRC13</x:v>
      </x:c>
      <x:c r="J758" s="27" t="str">
        <x:v>Incoming prerequisite relationship.</x:v>
      </x:c>
    </x:row>
    <x:row r="759">
      <x:c r="A759" s="27" t="str">
        <x:v>E00755</x:v>
      </x:c>
      <x:c r="B759" s="27" t="str">
        <x:v>S11-ARTS-01:GROUND</x:v>
      </x:c>
      <x:c r="C759" s="27" t="str">
        <x:v>G3 — Shared reference and symbol</x:v>
      </x:c>
      <x:c r="D759" s="27" t="str">
        <x:v>GROUNDED_BY</x:v>
      </x:c>
      <x:c r="E759" s="27" t="str">
        <x:v>S11-ARTS-01</x:v>
      </x:c>
      <x:c r="F759" s="27" t="str">
        <x:v>Rhythm, pitch, and expressive symbols</x:v>
      </x:c>
      <x:c r="G759" s="27" t="str">
        <x:v>S11</x:v>
      </x:c>
      <x:c r="H759" s="27" t="str">
        <x:v>Music &amp; Arts</x:v>
      </x:c>
      <x:c r="I759" s="27" t="str">
        <x:v>SRC02; SRC13</x:v>
      </x:c>
      <x:c r="J759" s="27" t="str">
        <x:v>Grounding form used to preserve meaning.</x:v>
      </x:c>
    </x:row>
    <x:row r="760">
      <x:c r="A760" s="27" t="str">
        <x:v>E00756</x:v>
      </x:c>
      <x:c r="B760" s="27" t="str">
        <x:v>S11-ARTS-01</x:v>
      </x:c>
      <x:c r="C760" s="27" t="str">
        <x:v>Rhythm, pitch, and expressive symbols</x:v>
      </x:c>
      <x:c r="D760" s="27" t="str">
        <x:v>CONNECTS_TO</x:v>
      </x:c>
      <x:c r="E760" s="27" t="str">
        <x:v>S11-ARTS-01:CROSS</x:v>
      </x:c>
      <x:c r="F760" s="27" t="str">
        <x:v>Sensory discrimination; motor timing; language/prosody; mathematics/pattern; history/culture; emotion, design, and technology.</x:v>
      </x:c>
      <x:c r="G760" s="27" t="str">
        <x:v>S11</x:v>
      </x:c>
      <x:c r="H760" s="27" t="str">
        <x:v>Music &amp; Arts</x:v>
      </x:c>
      <x:c r="I760" s="27" t="str">
        <x:v>SRC02; SRC13</x:v>
      </x:c>
      <x:c r="J760" s="27" t="str">
        <x:v>Parallel subject and representation links.</x:v>
      </x:c>
    </x:row>
    <x:row r="761">
      <x:c r="A761" s="27" t="str">
        <x:v>E00757</x:v>
      </x:c>
      <x:c r="B761" s="27" t="str">
        <x:v>S11-ARTS-01</x:v>
      </x:c>
      <x:c r="C761" s="27" t="str">
        <x:v>Rhythm, pitch, and expressive symbols</x:v>
      </x:c>
      <x:c r="D761" s="27" t="str">
        <x:v>UNLOCKS</x:v>
      </x:c>
      <x:c r="E761" s="27" t="str">
        <x:v>S11-ARTS-01:NEXT</x:v>
      </x:c>
      <x:c r="F761" s="27" t="str">
        <x:v>Representing sound prepares conventional notation, composition, and ensemble rehearsal.</x:v>
      </x:c>
      <x:c r="G761" s="27" t="str">
        <x:v>S11</x:v>
      </x:c>
      <x:c r="H761" s="27" t="str">
        <x:v>Music &amp; Arts</x:v>
      </x:c>
      <x:c r="I761" s="27" t="str">
        <x:v>SRC02; SRC13</x:v>
      </x:c>
      <x:c r="J761" s="27" t="str">
        <x:v>Outgoing use and placement rationale.</x:v>
      </x:c>
    </x:row>
    <x:row r="762">
      <x:c r="A762" s="27" t="str">
        <x:v>E00758</x:v>
      </x:c>
      <x:c r="B762" s="27" t="str">
        <x:v>S11-ARTS-01</x:v>
      </x:c>
      <x:c r="C762" s="27" t="str">
        <x:v>Rhythm, pitch, and expressive symbols</x:v>
      </x:c>
      <x:c r="D762" s="27" t="str">
        <x:v>VERIFIED_BY</x:v>
      </x:c>
      <x:c r="E762" s="27" t="str">
        <x:v>S11-ARTS-01:EVIDENCE</x:v>
      </x:c>
      <x:c r="F762" s="27" t="str">
        <x:v>Performs a short echo and creates or follows a simple sound-symbol sequence.</x:v>
      </x:c>
      <x:c r="G762" s="27" t="str">
        <x:v>S11</x:v>
      </x:c>
      <x:c r="H762" s="27" t="str">
        <x:v>Music &amp; Arts</x:v>
      </x:c>
      <x:c r="I762" s="27" t="str">
        <x:v>SRC02; SRC13</x:v>
      </x:c>
      <x:c r="J762" s="27" t="str">
        <x:v>Observable evidence of usable learning.</x:v>
      </x:c>
    </x:row>
    <x:row r="763">
      <x:c r="A763" s="27" t="str">
        <x:v>E00759</x:v>
      </x:c>
      <x:c r="B763" s="27" t="str">
        <x:v>S10-HLTH-01</x:v>
      </x:c>
      <x:c r="C763" s="27" t="str">
        <x:v>Previous node in domain progression</x:v>
      </x:c>
      <x:c r="D763" s="27" t="str">
        <x:v>DOMAIN_SEQUENCE</x:v>
      </x:c>
      <x:c r="E763" s="27" t="str">
        <x:v>S11-HLTH-01</x:v>
      </x:c>
      <x:c r="F763" s="27" t="str">
        <x:v>Body, safety, hygiene, and help</x:v>
      </x:c>
      <x:c r="G763" s="27" t="str">
        <x:v>S11</x:v>
      </x:c>
      <x:c r="H763" s="27" t="str">
        <x:v>Physical &amp; Health</x:v>
      </x:c>
      <x:c r="I763" s="27" t="str">
        <x:v>SRC15; SRC25</x:v>
      </x:c>
      <x:c r="J763" s="27" t="str">
        <x:v>Ordered spiral link; consult explicit prerequisites for logical dependency.</x:v>
      </x:c>
    </x:row>
    <x:row r="764">
      <x:c r="A764" s="27" t="str">
        <x:v>E00760</x:v>
      </x:c>
      <x:c r="B764" s="27" t="str">
        <x:v>S11-HLTH-01:PREREQ</x:v>
      </x:c>
      <x:c r="C764" s="27" t="str">
        <x:v>Self-care, vocabulary, routines, and problem-options-choice.</x:v>
      </x:c>
      <x:c r="D764" s="27" t="str">
        <x:v>PREREQUISITE</x:v>
      </x:c>
      <x:c r="E764" s="27" t="str">
        <x:v>S11-HLTH-01</x:v>
      </x:c>
      <x:c r="F764" s="27" t="str">
        <x:v>Body, safety, hygiene, and help</x:v>
      </x:c>
      <x:c r="G764" s="27" t="str">
        <x:v>S11</x:v>
      </x:c>
      <x:c r="H764" s="27" t="str">
        <x:v>Physical &amp; Health</x:v>
      </x:c>
      <x:c r="I764" s="27" t="str">
        <x:v>SRC15; SRC25</x:v>
      </x:c>
      <x:c r="J764" s="27" t="str">
        <x:v>Incoming prerequisite relationship.</x:v>
      </x:c>
    </x:row>
    <x:row r="765">
      <x:c r="A765" s="27" t="str">
        <x:v>E00761</x:v>
      </x:c>
      <x:c r="B765" s="27" t="str">
        <x:v>S11-HLTH-01:GROUND</x:v>
      </x:c>
      <x:c r="C765" s="27" t="str">
        <x:v>G3 — Shared reference and symbol</x:v>
      </x:c>
      <x:c r="D765" s="27" t="str">
        <x:v>GROUNDED_BY</x:v>
      </x:c>
      <x:c r="E765" s="27" t="str">
        <x:v>S11-HLTH-01</x:v>
      </x:c>
      <x:c r="F765" s="27" t="str">
        <x:v>Body, safety, hygiene, and help</x:v>
      </x:c>
      <x:c r="G765" s="27" t="str">
        <x:v>S11</x:v>
      </x:c>
      <x:c r="H765" s="27" t="str">
        <x:v>Physical &amp; Health</x:v>
      </x:c>
      <x:c r="I765" s="27" t="str">
        <x:v>SRC15; SRC25</x:v>
      </x:c>
      <x:c r="J765" s="27" t="str">
        <x:v>Grounding form used to preserve meaning.</x:v>
      </x:c>
    </x:row>
    <x:row r="766">
      <x:c r="A766" s="27" t="str">
        <x:v>E00762</x:v>
      </x:c>
      <x:c r="B766" s="27" t="str">
        <x:v>S11-HLTH-01</x:v>
      </x:c>
      <x:c r="C766" s="27" t="str">
        <x:v>Body, safety, hygiene, and help</x:v>
      </x:c>
      <x:c r="D766" s="27" t="str">
        <x:v>CONNECTS_TO</x:v>
      </x:c>
      <x:c r="E766" s="27" t="str">
        <x:v>S11-HLTH-01:CROSS</x:v>
      </x:c>
      <x:c r="F766" s="27" t="str">
        <x:v>Motor/sensory development; life science; measurement/data; SEL/self-management; communication, safety, and decision-making.</x:v>
      </x:c>
      <x:c r="G766" s="27" t="str">
        <x:v>S11</x:v>
      </x:c>
      <x:c r="H766" s="27" t="str">
        <x:v>Physical &amp; Health</x:v>
      </x:c>
      <x:c r="I766" s="27" t="str">
        <x:v>SRC15; SRC25</x:v>
      </x:c>
      <x:c r="J766" s="27" t="str">
        <x:v>Parallel subject and representation links.</x:v>
      </x:c>
    </x:row>
    <x:row r="767">
      <x:c r="A767" s="27" t="str">
        <x:v>E00763</x:v>
      </x:c>
      <x:c r="B767" s="27" t="str">
        <x:v>S11-HLTH-01</x:v>
      </x:c>
      <x:c r="C767" s="27" t="str">
        <x:v>Body, safety, hygiene, and help</x:v>
      </x:c>
      <x:c r="D767" s="27" t="str">
        <x:v>UNLOCKS</x:v>
      </x:c>
      <x:c r="E767" s="27" t="str">
        <x:v>S11-HLTH-01:NEXT</x:v>
      </x:c>
      <x:c r="F767" s="27" t="str">
        <x:v>Explicit health knowledge supports autonomy and protective decision-making.</x:v>
      </x:c>
      <x:c r="G767" s="27" t="str">
        <x:v>S11</x:v>
      </x:c>
      <x:c r="H767" s="27" t="str">
        <x:v>Physical &amp; Health</x:v>
      </x:c>
      <x:c r="I767" s="27" t="str">
        <x:v>SRC15; SRC25</x:v>
      </x:c>
      <x:c r="J767" s="27" t="str">
        <x:v>Outgoing use and placement rationale.</x:v>
      </x:c>
    </x:row>
    <x:row r="768">
      <x:c r="A768" s="27" t="str">
        <x:v>E00764</x:v>
      </x:c>
      <x:c r="B768" s="27" t="str">
        <x:v>S11-HLTH-01</x:v>
      </x:c>
      <x:c r="C768" s="27" t="str">
        <x:v>Body, safety, hygiene, and help</x:v>
      </x:c>
      <x:c r="D768" s="27" t="str">
        <x:v>VERIFIED_BY</x:v>
      </x:c>
      <x:c r="E768" s="27" t="str">
        <x:v>S11-HLTH-01:EVIDENCE</x:v>
      </x:c>
      <x:c r="F768" s="27" t="str">
        <x:v>Demonstrates a hygiene/safety routine and identifies when and from whom to seek help.</x:v>
      </x:c>
      <x:c r="G768" s="27" t="str">
        <x:v>S11</x:v>
      </x:c>
      <x:c r="H768" s="27" t="str">
        <x:v>Physical &amp; Health</x:v>
      </x:c>
      <x:c r="I768" s="27" t="str">
        <x:v>SRC15; SRC25</x:v>
      </x:c>
      <x:c r="J768" s="27" t="str">
        <x:v>Observable evidence of usable learning.</x:v>
      </x:c>
    </x:row>
    <x:row r="769">
      <x:c r="A769" s="27" t="str">
        <x:v>E00765</x:v>
      </x:c>
      <x:c r="B769" s="27" t="str">
        <x:v>S11-COMP-01:PREREQ</x:v>
      </x:c>
      <x:c r="C769" s="27" t="str">
        <x:v>Multi-step routines, spatial language, and cause–effect reasoning.</x:v>
      </x:c>
      <x:c r="D769" s="27" t="str">
        <x:v>PREREQUISITE</x:v>
      </x:c>
      <x:c r="E769" s="27" t="str">
        <x:v>S11-COMP-01</x:v>
      </x:c>
      <x:c r="F769" s="27" t="str">
        <x:v>Ordered commands and debugging</x:v>
      </x:c>
      <x:c r="G769" s="27" t="str">
        <x:v>S11</x:v>
      </x:c>
      <x:c r="H769" s="27" t="str">
        <x:v>Computing &amp; Media</x:v>
      </x:c>
      <x:c r="I769" s="27" t="str">
        <x:v>SRC16</x:v>
      </x:c>
      <x:c r="J769" s="27" t="str">
        <x:v>Incoming prerequisite relationship.</x:v>
      </x:c>
    </x:row>
    <x:row r="770">
      <x:c r="A770" s="27" t="str">
        <x:v>E00766</x:v>
      </x:c>
      <x:c r="B770" s="27" t="str">
        <x:v>S11-COMP-01:GROUND</x:v>
      </x:c>
      <x:c r="C770" s="27" t="str">
        <x:v>G3 — Shared reference and symbol</x:v>
      </x:c>
      <x:c r="D770" s="27" t="str">
        <x:v>GROUNDED_BY</x:v>
      </x:c>
      <x:c r="E770" s="27" t="str">
        <x:v>S11-COMP-01</x:v>
      </x:c>
      <x:c r="F770" s="27" t="str">
        <x:v>Ordered commands and debugging</x:v>
      </x:c>
      <x:c r="G770" s="27" t="str">
        <x:v>S11</x:v>
      </x:c>
      <x:c r="H770" s="27" t="str">
        <x:v>Computing &amp; Media</x:v>
      </x:c>
      <x:c r="I770" s="27" t="str">
        <x:v>SRC16</x:v>
      </x:c>
      <x:c r="J770" s="27" t="str">
        <x:v>Grounding form used to preserve meaning.</x:v>
      </x:c>
    </x:row>
    <x:row r="771">
      <x:c r="A771" s="27" t="str">
        <x:v>E00767</x:v>
      </x:c>
      <x:c r="B771" s="27" t="str">
        <x:v>S11-COMP-01</x:v>
      </x:c>
      <x:c r="C771" s="27" t="str">
        <x:v>Ordered commands and debugging</x:v>
      </x:c>
      <x:c r="D771" s="27" t="str">
        <x:v>CONNECTS_TO</x:v>
      </x:c>
      <x:c r="E771" s="27" t="str">
        <x:v>S11-COMP-01:CROSS</x:v>
      </x:c>
      <x:c r="F771" s="27" t="str">
        <x:v>Mathematics/logic/data; language and media evidence; science/engineering models; art/design; civics, privacy, finance, and ethics.</x:v>
      </x:c>
      <x:c r="G771" s="27" t="str">
        <x:v>S11</x:v>
      </x:c>
      <x:c r="H771" s="27" t="str">
        <x:v>Computing &amp; Media</x:v>
      </x:c>
      <x:c r="I771" s="27" t="str">
        <x:v>SRC16</x:v>
      </x:c>
      <x:c r="J771" s="27" t="str">
        <x:v>Parallel subject and representation links.</x:v>
      </x:c>
    </x:row>
    <x:row r="772">
      <x:c r="A772" s="27" t="str">
        <x:v>E00768</x:v>
      </x:c>
      <x:c r="B772" s="27" t="str">
        <x:v>S11-COMP-01</x:v>
      </x:c>
      <x:c r="C772" s="27" t="str">
        <x:v>Ordered commands and debugging</x:v>
      </x:c>
      <x:c r="D772" s="27" t="str">
        <x:v>UNLOCKS</x:v>
      </x:c>
      <x:c r="E772" s="27" t="str">
        <x:v>S11-COMP-01:NEXT</x:v>
      </x:c>
      <x:c r="F772" s="27" t="str">
        <x:v>Sequencing and debugging are foundations for algorithms and programming.</x:v>
      </x:c>
      <x:c r="G772" s="27" t="str">
        <x:v>S11</x:v>
      </x:c>
      <x:c r="H772" s="27" t="str">
        <x:v>Computing &amp; Media</x:v>
      </x:c>
      <x:c r="I772" s="27" t="str">
        <x:v>SRC16</x:v>
      </x:c>
      <x:c r="J772" s="27" t="str">
        <x:v>Outgoing use and placement rationale.</x:v>
      </x:c>
    </x:row>
    <x:row r="773">
      <x:c r="A773" s="27" t="str">
        <x:v>E00769</x:v>
      </x:c>
      <x:c r="B773" s="27" t="str">
        <x:v>S11-COMP-01</x:v>
      </x:c>
      <x:c r="C773" s="27" t="str">
        <x:v>Ordered commands and debugging</x:v>
      </x:c>
      <x:c r="D773" s="27" t="str">
        <x:v>VERIFIED_BY</x:v>
      </x:c>
      <x:c r="E773" s="27" t="str">
        <x:v>S11-COMP-01:EVIDENCE</x:v>
      </x:c>
      <x:c r="F773" s="27" t="str">
        <x:v>Executes a short command sequence and identifies or fixes an incorrect step.</x:v>
      </x:c>
      <x:c r="G773" s="27" t="str">
        <x:v>S11</x:v>
      </x:c>
      <x:c r="H773" s="27" t="str">
        <x:v>Computing &amp; Media</x:v>
      </x:c>
      <x:c r="I773" s="27" t="str">
        <x:v>SRC16</x:v>
      </x:c>
      <x:c r="J773" s="27" t="str">
        <x:v>Observable evidence of usable learning.</x:v>
      </x:c>
    </x:row>
    <x:row r="774">
      <x:c r="A774" s="27" t="str">
        <x:v>E00770</x:v>
      </x:c>
      <x:c r="B774" s="27" t="str">
        <x:v>S11-LEARN-02</x:v>
      </x:c>
      <x:c r="C774" s="27" t="str">
        <x:v>Previous node in domain progression</x:v>
      </x:c>
      <x:c r="D774" s="27" t="str">
        <x:v>DOMAIN_SEQUENCE</x:v>
      </x:c>
      <x:c r="E774" s="27" t="str">
        <x:v>S12-LEARN-01</x:v>
      </x:c>
      <x:c r="F774" s="27" t="str">
        <x:v>Independent task cycle</x:v>
      </x:c>
      <x:c r="G774" s="27" t="str">
        <x:v>S12</x:v>
      </x:c>
      <x:c r="H774" s="27" t="str">
        <x:v>Learning Foundations</x:v>
      </x:c>
      <x:c r="I774" s="27" t="str">
        <x:v>SRC05; SRC06; SRC23; SRC25</x:v>
      </x:c>
      <x:c r="J774" s="27" t="str">
        <x:v>Ordered spiral link; consult explicit prerequisites for logical dependency.</x:v>
      </x:c>
    </x:row>
    <x:row r="775">
      <x:c r="A775" s="27" t="str">
        <x:v>E00771</x:v>
      </x:c>
      <x:c r="B775" s="27" t="str">
        <x:v>S12-LEARN-01:PREREQ</x:v>
      </x:c>
      <x:c r="C775" s="27" t="str">
        <x:v>Multi-step routine, help calibration, and regulation strategies.</x:v>
      </x:c>
      <x:c r="D775" s="27" t="str">
        <x:v>PREREQUISITE</x:v>
      </x:c>
      <x:c r="E775" s="27" t="str">
        <x:v>S12-LEARN-01</x:v>
      </x:c>
      <x:c r="F775" s="27" t="str">
        <x:v>Independent task cycle</x:v>
      </x:c>
      <x:c r="G775" s="27" t="str">
        <x:v>S12</x:v>
      </x:c>
      <x:c r="H775" s="27" t="str">
        <x:v>Learning Foundations</x:v>
      </x:c>
      <x:c r="I775" s="27" t="str">
        <x:v>SRC05; SRC06; SRC23; SRC25</x:v>
      </x:c>
      <x:c r="J775" s="27" t="str">
        <x:v>Incoming prerequisite relationship.</x:v>
      </x:c>
    </x:row>
    <x:row r="776">
      <x:c r="A776" s="27" t="str">
        <x:v>E00772</x:v>
      </x:c>
      <x:c r="B776" s="27" t="str">
        <x:v>S12-LEARN-01:GROUND</x:v>
      </x:c>
      <x:c r="C776" s="27" t="str">
        <x:v>G4/G5 — Concrete model linked to coordinated representations</x:v>
      </x:c>
      <x:c r="D776" s="27" t="str">
        <x:v>GROUNDED_BY</x:v>
      </x:c>
      <x:c r="E776" s="27" t="str">
        <x:v>S12-LEARN-01</x:v>
      </x:c>
      <x:c r="F776" s="27" t="str">
        <x:v>Independent task cycle</x:v>
      </x:c>
      <x:c r="G776" s="27" t="str">
        <x:v>S12</x:v>
      </x:c>
      <x:c r="H776" s="27" t="str">
        <x:v>Learning Foundations</x:v>
      </x:c>
      <x:c r="I776" s="27" t="str">
        <x:v>SRC05; SRC06; SRC23; SRC25</x:v>
      </x:c>
      <x:c r="J776" s="27" t="str">
        <x:v>Grounding form used to preserve meaning.</x:v>
      </x:c>
    </x:row>
    <x:row r="777">
      <x:c r="A777" s="27" t="str">
        <x:v>E00773</x:v>
      </x:c>
      <x:c r="B777" s="27" t="str">
        <x:v>S12-LEARN-01</x:v>
      </x:c>
      <x:c r="C777" s="27" t="str">
        <x:v>Independent task cycle</x:v>
      </x:c>
      <x:c r="D777" s="27" t="str">
        <x:v>CONNECTS_TO</x:v>
      </x:c>
      <x:c r="E777" s="27" t="str">
        <x:v>S12-LEARN-01:CROSS</x:v>
      </x:c>
      <x:c r="F777" s="27" t="str">
        <x:v>All domains: attention, memory, strategy choice, monitoring, retrieval, and transfer.</x:v>
      </x:c>
      <x:c r="G777" s="27" t="str">
        <x:v>S12</x:v>
      </x:c>
      <x:c r="H777" s="27" t="str">
        <x:v>Learning Foundations</x:v>
      </x:c>
      <x:c r="I777" s="27" t="str">
        <x:v>SRC05; SRC06; SRC23; SRC25</x:v>
      </x:c>
      <x:c r="J777" s="27" t="str">
        <x:v>Parallel subject and representation links.</x:v>
      </x:c>
    </x:row>
    <x:row r="778">
      <x:c r="A778" s="27" t="str">
        <x:v>E00774</x:v>
      </x:c>
      <x:c r="B778" s="27" t="str">
        <x:v>S12-LEARN-01</x:v>
      </x:c>
      <x:c r="C778" s="27" t="str">
        <x:v>Independent task cycle</x:v>
      </x:c>
      <x:c r="D778" s="27" t="str">
        <x:v>UNLOCKS</x:v>
      </x:c>
      <x:c r="E778" s="27" t="str">
        <x:v>S12-LEARN-01:NEXT</x:v>
      </x:c>
      <x:c r="F778" s="27" t="str">
        <x:v>A task cycle supports every formal lesson and gives teachers observable evidence of understanding.</x:v>
      </x:c>
      <x:c r="G778" s="27" t="str">
        <x:v>S12</x:v>
      </x:c>
      <x:c r="H778" s="27" t="str">
        <x:v>Learning Foundations</x:v>
      </x:c>
      <x:c r="I778" s="27" t="str">
        <x:v>SRC05; SRC06; SRC23; SRC25</x:v>
      </x:c>
      <x:c r="J778" s="27" t="str">
        <x:v>Outgoing use and placement rationale.</x:v>
      </x:c>
    </x:row>
    <x:row r="779">
      <x:c r="A779" s="27" t="str">
        <x:v>E00775</x:v>
      </x:c>
      <x:c r="B779" s="27" t="str">
        <x:v>S12-LEARN-01</x:v>
      </x:c>
      <x:c r="C779" s="27" t="str">
        <x:v>Independent task cycle</x:v>
      </x:c>
      <x:c r="D779" s="27" t="str">
        <x:v>VERIFIED_BY</x:v>
      </x:c>
      <x:c r="E779" s="27" t="str">
        <x:v>S12-LEARN-01:EVIDENCE</x:v>
      </x:c>
      <x:c r="F779" s="27" t="str">
        <x:v>Completes a familiar academic task and checks it against a model or stated goal.</x:v>
      </x:c>
      <x:c r="G779" s="27" t="str">
        <x:v>S12</x:v>
      </x:c>
      <x:c r="H779" s="27" t="str">
        <x:v>Learning Foundations</x:v>
      </x:c>
      <x:c r="I779" s="27" t="str">
        <x:v>SRC05; SRC06; SRC23; SRC25</x:v>
      </x:c>
      <x:c r="J779" s="27" t="str">
        <x:v>Observable evidence of usable learning.</x:v>
      </x:c>
    </x:row>
    <x:row r="780">
      <x:c r="A780" s="27" t="str">
        <x:v>E00776</x:v>
      </x:c>
      <x:c r="B780" s="27" t="str">
        <x:v>S11-SEL-01</x:v>
      </x:c>
      <x:c r="C780" s="27" t="str">
        <x:v>Previous node in domain progression</x:v>
      </x:c>
      <x:c r="D780" s="27" t="str">
        <x:v>DOMAIN_SEQUENCE</x:v>
      </x:c>
      <x:c r="E780" s="27" t="str">
        <x:v>S12-SEL-01</x:v>
      </x:c>
      <x:c r="F780" s="27" t="str">
        <x:v>Rules, feelings, and repair</x:v>
      </x:c>
      <x:c r="G780" s="27" t="str">
        <x:v>S12</x:v>
      </x:c>
      <x:c r="H780" s="27" t="str">
        <x:v>Social-Emotional</x:v>
      </x:c>
      <x:c r="I780" s="27" t="str">
        <x:v>SRC18; SRC25</x:v>
      </x:c>
      <x:c r="J780" s="27" t="str">
        <x:v>Ordered spiral link; consult explicit prerequisites for logical dependency.</x:v>
      </x:c>
    </x:row>
    <x:row r="781">
      <x:c r="A781" s="27" t="str">
        <x:v>E00777</x:v>
      </x:c>
      <x:c r="B781" s="27" t="str">
        <x:v>S12-SEL-01:PREREQ</x:v>
      </x:c>
      <x:c r="C781" s="27" t="str">
        <x:v>Emotion knowledge, perspective-taking, and problem-options-choice.</x:v>
      </x:c>
      <x:c r="D781" s="27" t="str">
        <x:v>PREREQUISITE</x:v>
      </x:c>
      <x:c r="E781" s="27" t="str">
        <x:v>S12-SEL-01</x:v>
      </x:c>
      <x:c r="F781" s="27" t="str">
        <x:v>Rules, feelings, and repair</x:v>
      </x:c>
      <x:c r="G781" s="27" t="str">
        <x:v>S12</x:v>
      </x:c>
      <x:c r="H781" s="27" t="str">
        <x:v>Social-Emotional</x:v>
      </x:c>
      <x:c r="I781" s="27" t="str">
        <x:v>SRC18; SRC25</x:v>
      </x:c>
      <x:c r="J781" s="27" t="str">
        <x:v>Incoming prerequisite relationship.</x:v>
      </x:c>
    </x:row>
    <x:row r="782">
      <x:c r="A782" s="27" t="str">
        <x:v>E00778</x:v>
      </x:c>
      <x:c r="B782" s="27" t="str">
        <x:v>S12-SEL-01:GROUND</x:v>
      </x:c>
      <x:c r="C782" s="27" t="str">
        <x:v>G4/G5 — Concrete model linked to coordinated representations</x:v>
      </x:c>
      <x:c r="D782" s="27" t="str">
        <x:v>GROUNDED_BY</x:v>
      </x:c>
      <x:c r="E782" s="27" t="str">
        <x:v>S12-SEL-01</x:v>
      </x:c>
      <x:c r="F782" s="27" t="str">
        <x:v>Rules, feelings, and repair</x:v>
      </x:c>
      <x:c r="G782" s="27" t="str">
        <x:v>S12</x:v>
      </x:c>
      <x:c r="H782" s="27" t="str">
        <x:v>Social-Emotional</x:v>
      </x:c>
      <x:c r="I782" s="27" t="str">
        <x:v>SRC18; SRC25</x:v>
      </x:c>
      <x:c r="J782" s="27" t="str">
        <x:v>Grounding form used to preserve meaning.</x:v>
      </x:c>
    </x:row>
    <x:row r="783">
      <x:c r="A783" s="27" t="str">
        <x:v>E00779</x:v>
      </x:c>
      <x:c r="B783" s="27" t="str">
        <x:v>S12-SEL-01</x:v>
      </x:c>
      <x:c r="C783" s="27" t="str">
        <x:v>Rules, feelings, and repair</x:v>
      </x:c>
      <x:c r="D783" s="27" t="str">
        <x:v>CONNECTS_TO</x:v>
      </x:c>
      <x:c r="E783" s="27" t="str">
        <x:v>S12-SEL-01:CROSS</x:v>
      </x:c>
      <x:c r="F783" s="27" t="str">
        <x:v>Language and communication; health; collaboration in science, arts, civics, and projects; responsible digital/financial decisions.</x:v>
      </x:c>
      <x:c r="G783" s="27" t="str">
        <x:v>S12</x:v>
      </x:c>
      <x:c r="H783" s="27" t="str">
        <x:v>Social-Emotional</x:v>
      </x:c>
      <x:c r="I783" s="27" t="str">
        <x:v>SRC18; SRC25</x:v>
      </x:c>
      <x:c r="J783" s="27" t="str">
        <x:v>Parallel subject and representation links.</x:v>
      </x:c>
    </x:row>
    <x:row r="784">
      <x:c r="A784" s="27" t="str">
        <x:v>E00780</x:v>
      </x:c>
      <x:c r="B784" s="27" t="str">
        <x:v>S12-SEL-01</x:v>
      </x:c>
      <x:c r="C784" s="27" t="str">
        <x:v>Rules, feelings, and repair</x:v>
      </x:c>
      <x:c r="D784" s="27" t="str">
        <x:v>UNLOCKS</x:v>
      </x:c>
      <x:c r="E784" s="27" t="str">
        <x:v>S12-SEL-01:NEXT</x:v>
      </x:c>
      <x:c r="F784" s="27" t="str">
        <x:v>A predictable social process preserves attention and enables collaborative learning.</x:v>
      </x:c>
      <x:c r="G784" s="27" t="str">
        <x:v>S12</x:v>
      </x:c>
      <x:c r="H784" s="27" t="str">
        <x:v>Social-Emotional</x:v>
      </x:c>
      <x:c r="I784" s="27" t="str">
        <x:v>SRC18; SRC25</x:v>
      </x:c>
      <x:c r="J784" s="27" t="str">
        <x:v>Outgoing use and placement rationale.</x:v>
      </x:c>
    </x:row>
    <x:row r="785">
      <x:c r="A785" s="27" t="str">
        <x:v>E00781</x:v>
      </x:c>
      <x:c r="B785" s="27" t="str">
        <x:v>S12-SEL-01</x:v>
      </x:c>
      <x:c r="C785" s="27" t="str">
        <x:v>Rules, feelings, and repair</x:v>
      </x:c>
      <x:c r="D785" s="27" t="str">
        <x:v>VERIFIED_BY</x:v>
      </x:c>
      <x:c r="E785" s="27" t="str">
        <x:v>S12-SEL-01:EVIDENCE</x:v>
      </x:c>
      <x:c r="F785" s="27" t="str">
        <x:v>States the problem, listens to another view, and participates in a workable repair.</x:v>
      </x:c>
      <x:c r="G785" s="27" t="str">
        <x:v>S12</x:v>
      </x:c>
      <x:c r="H785" s="27" t="str">
        <x:v>Social-Emotional</x:v>
      </x:c>
      <x:c r="I785" s="27" t="str">
        <x:v>SRC18; SRC25</x:v>
      </x:c>
      <x:c r="J785" s="27" t="str">
        <x:v>Observable evidence of usable learning.</x:v>
      </x:c>
    </x:row>
    <x:row r="786">
      <x:c r="A786" s="27" t="str">
        <x:v>E00782</x:v>
      </x:c>
      <x:c r="B786" s="27" t="str">
        <x:v>S11-LANG-01</x:v>
      </x:c>
      <x:c r="C786" s="27" t="str">
        <x:v>Previous node in domain progression</x:v>
      </x:c>
      <x:c r="D786" s="27" t="str">
        <x:v>DOMAIN_SEQUENCE</x:v>
      </x:c>
      <x:c r="E786" s="27" t="str">
        <x:v>S12-LANG-01</x:v>
      </x:c>
      <x:c r="F786" s="27" t="str">
        <x:v>Discussion and complete response</x:v>
      </x:c>
      <x:c r="G786" s="27" t="str">
        <x:v>S12</x:v>
      </x:c>
      <x:c r="H786" s="27" t="str">
        <x:v>Language &amp; Communication</x:v>
      </x:c>
      <x:c r="I786" s="27" t="str">
        <x:v>SRC10; SRC25</x:v>
      </x:c>
      <x:c r="J786" s="27" t="str">
        <x:v>Ordered spiral link; consult explicit prerequisites for logical dependency.</x:v>
      </x:c>
    </x:row>
    <x:row r="787">
      <x:c r="A787" s="27" t="str">
        <x:v>E00783</x:v>
      </x:c>
      <x:c r="B787" s="27" t="str">
        <x:v>S12-LANG-01:PREREQ</x:v>
      </x:c>
      <x:c r="C787" s="27" t="str">
        <x:v>Detailed oral sentences, vocabulary networks, and turn-taking.</x:v>
      </x:c>
      <x:c r="D787" s="27" t="str">
        <x:v>PREREQUISITE</x:v>
      </x:c>
      <x:c r="E787" s="27" t="str">
        <x:v>S12-LANG-01</x:v>
      </x:c>
      <x:c r="F787" s="27" t="str">
        <x:v>Discussion and complete response</x:v>
      </x:c>
      <x:c r="G787" s="27" t="str">
        <x:v>S12</x:v>
      </x:c>
      <x:c r="H787" s="27" t="str">
        <x:v>Language &amp; Communication</x:v>
      </x:c>
      <x:c r="I787" s="27" t="str">
        <x:v>SRC10; SRC25</x:v>
      </x:c>
      <x:c r="J787" s="27" t="str">
        <x:v>Incoming prerequisite relationship.</x:v>
      </x:c>
    </x:row>
    <x:row r="788">
      <x:c r="A788" s="27" t="str">
        <x:v>E00784</x:v>
      </x:c>
      <x:c r="B788" s="27" t="str">
        <x:v>S12-LANG-01:GROUND</x:v>
      </x:c>
      <x:c r="C788" s="27" t="str">
        <x:v>G4/G5 — Concrete model linked to coordinated representations</x:v>
      </x:c>
      <x:c r="D788" s="27" t="str">
        <x:v>GROUNDED_BY</x:v>
      </x:c>
      <x:c r="E788" s="27" t="str">
        <x:v>S12-LANG-01</x:v>
      </x:c>
      <x:c r="F788" s="27" t="str">
        <x:v>Discussion and complete response</x:v>
      </x:c>
      <x:c r="G788" s="27" t="str">
        <x:v>S12</x:v>
      </x:c>
      <x:c r="H788" s="27" t="str">
        <x:v>Language &amp; Communication</x:v>
      </x:c>
      <x:c r="I788" s="27" t="str">
        <x:v>SRC10; SRC25</x:v>
      </x:c>
      <x:c r="J788" s="27" t="str">
        <x:v>Grounding form used to preserve meaning.</x:v>
      </x:c>
    </x:row>
    <x:row r="789">
      <x:c r="A789" s="27" t="str">
        <x:v>E00785</x:v>
      </x:c>
      <x:c r="B789" s="27" t="str">
        <x:v>S12-LANG-01</x:v>
      </x:c>
      <x:c r="C789" s="27" t="str">
        <x:v>Discussion and complete response</x:v>
      </x:c>
      <x:c r="D789" s="27" t="str">
        <x:v>CONNECTS_TO</x:v>
      </x:c>
      <x:c r="E789" s="27" t="str">
        <x:v>S12-LANG-01:CROSS</x:v>
      </x:c>
      <x:c r="F789" s="27" t="str">
        <x:v>Reading and writing; vocabulary for math/science/social studies; discussion, music prosody, and world-language learning.</x:v>
      </x:c>
      <x:c r="G789" s="27" t="str">
        <x:v>S12</x:v>
      </x:c>
      <x:c r="H789" s="27" t="str">
        <x:v>Language &amp; Communication</x:v>
      </x:c>
      <x:c r="I789" s="27" t="str">
        <x:v>SRC10; SRC25</x:v>
      </x:c>
      <x:c r="J789" s="27" t="str">
        <x:v>Parallel subject and representation links.</x:v>
      </x:c>
    </x:row>
    <x:row r="790">
      <x:c r="A790" s="27" t="str">
        <x:v>E00786</x:v>
      </x:c>
      <x:c r="B790" s="27" t="str">
        <x:v>S12-LANG-01</x:v>
      </x:c>
      <x:c r="C790" s="27" t="str">
        <x:v>Discussion and complete response</x:v>
      </x:c>
      <x:c r="D790" s="27" t="str">
        <x:v>UNLOCKS</x:v>
      </x:c>
      <x:c r="E790" s="27" t="str">
        <x:v>S12-LANG-01:NEXT</x:v>
      </x:c>
      <x:c r="F790" s="27" t="str">
        <x:v>Complete oral responses rehearse the language structures later used in reading and writing.</x:v>
      </x:c>
      <x:c r="G790" s="27" t="str">
        <x:v>S12</x:v>
      </x:c>
      <x:c r="H790" s="27" t="str">
        <x:v>Language &amp; Communication</x:v>
      </x:c>
      <x:c r="I790" s="27" t="str">
        <x:v>SRC10; SRC25</x:v>
      </x:c>
      <x:c r="J790" s="27" t="str">
        <x:v>Outgoing use and placement rationale.</x:v>
      </x:c>
    </x:row>
    <x:row r="791">
      <x:c r="A791" s="27" t="str">
        <x:v>E00787</x:v>
      </x:c>
      <x:c r="B791" s="27" t="str">
        <x:v>S12-LANG-01</x:v>
      </x:c>
      <x:c r="C791" s="27" t="str">
        <x:v>Discussion and complete response</x:v>
      </x:c>
      <x:c r="D791" s="27" t="str">
        <x:v>VERIFIED_BY</x:v>
      </x:c>
      <x:c r="E791" s="27" t="str">
        <x:v>S12-LANG-01:EVIDENCE</x:v>
      </x:c>
      <x:c r="F791" s="27" t="str">
        <x:v>Answers and asks on-topic questions during a short group discussion.</x:v>
      </x:c>
      <x:c r="G791" s="27" t="str">
        <x:v>S12</x:v>
      </x:c>
      <x:c r="H791" s="27" t="str">
        <x:v>Language &amp; Communication</x:v>
      </x:c>
      <x:c r="I791" s="27" t="str">
        <x:v>SRC10; SRC25</x:v>
      </x:c>
      <x:c r="J791" s="27" t="str">
        <x:v>Observable evidence of usable learning.</x:v>
      </x:c>
    </x:row>
    <x:row r="792">
      <x:c r="A792" s="27" t="str">
        <x:v>E00788</x:v>
      </x:c>
      <x:c r="B792" s="27" t="str">
        <x:v>S11-READ-04</x:v>
      </x:c>
      <x:c r="C792" s="27" t="str">
        <x:v>Previous node in domain progression</x:v>
      </x:c>
      <x:c r="D792" s="27" t="str">
        <x:v>DOMAIN_SEQUENCE</x:v>
      </x:c>
      <x:c r="E792" s="27" t="str">
        <x:v>S12-READ-01</x:v>
      </x:c>
      <x:c r="F792" s="27" t="str">
        <x:v>Word, sentence, spacing, and direction</x:v>
      </x:c>
      <x:c r="G792" s="27" t="str">
        <x:v>S12</x:v>
      </x:c>
      <x:c r="H792" s="27" t="str">
        <x:v>Reading</x:v>
      </x:c>
      <x:c r="I792" s="27" t="str">
        <x:v>SRC08; SRC10</x:v>
      </x:c>
      <x:c r="J792" s="27" t="str">
        <x:v>Ordered spiral link; consult explicit prerequisites for logical dependency.</x:v>
      </x:c>
    </x:row>
    <x:row r="793">
      <x:c r="A793" s="27" t="str">
        <x:v>E00789</x:v>
      </x:c>
      <x:c r="B793" s="27" t="str">
        <x:v>S12-READ-01:PREREQ</x:v>
      </x:c>
      <x:c r="C793" s="27" t="str">
        <x:v>Print carries language and book handling.</x:v>
      </x:c>
      <x:c r="D793" s="27" t="str">
        <x:v>PREREQUISITE</x:v>
      </x:c>
      <x:c r="E793" s="27" t="str">
        <x:v>S12-READ-01</x:v>
      </x:c>
      <x:c r="F793" s="27" t="str">
        <x:v>Word, sentence, spacing, and direction</x:v>
      </x:c>
      <x:c r="G793" s="27" t="str">
        <x:v>S12</x:v>
      </x:c>
      <x:c r="H793" s="27" t="str">
        <x:v>Reading</x:v>
      </x:c>
      <x:c r="I793" s="27" t="str">
        <x:v>SRC08; SRC10</x:v>
      </x:c>
      <x:c r="J793" s="27" t="str">
        <x:v>Incoming prerequisite relationship.</x:v>
      </x:c>
    </x:row>
    <x:row r="794">
      <x:c r="A794" s="27" t="str">
        <x:v>E00790</x:v>
      </x:c>
      <x:c r="B794" s="27" t="str">
        <x:v>S12-READ-01:GROUND</x:v>
      </x:c>
      <x:c r="C794" s="27" t="str">
        <x:v>G4/G5 — Concrete model linked to coordinated representations</x:v>
      </x:c>
      <x:c r="D794" s="27" t="str">
        <x:v>GROUNDED_BY</x:v>
      </x:c>
      <x:c r="E794" s="27" t="str">
        <x:v>S12-READ-01</x:v>
      </x:c>
      <x:c r="F794" s="27" t="str">
        <x:v>Word, sentence, spacing, and direction</x:v>
      </x:c>
      <x:c r="G794" s="27" t="str">
        <x:v>S12</x:v>
      </x:c>
      <x:c r="H794" s="27" t="str">
        <x:v>Reading</x:v>
      </x:c>
      <x:c r="I794" s="27" t="str">
        <x:v>SRC08; SRC10</x:v>
      </x:c>
      <x:c r="J794" s="27" t="str">
        <x:v>Grounding form used to preserve meaning.</x:v>
      </x:c>
    </x:row>
    <x:row r="795">
      <x:c r="A795" s="27" t="str">
        <x:v>E00791</x:v>
      </x:c>
      <x:c r="B795" s="27" t="str">
        <x:v>S12-READ-01</x:v>
      </x:c>
      <x:c r="C795" s="27" t="str">
        <x:v>Word, sentence, spacing, and direction</x:v>
      </x:c>
      <x:c r="D795" s="27" t="str">
        <x:v>CONNECTS_TO</x:v>
      </x:c>
      <x:c r="E795" s="27" t="str">
        <x:v>S12-READ-01:CROSS</x:v>
      </x:c>
      <x:c r="F795" s="27" t="str">
        <x:v>Oral language and writing; evidence in science/social studies; mathematical and technical problem interpretation; media verification.</x:v>
      </x:c>
      <x:c r="G795" s="27" t="str">
        <x:v>S12</x:v>
      </x:c>
      <x:c r="H795" s="27" t="str">
        <x:v>Reading</x:v>
      </x:c>
      <x:c r="I795" s="27" t="str">
        <x:v>SRC08; SRC10</x:v>
      </x:c>
      <x:c r="J795" s="27" t="str">
        <x:v>Parallel subject and representation links.</x:v>
      </x:c>
    </x:row>
    <x:row r="796">
      <x:c r="A796" s="27" t="str">
        <x:v>E00792</x:v>
      </x:c>
      <x:c r="B796" s="27" t="str">
        <x:v>S12-READ-01</x:v>
      </x:c>
      <x:c r="C796" s="27" t="str">
        <x:v>Word, sentence, spacing, and direction</x:v>
      </x:c>
      <x:c r="D796" s="27" t="str">
        <x:v>UNLOCKS</x:v>
      </x:c>
      <x:c r="E796" s="27" t="str">
        <x:v>S12-READ-01:NEXT</x:v>
      </x:c>
      <x:c r="F796" s="27" t="str">
        <x:v>Locating word boundaries and print order is necessary for matching speech to text.</x:v>
      </x:c>
      <x:c r="G796" s="27" t="str">
        <x:v>S12</x:v>
      </x:c>
      <x:c r="H796" s="27" t="str">
        <x:v>Reading</x:v>
      </x:c>
      <x:c r="I796" s="27" t="str">
        <x:v>SRC08; SRC10</x:v>
      </x:c>
      <x:c r="J796" s="27" t="str">
        <x:v>Outgoing use and placement rationale.</x:v>
      </x:c>
    </x:row>
    <x:row r="797">
      <x:c r="A797" s="27" t="str">
        <x:v>E00793</x:v>
      </x:c>
      <x:c r="B797" s="27" t="str">
        <x:v>S12-READ-01</x:v>
      </x:c>
      <x:c r="C797" s="27" t="str">
        <x:v>Word, sentence, spacing, and direction</x:v>
      </x:c>
      <x:c r="D797" s="27" t="str">
        <x:v>VERIFIED_BY</x:v>
      </x:c>
      <x:c r="E797" s="27" t="str">
        <x:v>S12-READ-01:EVIDENCE</x:v>
      </x:c>
      <x:c r="F797" s="27" t="str">
        <x:v>Tracks a short sentence and points to a requested word or boundary.</x:v>
      </x:c>
      <x:c r="G797" s="27" t="str">
        <x:v>S12</x:v>
      </x:c>
      <x:c r="H797" s="27" t="str">
        <x:v>Reading</x:v>
      </x:c>
      <x:c r="I797" s="27" t="str">
        <x:v>SRC08; SRC10</x:v>
      </x:c>
      <x:c r="J797" s="27" t="str">
        <x:v>Observable evidence of usable learning.</x:v>
      </x:c>
    </x:row>
    <x:row r="798">
      <x:c r="A798" s="27" t="str">
        <x:v>E00794</x:v>
      </x:c>
      <x:c r="B798" s="27" t="str">
        <x:v>S12-READ-01</x:v>
      </x:c>
      <x:c r="C798" s="27" t="str">
        <x:v>Previous node in domain progression</x:v>
      </x:c>
      <x:c r="D798" s="27" t="str">
        <x:v>DOMAIN_SEQUENCE</x:v>
      </x:c>
      <x:c r="E798" s="27" t="str">
        <x:v>S12-READ-02</x:v>
      </x:c>
      <x:c r="F798" s="27" t="str">
        <x:v>Phoneme isolation, blending, and segmentation</x:v>
      </x:c>
      <x:c r="G798" s="27" t="str">
        <x:v>S12</x:v>
      </x:c>
      <x:c r="H798" s="27" t="str">
        <x:v>Reading</x:v>
      </x:c>
      <x:c r="I798" s="27" t="str">
        <x:v>SRC08; SRC10</x:v>
      </x:c>
      <x:c r="J798" s="27" t="str">
        <x:v>Ordered spiral link; consult explicit prerequisites for logical dependency.</x:v>
      </x:c>
    </x:row>
    <x:row r="799">
      <x:c r="A799" s="27" t="str">
        <x:v>E00795</x:v>
      </x:c>
      <x:c r="B799" s="27" t="str">
        <x:v>S12-READ-02:PREREQ</x:v>
      </x:c>
      <x:c r="C799" s="27" t="str">
        <x:v>Rhyme/onset work, oral blending introduction, and clear spoken vocabulary.</x:v>
      </x:c>
      <x:c r="D799" s="27" t="str">
        <x:v>PREREQUISITE</x:v>
      </x:c>
      <x:c r="E799" s="27" t="str">
        <x:v>S12-READ-02</x:v>
      </x:c>
      <x:c r="F799" s="27" t="str">
        <x:v>Phoneme isolation, blending, and segmentation</x:v>
      </x:c>
      <x:c r="G799" s="27" t="str">
        <x:v>S12</x:v>
      </x:c>
      <x:c r="H799" s="27" t="str">
        <x:v>Reading</x:v>
      </x:c>
      <x:c r="I799" s="27" t="str">
        <x:v>SRC08; SRC10</x:v>
      </x:c>
      <x:c r="J799" s="27" t="str">
        <x:v>Incoming prerequisite relationship.</x:v>
      </x:c>
    </x:row>
    <x:row r="800">
      <x:c r="A800" s="27" t="str">
        <x:v>E00796</x:v>
      </x:c>
      <x:c r="B800" s="27" t="str">
        <x:v>S12-READ-02:GROUND</x:v>
      </x:c>
      <x:c r="C800" s="27" t="str">
        <x:v>G4/G5 — Concrete model linked to coordinated representations</x:v>
      </x:c>
      <x:c r="D800" s="27" t="str">
        <x:v>GROUNDED_BY</x:v>
      </x:c>
      <x:c r="E800" s="27" t="str">
        <x:v>S12-READ-02</x:v>
      </x:c>
      <x:c r="F800" s="27" t="str">
        <x:v>Phoneme isolation, blending, and segmentation</x:v>
      </x:c>
      <x:c r="G800" s="27" t="str">
        <x:v>S12</x:v>
      </x:c>
      <x:c r="H800" s="27" t="str">
        <x:v>Reading</x:v>
      </x:c>
      <x:c r="I800" s="27" t="str">
        <x:v>SRC08; SRC10</x:v>
      </x:c>
      <x:c r="J800" s="27" t="str">
        <x:v>Grounding form used to preserve meaning.</x:v>
      </x:c>
    </x:row>
    <x:row r="801">
      <x:c r="A801" s="27" t="str">
        <x:v>E00797</x:v>
      </x:c>
      <x:c r="B801" s="27" t="str">
        <x:v>S12-READ-02</x:v>
      </x:c>
      <x:c r="C801" s="27" t="str">
        <x:v>Phoneme isolation, blending, and segmentation</x:v>
      </x:c>
      <x:c r="D801" s="27" t="str">
        <x:v>CONNECTS_TO</x:v>
      </x:c>
      <x:c r="E801" s="27" t="str">
        <x:v>S12-READ-02:CROSS</x:v>
      </x:c>
      <x:c r="F801" s="27" t="str">
        <x:v>Oral language and writing; evidence in science/social studies; mathematical and technical problem interpretation; media verification.</x:v>
      </x:c>
      <x:c r="G801" s="27" t="str">
        <x:v>S12</x:v>
      </x:c>
      <x:c r="H801" s="27" t="str">
        <x:v>Reading</x:v>
      </x:c>
      <x:c r="I801" s="27" t="str">
        <x:v>SRC08; SRC10</x:v>
      </x:c>
      <x:c r="J801" s="27" t="str">
        <x:v>Parallel subject and representation links.</x:v>
      </x:c>
    </x:row>
    <x:row r="802">
      <x:c r="A802" s="27" t="str">
        <x:v>E00798</x:v>
      </x:c>
      <x:c r="B802" s="27" t="str">
        <x:v>S12-READ-02</x:v>
      </x:c>
      <x:c r="C802" s="27" t="str">
        <x:v>Phoneme isolation, blending, and segmentation</x:v>
      </x:c>
      <x:c r="D802" s="27" t="str">
        <x:v>UNLOCKS</x:v>
      </x:c>
      <x:c r="E802" s="27" t="str">
        <x:v>S12-READ-02:NEXT</x:v>
      </x:c>
      <x:c r="F802" s="27" t="str">
        <x:v>Blending supports decoding and segmentation supports spelling; both make the alphabetic principle usable.</x:v>
      </x:c>
      <x:c r="G802" s="27" t="str">
        <x:v>S12</x:v>
      </x:c>
      <x:c r="H802" s="27" t="str">
        <x:v>Reading</x:v>
      </x:c>
      <x:c r="I802" s="27" t="str">
        <x:v>SRC08; SRC10</x:v>
      </x:c>
      <x:c r="J802" s="27" t="str">
        <x:v>Outgoing use and placement rationale.</x:v>
      </x:c>
    </x:row>
    <x:row r="803">
      <x:c r="A803" s="27" t="str">
        <x:v>E00799</x:v>
      </x:c>
      <x:c r="B803" s="27" t="str">
        <x:v>S12-READ-02</x:v>
      </x:c>
      <x:c r="C803" s="27" t="str">
        <x:v>Phoneme isolation, blending, and segmentation</x:v>
      </x:c>
      <x:c r="D803" s="27" t="str">
        <x:v>VERIFIED_BY</x:v>
      </x:c>
      <x:c r="E803" s="27" t="str">
        <x:v>S12-READ-02:EVIDENCE</x:v>
      </x:c>
      <x:c r="F803" s="27" t="str">
        <x:v>Orally blends and segments taught simple words without print.</x:v>
      </x:c>
      <x:c r="G803" s="27" t="str">
        <x:v>S12</x:v>
      </x:c>
      <x:c r="H803" s="27" t="str">
        <x:v>Reading</x:v>
      </x:c>
      <x:c r="I803" s="27" t="str">
        <x:v>SRC08; SRC10</x:v>
      </x:c>
      <x:c r="J803" s="27" t="str">
        <x:v>Observable evidence of usable learning.</x:v>
      </x:c>
    </x:row>
    <x:row r="804">
      <x:c r="A804" s="27" t="str">
        <x:v>E00800</x:v>
      </x:c>
      <x:c r="B804" s="27" t="str">
        <x:v>S12-READ-02</x:v>
      </x:c>
      <x:c r="C804" s="27" t="str">
        <x:v>Previous node in domain progression</x:v>
      </x:c>
      <x:c r="D804" s="27" t="str">
        <x:v>DOMAIN_SEQUENCE</x:v>
      </x:c>
      <x:c r="E804" s="27" t="str">
        <x:v>S12-READ-03</x:v>
      </x:c>
      <x:c r="F804" s="27" t="str">
        <x:v>Alphabetic principle</x:v>
      </x:c>
      <x:c r="G804" s="27" t="str">
        <x:v>S12</x:v>
      </x:c>
      <x:c r="H804" s="27" t="str">
        <x:v>Reading</x:v>
      </x:c>
      <x:c r="I804" s="27" t="str">
        <x:v>SRC08; SRC10</x:v>
      </x:c>
      <x:c r="J804" s="27" t="str">
        <x:v>Ordered spiral link; consult explicit prerequisites for logical dependency.</x:v>
      </x:c>
    </x:row>
    <x:row r="805">
      <x:c r="A805" s="27" t="str">
        <x:v>E00801</x:v>
      </x:c>
      <x:c r="B805" s="27" t="str">
        <x:v>S12-READ-03:PREREQ</x:v>
      </x:c>
      <x:c r="C805" s="27" t="str">
        <x:v>Letter identity and phoneme awareness.</x:v>
      </x:c>
      <x:c r="D805" s="27" t="str">
        <x:v>PREREQUISITE</x:v>
      </x:c>
      <x:c r="E805" s="27" t="str">
        <x:v>S12-READ-03</x:v>
      </x:c>
      <x:c r="F805" s="27" t="str">
        <x:v>Alphabetic principle</x:v>
      </x:c>
      <x:c r="G805" s="27" t="str">
        <x:v>S12</x:v>
      </x:c>
      <x:c r="H805" s="27" t="str">
        <x:v>Reading</x:v>
      </x:c>
      <x:c r="I805" s="27" t="str">
        <x:v>SRC08; SRC10</x:v>
      </x:c>
      <x:c r="J805" s="27" t="str">
        <x:v>Incoming prerequisite relationship.</x:v>
      </x:c>
    </x:row>
    <x:row r="806">
      <x:c r="A806" s="27" t="str">
        <x:v>E00802</x:v>
      </x:c>
      <x:c r="B806" s="27" t="str">
        <x:v>S12-READ-03:GROUND</x:v>
      </x:c>
      <x:c r="C806" s="27" t="str">
        <x:v>G4/G5 — Concrete model linked to coordinated representations</x:v>
      </x:c>
      <x:c r="D806" s="27" t="str">
        <x:v>GROUNDED_BY</x:v>
      </x:c>
      <x:c r="E806" s="27" t="str">
        <x:v>S12-READ-03</x:v>
      </x:c>
      <x:c r="F806" s="27" t="str">
        <x:v>Alphabetic principle</x:v>
      </x:c>
      <x:c r="G806" s="27" t="str">
        <x:v>S12</x:v>
      </x:c>
      <x:c r="H806" s="27" t="str">
        <x:v>Reading</x:v>
      </x:c>
      <x:c r="I806" s="27" t="str">
        <x:v>SRC08; SRC10</x:v>
      </x:c>
      <x:c r="J806" s="27" t="str">
        <x:v>Grounding form used to preserve meaning.</x:v>
      </x:c>
    </x:row>
    <x:row r="807">
      <x:c r="A807" s="27" t="str">
        <x:v>E00803</x:v>
      </x:c>
      <x:c r="B807" s="27" t="str">
        <x:v>S12-READ-03</x:v>
      </x:c>
      <x:c r="C807" s="27" t="str">
        <x:v>Alphabetic principle</x:v>
      </x:c>
      <x:c r="D807" s="27" t="str">
        <x:v>CONNECTS_TO</x:v>
      </x:c>
      <x:c r="E807" s="27" t="str">
        <x:v>S12-READ-03:CROSS</x:v>
      </x:c>
      <x:c r="F807" s="27" t="str">
        <x:v>Oral language and writing; evidence in science/social studies; mathematical and technical problem interpretation; media verification.</x:v>
      </x:c>
      <x:c r="G807" s="27" t="str">
        <x:v>S12</x:v>
      </x:c>
      <x:c r="H807" s="27" t="str">
        <x:v>Reading</x:v>
      </x:c>
      <x:c r="I807" s="27" t="str">
        <x:v>SRC08; SRC10</x:v>
      </x:c>
      <x:c r="J807" s="27" t="str">
        <x:v>Parallel subject and representation links.</x:v>
      </x:c>
    </x:row>
    <x:row r="808">
      <x:c r="A808" s="27" t="str">
        <x:v>E00804</x:v>
      </x:c>
      <x:c r="B808" s="27" t="str">
        <x:v>S12-READ-03</x:v>
      </x:c>
      <x:c r="C808" s="27" t="str">
        <x:v>Alphabetic principle</x:v>
      </x:c>
      <x:c r="D808" s="27" t="str">
        <x:v>UNLOCKS</x:v>
      </x:c>
      <x:c r="E808" s="27" t="str">
        <x:v>S12-READ-03:NEXT</x:v>
      </x:c>
      <x:c r="F808" s="27" t="str">
        <x:v>The alphabetic principle converts speech knowledge into a generative reading system.</x:v>
      </x:c>
      <x:c r="G808" s="27" t="str">
        <x:v>S12</x:v>
      </x:c>
      <x:c r="H808" s="27" t="str">
        <x:v>Reading</x:v>
      </x:c>
      <x:c r="I808" s="27" t="str">
        <x:v>SRC08; SRC10</x:v>
      </x:c>
      <x:c r="J808" s="27" t="str">
        <x:v>Outgoing use and placement rationale.</x:v>
      </x:c>
    </x:row>
    <x:row r="809">
      <x:c r="A809" s="27" t="str">
        <x:v>E00805</x:v>
      </x:c>
      <x:c r="B809" s="27" t="str">
        <x:v>S12-READ-03</x:v>
      </x:c>
      <x:c r="C809" s="27" t="str">
        <x:v>Alphabetic principle</x:v>
      </x:c>
      <x:c r="D809" s="27" t="str">
        <x:v>VERIFIED_BY</x:v>
      </x:c>
      <x:c r="E809" s="27" t="str">
        <x:v>S12-READ-03:EVIDENCE</x:v>
      </x:c>
      <x:c r="F809" s="27" t="str">
        <x:v>Gives common letter sounds and maps a simple spoken sound sequence to letters.</x:v>
      </x:c>
      <x:c r="G809" s="27" t="str">
        <x:v>S12</x:v>
      </x:c>
      <x:c r="H809" s="27" t="str">
        <x:v>Reading</x:v>
      </x:c>
      <x:c r="I809" s="27" t="str">
        <x:v>SRC08; SRC10</x:v>
      </x:c>
      <x:c r="J809" s="27" t="str">
        <x:v>Observable evidence of usable learning.</x:v>
      </x:c>
    </x:row>
    <x:row r="810">
      <x:c r="A810" s="27" t="str">
        <x:v>E00806</x:v>
      </x:c>
      <x:c r="B810" s="27" t="str">
        <x:v>S12-READ-03</x:v>
      </x:c>
      <x:c r="C810" s="27" t="str">
        <x:v>Previous node in domain progression</x:v>
      </x:c>
      <x:c r="D810" s="27" t="str">
        <x:v>DOMAIN_SEQUENCE</x:v>
      </x:c>
      <x:c r="E810" s="27" t="str">
        <x:v>S12-READ-04</x:v>
      </x:c>
      <x:c r="F810" s="27" t="str">
        <x:v>CVC and simple word decoding</x:v>
      </x:c>
      <x:c r="G810" s="27" t="str">
        <x:v>S12</x:v>
      </x:c>
      <x:c r="H810" s="27" t="str">
        <x:v>Reading</x:v>
      </x:c>
      <x:c r="I810" s="27" t="str">
        <x:v>SRC08; SRC10</x:v>
      </x:c>
      <x:c r="J810" s="27" t="str">
        <x:v>Ordered spiral link; consult explicit prerequisites for logical dependency.</x:v>
      </x:c>
    </x:row>
    <x:row r="811">
      <x:c r="A811" s="27" t="str">
        <x:v>E00807</x:v>
      </x:c>
      <x:c r="B811" s="27" t="str">
        <x:v>S12-READ-04:PREREQ</x:v>
      </x:c>
      <x:c r="C811" s="27" t="str">
        <x:v>Phoneme blending and letter-sound correspondences.</x:v>
      </x:c>
      <x:c r="D811" s="27" t="str">
        <x:v>PREREQUISITE</x:v>
      </x:c>
      <x:c r="E811" s="27" t="str">
        <x:v>S12-READ-04</x:v>
      </x:c>
      <x:c r="F811" s="27" t="str">
        <x:v>CVC and simple word decoding</x:v>
      </x:c>
      <x:c r="G811" s="27" t="str">
        <x:v>S12</x:v>
      </x:c>
      <x:c r="H811" s="27" t="str">
        <x:v>Reading</x:v>
      </x:c>
      <x:c r="I811" s="27" t="str">
        <x:v>SRC08; SRC10</x:v>
      </x:c>
      <x:c r="J811" s="27" t="str">
        <x:v>Incoming prerequisite relationship.</x:v>
      </x:c>
    </x:row>
    <x:row r="812">
      <x:c r="A812" s="27" t="str">
        <x:v>E00808</x:v>
      </x:c>
      <x:c r="B812" s="27" t="str">
        <x:v>S12-READ-04:GROUND</x:v>
      </x:c>
      <x:c r="C812" s="27" t="str">
        <x:v>G4/G5 — Concrete model linked to coordinated representations</x:v>
      </x:c>
      <x:c r="D812" s="27" t="str">
        <x:v>GROUNDED_BY</x:v>
      </x:c>
      <x:c r="E812" s="27" t="str">
        <x:v>S12-READ-04</x:v>
      </x:c>
      <x:c r="F812" s="27" t="str">
        <x:v>CVC and simple word decoding</x:v>
      </x:c>
      <x:c r="G812" s="27" t="str">
        <x:v>S12</x:v>
      </x:c>
      <x:c r="H812" s="27" t="str">
        <x:v>Reading</x:v>
      </x:c>
      <x:c r="I812" s="27" t="str">
        <x:v>SRC08; SRC10</x:v>
      </x:c>
      <x:c r="J812" s="27" t="str">
        <x:v>Grounding form used to preserve meaning.</x:v>
      </x:c>
    </x:row>
    <x:row r="813">
      <x:c r="A813" s="27" t="str">
        <x:v>E00809</x:v>
      </x:c>
      <x:c r="B813" s="27" t="str">
        <x:v>S12-READ-04</x:v>
      </x:c>
      <x:c r="C813" s="27" t="str">
        <x:v>CVC and simple word decoding</x:v>
      </x:c>
      <x:c r="D813" s="27" t="str">
        <x:v>CONNECTS_TO</x:v>
      </x:c>
      <x:c r="E813" s="27" t="str">
        <x:v>S12-READ-04:CROSS</x:v>
      </x:c>
      <x:c r="F813" s="27" t="str">
        <x:v>Oral language and writing; evidence in science/social studies; mathematical and technical problem interpretation; media verification.</x:v>
      </x:c>
      <x:c r="G813" s="27" t="str">
        <x:v>S12</x:v>
      </x:c>
      <x:c r="H813" s="27" t="str">
        <x:v>Reading</x:v>
      </x:c>
      <x:c r="I813" s="27" t="str">
        <x:v>SRC08; SRC10</x:v>
      </x:c>
      <x:c r="J813" s="27" t="str">
        <x:v>Parallel subject and representation links.</x:v>
      </x:c>
    </x:row>
    <x:row r="814">
      <x:c r="A814" s="27" t="str">
        <x:v>E00810</x:v>
      </x:c>
      <x:c r="B814" s="27" t="str">
        <x:v>S12-READ-04</x:v>
      </x:c>
      <x:c r="C814" s="27" t="str">
        <x:v>CVC and simple word decoding</x:v>
      </x:c>
      <x:c r="D814" s="27" t="str">
        <x:v>UNLOCKS</x:v>
      </x:c>
      <x:c r="E814" s="27" t="str">
        <x:v>S12-READ-04:NEXT</x:v>
      </x:c>
      <x:c r="F814" s="27" t="str">
        <x:v>Successful blending establishes a procedure for unfamiliar words rather than reliance on visual guessing.</x:v>
      </x:c>
      <x:c r="G814" s="27" t="str">
        <x:v>S12</x:v>
      </x:c>
      <x:c r="H814" s="27" t="str">
        <x:v>Reading</x:v>
      </x:c>
      <x:c r="I814" s="27" t="str">
        <x:v>SRC08; SRC10</x:v>
      </x:c>
      <x:c r="J814" s="27" t="str">
        <x:v>Outgoing use and placement rationale.</x:v>
      </x:c>
    </x:row>
    <x:row r="815">
      <x:c r="A815" s="27" t="str">
        <x:v>E00811</x:v>
      </x:c>
      <x:c r="B815" s="27" t="str">
        <x:v>S12-READ-04</x:v>
      </x:c>
      <x:c r="C815" s="27" t="str">
        <x:v>CVC and simple word decoding</x:v>
      </x:c>
      <x:c r="D815" s="27" t="str">
        <x:v>VERIFIED_BY</x:v>
      </x:c>
      <x:c r="E815" s="27" t="str">
        <x:v>S12-READ-04:EVIDENCE</x:v>
      </x:c>
      <x:c r="F815" s="27" t="str">
        <x:v>Reads a mixed list of taught regular words and checks the result against pronunciation and meaning.</x:v>
      </x:c>
      <x:c r="G815" s="27" t="str">
        <x:v>S12</x:v>
      </x:c>
      <x:c r="H815" s="27" t="str">
        <x:v>Reading</x:v>
      </x:c>
      <x:c r="I815" s="27" t="str">
        <x:v>SRC08; SRC10</x:v>
      </x:c>
      <x:c r="J815" s="27" t="str">
        <x:v>Observable evidence of usable learning.</x:v>
      </x:c>
    </x:row>
    <x:row r="816">
      <x:c r="A816" s="27" t="str">
        <x:v>E00812</x:v>
      </x:c>
      <x:c r="B816" s="27" t="str">
        <x:v>S12-READ-04</x:v>
      </x:c>
      <x:c r="C816" s="27" t="str">
        <x:v>Previous node in domain progression</x:v>
      </x:c>
      <x:c r="D816" s="27" t="str">
        <x:v>DOMAIN_SEQUENCE</x:v>
      </x:c>
      <x:c r="E816" s="27" t="str">
        <x:v>S12-READ-05</x:v>
      </x:c>
      <x:c r="F816" s="27" t="str">
        <x:v>High-frequency irregular word mapping</x:v>
      </x:c>
      <x:c r="G816" s="27" t="str">
        <x:v>S12</x:v>
      </x:c>
      <x:c r="H816" s="27" t="str">
        <x:v>Reading</x:v>
      </x:c>
      <x:c r="I816" s="27" t="str">
        <x:v>SRC08; SRC10</x:v>
      </x:c>
      <x:c r="J816" s="27" t="str">
        <x:v>Ordered spiral link; consult explicit prerequisites for logical dependency.</x:v>
      </x:c>
    </x:row>
    <x:row r="817">
      <x:c r="A817" s="27" t="str">
        <x:v>E00813</x:v>
      </x:c>
      <x:c r="B817" s="27" t="str">
        <x:v>S12-READ-05:PREREQ</x:v>
      </x:c>
      <x:c r="C817" s="27" t="str">
        <x:v>Phoneme awareness, letter knowledge, and partial decoding.</x:v>
      </x:c>
      <x:c r="D817" s="27" t="str">
        <x:v>PREREQUISITE</x:v>
      </x:c>
      <x:c r="E817" s="27" t="str">
        <x:v>S12-READ-05</x:v>
      </x:c>
      <x:c r="F817" s="27" t="str">
        <x:v>High-frequency irregular word mapping</x:v>
      </x:c>
      <x:c r="G817" s="27" t="str">
        <x:v>S12</x:v>
      </x:c>
      <x:c r="H817" s="27" t="str">
        <x:v>Reading</x:v>
      </x:c>
      <x:c r="I817" s="27" t="str">
        <x:v>SRC08; SRC10</x:v>
      </x:c>
      <x:c r="J817" s="27" t="str">
        <x:v>Incoming prerequisite relationship.</x:v>
      </x:c>
    </x:row>
    <x:row r="818">
      <x:c r="A818" s="27" t="str">
        <x:v>E00814</x:v>
      </x:c>
      <x:c r="B818" s="27" t="str">
        <x:v>S12-READ-05:GROUND</x:v>
      </x:c>
      <x:c r="C818" s="27" t="str">
        <x:v>G4/G5 — Concrete model linked to coordinated representations</x:v>
      </x:c>
      <x:c r="D818" s="27" t="str">
        <x:v>GROUNDED_BY</x:v>
      </x:c>
      <x:c r="E818" s="27" t="str">
        <x:v>S12-READ-05</x:v>
      </x:c>
      <x:c r="F818" s="27" t="str">
        <x:v>High-frequency irregular word mapping</x:v>
      </x:c>
      <x:c r="G818" s="27" t="str">
        <x:v>S12</x:v>
      </x:c>
      <x:c r="H818" s="27" t="str">
        <x:v>Reading</x:v>
      </x:c>
      <x:c r="I818" s="27" t="str">
        <x:v>SRC08; SRC10</x:v>
      </x:c>
      <x:c r="J818" s="27" t="str">
        <x:v>Grounding form used to preserve meaning.</x:v>
      </x:c>
    </x:row>
    <x:row r="819">
      <x:c r="A819" s="27" t="str">
        <x:v>E00815</x:v>
      </x:c>
      <x:c r="B819" s="27" t="str">
        <x:v>S12-READ-05</x:v>
      </x:c>
      <x:c r="C819" s="27" t="str">
        <x:v>High-frequency irregular word mapping</x:v>
      </x:c>
      <x:c r="D819" s="27" t="str">
        <x:v>CONNECTS_TO</x:v>
      </x:c>
      <x:c r="E819" s="27" t="str">
        <x:v>S12-READ-05:CROSS</x:v>
      </x:c>
      <x:c r="F819" s="27" t="str">
        <x:v>Oral language and writing; evidence in science/social studies; mathematical and technical problem interpretation; media verification.</x:v>
      </x:c>
      <x:c r="G819" s="27" t="str">
        <x:v>S12</x:v>
      </x:c>
      <x:c r="H819" s="27" t="str">
        <x:v>Reading</x:v>
      </x:c>
      <x:c r="I819" s="27" t="str">
        <x:v>SRC08; SRC10</x:v>
      </x:c>
      <x:c r="J819" s="27" t="str">
        <x:v>Parallel subject and representation links.</x:v>
      </x:c>
    </x:row>
    <x:row r="820">
      <x:c r="A820" s="27" t="str">
        <x:v>E00816</x:v>
      </x:c>
      <x:c r="B820" s="27" t="str">
        <x:v>S12-READ-05</x:v>
      </x:c>
      <x:c r="C820" s="27" t="str">
        <x:v>High-frequency irregular word mapping</x:v>
      </x:c>
      <x:c r="D820" s="27" t="str">
        <x:v>UNLOCKS</x:v>
      </x:c>
      <x:c r="E820" s="27" t="str">
        <x:v>S12-READ-05:NEXT</x:v>
      </x:c>
      <x:c r="F820" s="27" t="str">
        <x:v>Analysis of irregularity supports durable word memory and fluent text reading.</x:v>
      </x:c>
      <x:c r="G820" s="27" t="str">
        <x:v>S12</x:v>
      </x:c>
      <x:c r="H820" s="27" t="str">
        <x:v>Reading</x:v>
      </x:c>
      <x:c r="I820" s="27" t="str">
        <x:v>SRC08; SRC10</x:v>
      </x:c>
      <x:c r="J820" s="27" t="str">
        <x:v>Outgoing use and placement rationale.</x:v>
      </x:c>
    </x:row>
    <x:row r="821">
      <x:c r="A821" s="27" t="str">
        <x:v>E00817</x:v>
      </x:c>
      <x:c r="B821" s="27" t="str">
        <x:v>S12-READ-05</x:v>
      </x:c>
      <x:c r="C821" s="27" t="str">
        <x:v>High-frequency irregular word mapping</x:v>
      </x:c>
      <x:c r="D821" s="27" t="str">
        <x:v>VERIFIED_BY</x:v>
      </x:c>
      <x:c r="E821" s="27" t="str">
        <x:v>S12-READ-05:EVIDENCE</x:v>
      </x:c>
      <x:c r="F821" s="27" t="str">
        <x:v>Reads and spells taught high-frequency words and identifies the unexpected part.</x:v>
      </x:c>
      <x:c r="G821" s="27" t="str">
        <x:v>S12</x:v>
      </x:c>
      <x:c r="H821" s="27" t="str">
        <x:v>Reading</x:v>
      </x:c>
      <x:c r="I821" s="27" t="str">
        <x:v>SRC08; SRC10</x:v>
      </x:c>
      <x:c r="J821" s="27" t="str">
        <x:v>Observable evidence of usable learning.</x:v>
      </x:c>
    </x:row>
    <x:row r="822">
      <x:c r="A822" s="27" t="str">
        <x:v>E00818</x:v>
      </x:c>
      <x:c r="B822" s="27" t="str">
        <x:v>S12-READ-05</x:v>
      </x:c>
      <x:c r="C822" s="27" t="str">
        <x:v>Previous node in domain progression</x:v>
      </x:c>
      <x:c r="D822" s="27" t="str">
        <x:v>DOMAIN_SEQUENCE</x:v>
      </x:c>
      <x:c r="E822" s="27" t="str">
        <x:v>S12-READ-06</x:v>
      </x:c>
      <x:c r="F822" s="27" t="str">
        <x:v>Story elements and key details</x:v>
      </x:c>
      <x:c r="G822" s="27" t="str">
        <x:v>S12</x:v>
      </x:c>
      <x:c r="H822" s="27" t="str">
        <x:v>Reading</x:v>
      </x:c>
      <x:c r="I822" s="27" t="str">
        <x:v>SRC10</x:v>
      </x:c>
      <x:c r="J822" s="27" t="str">
        <x:v>Ordered spiral link; consult explicit prerequisites for logical dependency.</x:v>
      </x:c>
    </x:row>
    <x:row r="823">
      <x:c r="A823" s="27" t="str">
        <x:v>E00819</x:v>
      </x:c>
      <x:c r="B823" s="27" t="str">
        <x:v>S12-READ-06:PREREQ</x:v>
      </x:c>
      <x:c r="C823" s="27" t="str">
        <x:v>Oral narrative, vocabulary, and picture interpretation.</x:v>
      </x:c>
      <x:c r="D823" s="27" t="str">
        <x:v>PREREQUISITE</x:v>
      </x:c>
      <x:c r="E823" s="27" t="str">
        <x:v>S12-READ-06</x:v>
      </x:c>
      <x:c r="F823" s="27" t="str">
        <x:v>Story elements and key details</x:v>
      </x:c>
      <x:c r="G823" s="27" t="str">
        <x:v>S12</x:v>
      </x:c>
      <x:c r="H823" s="27" t="str">
        <x:v>Reading</x:v>
      </x:c>
      <x:c r="I823" s="27" t="str">
        <x:v>SRC10</x:v>
      </x:c>
      <x:c r="J823" s="27" t="str">
        <x:v>Incoming prerequisite relationship.</x:v>
      </x:c>
    </x:row>
    <x:row r="824">
      <x:c r="A824" s="27" t="str">
        <x:v>E00820</x:v>
      </x:c>
      <x:c r="B824" s="27" t="str">
        <x:v>S12-READ-06:GROUND</x:v>
      </x:c>
      <x:c r="C824" s="27" t="str">
        <x:v>G4/G5 — Concrete model linked to coordinated representations</x:v>
      </x:c>
      <x:c r="D824" s="27" t="str">
        <x:v>GROUNDED_BY</x:v>
      </x:c>
      <x:c r="E824" s="27" t="str">
        <x:v>S12-READ-06</x:v>
      </x:c>
      <x:c r="F824" s="27" t="str">
        <x:v>Story elements and key details</x:v>
      </x:c>
      <x:c r="G824" s="27" t="str">
        <x:v>S12</x:v>
      </x:c>
      <x:c r="H824" s="27" t="str">
        <x:v>Reading</x:v>
      </x:c>
      <x:c r="I824" s="27" t="str">
        <x:v>SRC10</x:v>
      </x:c>
      <x:c r="J824" s="27" t="str">
        <x:v>Grounding form used to preserve meaning.</x:v>
      </x:c>
    </x:row>
    <x:row r="825">
      <x:c r="A825" s="27" t="str">
        <x:v>E00821</x:v>
      </x:c>
      <x:c r="B825" s="27" t="str">
        <x:v>S12-READ-06</x:v>
      </x:c>
      <x:c r="C825" s="27" t="str">
        <x:v>Story elements and key details</x:v>
      </x:c>
      <x:c r="D825" s="27" t="str">
        <x:v>CONNECTS_TO</x:v>
      </x:c>
      <x:c r="E825" s="27" t="str">
        <x:v>S12-READ-06:CROSS</x:v>
      </x:c>
      <x:c r="F825" s="27" t="str">
        <x:v>Oral language and writing; evidence in science/social studies; mathematical and technical problem interpretation; media verification.</x:v>
      </x:c>
      <x:c r="G825" s="27" t="str">
        <x:v>S12</x:v>
      </x:c>
      <x:c r="H825" s="27" t="str">
        <x:v>Reading</x:v>
      </x:c>
      <x:c r="I825" s="27" t="str">
        <x:v>SRC10</x:v>
      </x:c>
      <x:c r="J825" s="27" t="str">
        <x:v>Parallel subject and representation links.</x:v>
      </x:c>
    </x:row>
    <x:row r="826">
      <x:c r="A826" s="27" t="str">
        <x:v>E00822</x:v>
      </x:c>
      <x:c r="B826" s="27" t="str">
        <x:v>S12-READ-06</x:v>
      </x:c>
      <x:c r="C826" s="27" t="str">
        <x:v>Story elements and key details</x:v>
      </x:c>
      <x:c r="D826" s="27" t="str">
        <x:v>UNLOCKS</x:v>
      </x:c>
      <x:c r="E826" s="27" t="str">
        <x:v>S12-READ-06:NEXT</x:v>
      </x:c>
      <x:c r="F826" s="27" t="str">
        <x:v>Story and topic structures organize memory and prepare retell, inference, and main-idea work.</x:v>
      </x:c>
      <x:c r="G826" s="27" t="str">
        <x:v>S12</x:v>
      </x:c>
      <x:c r="H826" s="27" t="str">
        <x:v>Reading</x:v>
      </x:c>
      <x:c r="I826" s="27" t="str">
        <x:v>SRC10</x:v>
      </x:c>
      <x:c r="J826" s="27" t="str">
        <x:v>Outgoing use and placement rationale.</x:v>
      </x:c>
    </x:row>
    <x:row r="827">
      <x:c r="A827" s="27" t="str">
        <x:v>E00823</x:v>
      </x:c>
      <x:c r="B827" s="27" t="str">
        <x:v>S12-READ-06</x:v>
      </x:c>
      <x:c r="C827" s="27" t="str">
        <x:v>Story elements and key details</x:v>
      </x:c>
      <x:c r="D827" s="27" t="str">
        <x:v>VERIFIED_BY</x:v>
      </x:c>
      <x:c r="E827" s="27" t="str">
        <x:v>S12-READ-06:EVIDENCE</x:v>
      </x:c>
      <x:c r="F827" s="27" t="str">
        <x:v>Retells a text in order and answers who/what/where/why questions using text details.</x:v>
      </x:c>
      <x:c r="G827" s="27" t="str">
        <x:v>S12</x:v>
      </x:c>
      <x:c r="H827" s="27" t="str">
        <x:v>Reading</x:v>
      </x:c>
      <x:c r="I827" s="27" t="str">
        <x:v>SRC10</x:v>
      </x:c>
      <x:c r="J827" s="27" t="str">
        <x:v>Observable evidence of usable learning.</x:v>
      </x:c>
    </x:row>
    <x:row r="828">
      <x:c r="A828" s="27" t="str">
        <x:v>E00824</x:v>
      </x:c>
      <x:c r="B828" s="27" t="str">
        <x:v>S11-WRITE-02</x:v>
      </x:c>
      <x:c r="C828" s="27" t="str">
        <x:v>Previous node in domain progression</x:v>
      </x:c>
      <x:c r="D828" s="27" t="str">
        <x:v>DOMAIN_SEQUENCE</x:v>
      </x:c>
      <x:c r="E828" s="27" t="str">
        <x:v>S12-WRITE-01</x:v>
      </x:c>
      <x:c r="F828" s="27" t="str">
        <x:v>Letter production and spacing</x:v>
      </x:c>
      <x:c r="G828" s="27" t="str">
        <x:v>S12</x:v>
      </x:c>
      <x:c r="H828" s="27" t="str">
        <x:v>Writing &amp; Language</x:v>
      </x:c>
      <x:c r="I828" s="27" t="str">
        <x:v>SRC10; SRC21</x:v>
      </x:c>
      <x:c r="J828" s="27" t="str">
        <x:v>Ordered spiral link; consult explicit prerequisites for logical dependency.</x:v>
      </x:c>
    </x:row>
    <x:row r="829">
      <x:c r="A829" s="27" t="str">
        <x:v>E00825</x:v>
      </x:c>
      <x:c r="B829" s="27" t="str">
        <x:v>S12-WRITE-01:PREREQ</x:v>
      </x:c>
      <x:c r="C829" s="27" t="str">
        <x:v>Basic letter formation, visual discrimination, and motor/access method.</x:v>
      </x:c>
      <x:c r="D829" s="27" t="str">
        <x:v>PREREQUISITE</x:v>
      </x:c>
      <x:c r="E829" s="27" t="str">
        <x:v>S12-WRITE-01</x:v>
      </x:c>
      <x:c r="F829" s="27" t="str">
        <x:v>Letter production and spacing</x:v>
      </x:c>
      <x:c r="G829" s="27" t="str">
        <x:v>S12</x:v>
      </x:c>
      <x:c r="H829" s="27" t="str">
        <x:v>Writing &amp; Language</x:v>
      </x:c>
      <x:c r="I829" s="27" t="str">
        <x:v>SRC10; SRC21</x:v>
      </x:c>
      <x:c r="J829" s="27" t="str">
        <x:v>Incoming prerequisite relationship.</x:v>
      </x:c>
    </x:row>
    <x:row r="830">
      <x:c r="A830" s="27" t="str">
        <x:v>E00826</x:v>
      </x:c>
      <x:c r="B830" s="27" t="str">
        <x:v>S12-WRITE-01:GROUND</x:v>
      </x:c>
      <x:c r="C830" s="27" t="str">
        <x:v>G4/G5 — Concrete model linked to coordinated representations</x:v>
      </x:c>
      <x:c r="D830" s="27" t="str">
        <x:v>GROUNDED_BY</x:v>
      </x:c>
      <x:c r="E830" s="27" t="str">
        <x:v>S12-WRITE-01</x:v>
      </x:c>
      <x:c r="F830" s="27" t="str">
        <x:v>Letter production and spacing</x:v>
      </x:c>
      <x:c r="G830" s="27" t="str">
        <x:v>S12</x:v>
      </x:c>
      <x:c r="H830" s="27" t="str">
        <x:v>Writing &amp; Language</x:v>
      </x:c>
      <x:c r="I830" s="27" t="str">
        <x:v>SRC10; SRC21</x:v>
      </x:c>
      <x:c r="J830" s="27" t="str">
        <x:v>Grounding form used to preserve meaning.</x:v>
      </x:c>
    </x:row>
    <x:row r="831">
      <x:c r="A831" s="27" t="str">
        <x:v>E00827</x:v>
      </x:c>
      <x:c r="B831" s="27" t="str">
        <x:v>S12-WRITE-01</x:v>
      </x:c>
      <x:c r="C831" s="27" t="str">
        <x:v>Letter production and spacing</x:v>
      </x:c>
      <x:c r="D831" s="27" t="str">
        <x:v>CONNECTS_TO</x:v>
      </x:c>
      <x:c r="E831" s="27" t="str">
        <x:v>S12-WRITE-01:CROSS</x:v>
      </x:c>
      <x:c r="F831" s="27" t="str">
        <x:v>Reading models; evidence from science/social studies; mathematical explanation; research, media, and presentation.</x:v>
      </x:c>
      <x:c r="G831" s="27" t="str">
        <x:v>S12</x:v>
      </x:c>
      <x:c r="H831" s="27" t="str">
        <x:v>Writing &amp; Language</x:v>
      </x:c>
      <x:c r="I831" s="27" t="str">
        <x:v>SRC10; SRC21</x:v>
      </x:c>
      <x:c r="J831" s="27" t="str">
        <x:v>Parallel subject and representation links.</x:v>
      </x:c>
    </x:row>
    <x:row r="832">
      <x:c r="A832" s="27" t="str">
        <x:v>E00828</x:v>
      </x:c>
      <x:c r="B832" s="27" t="str">
        <x:v>S12-WRITE-01</x:v>
      </x:c>
      <x:c r="C832" s="27" t="str">
        <x:v>Letter production and spacing</x:v>
      </x:c>
      <x:c r="D832" s="27" t="str">
        <x:v>UNLOCKS</x:v>
      </x:c>
      <x:c r="E832" s="27" t="str">
        <x:v>S12-WRITE-01:NEXT</x:v>
      </x:c>
      <x:c r="F832" s="27" t="str">
        <x:v>More automatic transcription leaves attention for spelling and composition.</x:v>
      </x:c>
      <x:c r="G832" s="27" t="str">
        <x:v>S12</x:v>
      </x:c>
      <x:c r="H832" s="27" t="str">
        <x:v>Writing &amp; Language</x:v>
      </x:c>
      <x:c r="I832" s="27" t="str">
        <x:v>SRC10; SRC21</x:v>
      </x:c>
      <x:c r="J832" s="27" t="str">
        <x:v>Outgoing use and placement rationale.</x:v>
      </x:c>
    </x:row>
    <x:row r="833">
      <x:c r="A833" s="27" t="str">
        <x:v>E00829</x:v>
      </x:c>
      <x:c r="B833" s="27" t="str">
        <x:v>S12-WRITE-01</x:v>
      </x:c>
      <x:c r="C833" s="27" t="str">
        <x:v>Letter production and spacing</x:v>
      </x:c>
      <x:c r="D833" s="27" t="str">
        <x:v>VERIFIED_BY</x:v>
      </x:c>
      <x:c r="E833" s="27" t="str">
        <x:v>S12-WRITE-01:EVIDENCE</x:v>
      </x:c>
      <x:c r="F833" s="27" t="str">
        <x:v>Writes taught letters and a short dictated phrase legibly or through an efficient accessible input method.</x:v>
      </x:c>
      <x:c r="G833" s="27" t="str">
        <x:v>S12</x:v>
      </x:c>
      <x:c r="H833" s="27" t="str">
        <x:v>Writing &amp; Language</x:v>
      </x:c>
      <x:c r="I833" s="27" t="str">
        <x:v>SRC10; SRC21</x:v>
      </x:c>
      <x:c r="J833" s="27" t="str">
        <x:v>Observable evidence of usable learning.</x:v>
      </x:c>
    </x:row>
    <x:row r="834">
      <x:c r="A834" s="27" t="str">
        <x:v>E00830</x:v>
      </x:c>
      <x:c r="B834" s="27" t="str">
        <x:v>S12-WRITE-01</x:v>
      </x:c>
      <x:c r="C834" s="27" t="str">
        <x:v>Previous node in domain progression</x:v>
      </x:c>
      <x:c r="D834" s="27" t="str">
        <x:v>DOMAIN_SEQUENCE</x:v>
      </x:c>
      <x:c r="E834" s="27" t="str">
        <x:v>S12-WRITE-02</x:v>
      </x:c>
      <x:c r="F834" s="27" t="str">
        <x:v>Phoneme–grapheme encoding</x:v>
      </x:c>
      <x:c r="G834" s="27" t="str">
        <x:v>S12</x:v>
      </x:c>
      <x:c r="H834" s="27" t="str">
        <x:v>Writing &amp; Language</x:v>
      </x:c>
      <x:c r="I834" s="27" t="str">
        <x:v>SRC08; SRC10</x:v>
      </x:c>
      <x:c r="J834" s="27" t="str">
        <x:v>Ordered spiral link; consult explicit prerequisites for logical dependency.</x:v>
      </x:c>
    </x:row>
    <x:row r="835">
      <x:c r="A835" s="27" t="str">
        <x:v>E00831</x:v>
      </x:c>
      <x:c r="B835" s="27" t="str">
        <x:v>S12-WRITE-02:PREREQ</x:v>
      </x:c>
      <x:c r="C835" s="27" t="str">
        <x:v>Phoneme segmentation and alphabetic principle.</x:v>
      </x:c>
      <x:c r="D835" s="27" t="str">
        <x:v>PREREQUISITE</x:v>
      </x:c>
      <x:c r="E835" s="27" t="str">
        <x:v>S12-WRITE-02</x:v>
      </x:c>
      <x:c r="F835" s="27" t="str">
        <x:v>Phoneme–grapheme encoding</x:v>
      </x:c>
      <x:c r="G835" s="27" t="str">
        <x:v>S12</x:v>
      </x:c>
      <x:c r="H835" s="27" t="str">
        <x:v>Writing &amp; Language</x:v>
      </x:c>
      <x:c r="I835" s="27" t="str">
        <x:v>SRC08; SRC10</x:v>
      </x:c>
      <x:c r="J835" s="27" t="str">
        <x:v>Incoming prerequisite relationship.</x:v>
      </x:c>
    </x:row>
    <x:row r="836">
      <x:c r="A836" s="27" t="str">
        <x:v>E00832</x:v>
      </x:c>
      <x:c r="B836" s="27" t="str">
        <x:v>S12-WRITE-02:GROUND</x:v>
      </x:c>
      <x:c r="C836" s="27" t="str">
        <x:v>G4/G5 — Concrete model linked to coordinated representations</x:v>
      </x:c>
      <x:c r="D836" s="27" t="str">
        <x:v>GROUNDED_BY</x:v>
      </x:c>
      <x:c r="E836" s="27" t="str">
        <x:v>S12-WRITE-02</x:v>
      </x:c>
      <x:c r="F836" s="27" t="str">
        <x:v>Phoneme–grapheme encoding</x:v>
      </x:c>
      <x:c r="G836" s="27" t="str">
        <x:v>S12</x:v>
      </x:c>
      <x:c r="H836" s="27" t="str">
        <x:v>Writing &amp; Language</x:v>
      </x:c>
      <x:c r="I836" s="27" t="str">
        <x:v>SRC08; SRC10</x:v>
      </x:c>
      <x:c r="J836" s="27" t="str">
        <x:v>Grounding form used to preserve meaning.</x:v>
      </x:c>
    </x:row>
    <x:row r="837">
      <x:c r="A837" s="27" t="str">
        <x:v>E00833</x:v>
      </x:c>
      <x:c r="B837" s="27" t="str">
        <x:v>S12-WRITE-02</x:v>
      </x:c>
      <x:c r="C837" s="27" t="str">
        <x:v>Phoneme–grapheme encoding</x:v>
      </x:c>
      <x:c r="D837" s="27" t="str">
        <x:v>CONNECTS_TO</x:v>
      </x:c>
      <x:c r="E837" s="27" t="str">
        <x:v>S12-WRITE-02:CROSS</x:v>
      </x:c>
      <x:c r="F837" s="27" t="str">
        <x:v>Reading models; evidence from science/social studies; mathematical explanation; research, media, and presentation.</x:v>
      </x:c>
      <x:c r="G837" s="27" t="str">
        <x:v>S12</x:v>
      </x:c>
      <x:c r="H837" s="27" t="str">
        <x:v>Writing &amp; Language</x:v>
      </x:c>
      <x:c r="I837" s="27" t="str">
        <x:v>SRC08; SRC10</x:v>
      </x:c>
      <x:c r="J837" s="27" t="str">
        <x:v>Parallel subject and representation links.</x:v>
      </x:c>
    </x:row>
    <x:row r="838">
      <x:c r="A838" s="27" t="str">
        <x:v>E00834</x:v>
      </x:c>
      <x:c r="B838" s="27" t="str">
        <x:v>S12-WRITE-02</x:v>
      </x:c>
      <x:c r="C838" s="27" t="str">
        <x:v>Phoneme–grapheme encoding</x:v>
      </x:c>
      <x:c r="D838" s="27" t="str">
        <x:v>UNLOCKS</x:v>
      </x:c>
      <x:c r="E838" s="27" t="str">
        <x:v>S12-WRITE-02:NEXT</x:v>
      </x:c>
      <x:c r="F838" s="27" t="str">
        <x:v>Full sound mapping supports conventional spelling patterns and reinforces decoding.</x:v>
      </x:c>
      <x:c r="G838" s="27" t="str">
        <x:v>S12</x:v>
      </x:c>
      <x:c r="H838" s="27" t="str">
        <x:v>Writing &amp; Language</x:v>
      </x:c>
      <x:c r="I838" s="27" t="str">
        <x:v>SRC08; SRC10</x:v>
      </x:c>
      <x:c r="J838" s="27" t="str">
        <x:v>Outgoing use and placement rationale.</x:v>
      </x:c>
    </x:row>
    <x:row r="839">
      <x:c r="A839" s="27" t="str">
        <x:v>E00835</x:v>
      </x:c>
      <x:c r="B839" s="27" t="str">
        <x:v>S12-WRITE-02</x:v>
      </x:c>
      <x:c r="C839" s="27" t="str">
        <x:v>Phoneme–grapheme encoding</x:v>
      </x:c>
      <x:c r="D839" s="27" t="str">
        <x:v>VERIFIED_BY</x:v>
      </x:c>
      <x:c r="E839" s="27" t="str">
        <x:v>S12-WRITE-02:EVIDENCE</x:v>
      </x:c>
      <x:c r="F839" s="27" t="str">
        <x:v>Writes regular CVC words from dictation with each phoneme represented.</x:v>
      </x:c>
      <x:c r="G839" s="27" t="str">
        <x:v>S12</x:v>
      </x:c>
      <x:c r="H839" s="27" t="str">
        <x:v>Writing &amp; Language</x:v>
      </x:c>
      <x:c r="I839" s="27" t="str">
        <x:v>SRC08; SRC10</x:v>
      </x:c>
      <x:c r="J839" s="27" t="str">
        <x:v>Observable evidence of usable learning.</x:v>
      </x:c>
    </x:row>
    <x:row r="840">
      <x:c r="A840" s="27" t="str">
        <x:v>E00836</x:v>
      </x:c>
      <x:c r="B840" s="27" t="str">
        <x:v>S12-WRITE-02</x:v>
      </x:c>
      <x:c r="C840" s="27" t="str">
        <x:v>Previous node in domain progression</x:v>
      </x:c>
      <x:c r="D840" s="27" t="str">
        <x:v>DOMAIN_SEQUENCE</x:v>
      </x:c>
      <x:c r="E840" s="27" t="str">
        <x:v>S12-WRITE-03</x:v>
      </x:c>
      <x:c r="F840" s="27" t="str">
        <x:v>Complete sentence</x:v>
      </x:c>
      <x:c r="G840" s="27" t="str">
        <x:v>S12</x:v>
      </x:c>
      <x:c r="H840" s="27" t="str">
        <x:v>Writing &amp; Language</x:v>
      </x:c>
      <x:c r="I840" s="27" t="str">
        <x:v>SRC10; SRC21</x:v>
      </x:c>
      <x:c r="J840" s="27" t="str">
        <x:v>Ordered spiral link; consult explicit prerequisites for logical dependency.</x:v>
      </x:c>
    </x:row>
    <x:row r="841">
      <x:c r="A841" s="27" t="str">
        <x:v>E00837</x:v>
      </x:c>
      <x:c r="B841" s="27" t="str">
        <x:v>S12-WRITE-03:PREREQ</x:v>
      </x:c>
      <x:c r="C841" s="27" t="str">
        <x:v>Complete oral responses, word boundaries, handwriting, and sound-based spelling.</x:v>
      </x:c>
      <x:c r="D841" s="27" t="str">
        <x:v>PREREQUISITE</x:v>
      </x:c>
      <x:c r="E841" s="27" t="str">
        <x:v>S12-WRITE-03</x:v>
      </x:c>
      <x:c r="F841" s="27" t="str">
        <x:v>Complete sentence</x:v>
      </x:c>
      <x:c r="G841" s="27" t="str">
        <x:v>S12</x:v>
      </x:c>
      <x:c r="H841" s="27" t="str">
        <x:v>Writing &amp; Language</x:v>
      </x:c>
      <x:c r="I841" s="27" t="str">
        <x:v>SRC10; SRC21</x:v>
      </x:c>
      <x:c r="J841" s="27" t="str">
        <x:v>Incoming prerequisite relationship.</x:v>
      </x:c>
    </x:row>
    <x:row r="842">
      <x:c r="A842" s="27" t="str">
        <x:v>E00838</x:v>
      </x:c>
      <x:c r="B842" s="27" t="str">
        <x:v>S12-WRITE-03:GROUND</x:v>
      </x:c>
      <x:c r="C842" s="27" t="str">
        <x:v>G4/G5 — Concrete model linked to coordinated representations</x:v>
      </x:c>
      <x:c r="D842" s="27" t="str">
        <x:v>GROUNDED_BY</x:v>
      </x:c>
      <x:c r="E842" s="27" t="str">
        <x:v>S12-WRITE-03</x:v>
      </x:c>
      <x:c r="F842" s="27" t="str">
        <x:v>Complete sentence</x:v>
      </x:c>
      <x:c r="G842" s="27" t="str">
        <x:v>S12</x:v>
      </x:c>
      <x:c r="H842" s="27" t="str">
        <x:v>Writing &amp; Language</x:v>
      </x:c>
      <x:c r="I842" s="27" t="str">
        <x:v>SRC10; SRC21</x:v>
      </x:c>
      <x:c r="J842" s="27" t="str">
        <x:v>Grounding form used to preserve meaning.</x:v>
      </x:c>
    </x:row>
    <x:row r="843">
      <x:c r="A843" s="27" t="str">
        <x:v>E00839</x:v>
      </x:c>
      <x:c r="B843" s="27" t="str">
        <x:v>S12-WRITE-03</x:v>
      </x:c>
      <x:c r="C843" s="27" t="str">
        <x:v>Complete sentence</x:v>
      </x:c>
      <x:c r="D843" s="27" t="str">
        <x:v>CONNECTS_TO</x:v>
      </x:c>
      <x:c r="E843" s="27" t="str">
        <x:v>S12-WRITE-03:CROSS</x:v>
      </x:c>
      <x:c r="F843" s="27" t="str">
        <x:v>Reading models; evidence from science/social studies; mathematical explanation; research, media, and presentation.</x:v>
      </x:c>
      <x:c r="G843" s="27" t="str">
        <x:v>S12</x:v>
      </x:c>
      <x:c r="H843" s="27" t="str">
        <x:v>Writing &amp; Language</x:v>
      </x:c>
      <x:c r="I843" s="27" t="str">
        <x:v>SRC10; SRC21</x:v>
      </x:c>
      <x:c r="J843" s="27" t="str">
        <x:v>Parallel subject and representation links.</x:v>
      </x:c>
    </x:row>
    <x:row r="844">
      <x:c r="A844" s="27" t="str">
        <x:v>E00840</x:v>
      </x:c>
      <x:c r="B844" s="27" t="str">
        <x:v>S12-WRITE-03</x:v>
      </x:c>
      <x:c r="C844" s="27" t="str">
        <x:v>Complete sentence</x:v>
      </x:c>
      <x:c r="D844" s="27" t="str">
        <x:v>UNLOCKS</x:v>
      </x:c>
      <x:c r="E844" s="27" t="str">
        <x:v>S12-WRITE-03:NEXT</x:v>
      </x:c>
      <x:c r="F844" s="27" t="str">
        <x:v>The sentence is the base compositional unit for narratives, explanations, and arguments.</x:v>
      </x:c>
      <x:c r="G844" s="27" t="str">
        <x:v>S12</x:v>
      </x:c>
      <x:c r="H844" s="27" t="str">
        <x:v>Writing &amp; Language</x:v>
      </x:c>
      <x:c r="I844" s="27" t="str">
        <x:v>SRC10; SRC21</x:v>
      </x:c>
      <x:c r="J844" s="27" t="str">
        <x:v>Outgoing use and placement rationale.</x:v>
      </x:c>
    </x:row>
    <x:row r="845">
      <x:c r="A845" s="27" t="str">
        <x:v>E00841</x:v>
      </x:c>
      <x:c r="B845" s="27" t="str">
        <x:v>S12-WRITE-03</x:v>
      </x:c>
      <x:c r="C845" s="27" t="str">
        <x:v>Complete sentence</x:v>
      </x:c>
      <x:c r="D845" s="27" t="str">
        <x:v>VERIFIED_BY</x:v>
      </x:c>
      <x:c r="E845" s="27" t="str">
        <x:v>S12-WRITE-03:EVIDENCE</x:v>
      </x:c>
      <x:c r="F845" s="27" t="str">
        <x:v>Writes or constructs a readable complete sentence matching the intended message.</x:v>
      </x:c>
      <x:c r="G845" s="27" t="str">
        <x:v>S12</x:v>
      </x:c>
      <x:c r="H845" s="27" t="str">
        <x:v>Writing &amp; Language</x:v>
      </x:c>
      <x:c r="I845" s="27" t="str">
        <x:v>SRC10; SRC21</x:v>
      </x:c>
      <x:c r="J845" s="27" t="str">
        <x:v>Observable evidence of usable learning.</x:v>
      </x:c>
    </x:row>
    <x:row r="846">
      <x:c r="A846" s="27" t="str">
        <x:v>E00842</x:v>
      </x:c>
      <x:c r="B846" s="27" t="str">
        <x:v>S11-MATH-04</x:v>
      </x:c>
      <x:c r="C846" s="27" t="str">
        <x:v>Previous node in domain progression</x:v>
      </x:c>
      <x:c r="D846" s="27" t="str">
        <x:v>DOMAIN_SEQUENCE</x:v>
      </x:c>
      <x:c r="E846" s="27" t="str">
        <x:v>S12-MATH-01</x:v>
      </x:c>
      <x:c r="F846" s="27" t="str">
        <x:v>Count sequence and objects to 100</x:v>
      </x:c>
      <x:c r="G846" s="27" t="str">
        <x:v>S12</x:v>
      </x:c>
      <x:c r="H846" s="27" t="str">
        <x:v>Mathematics</x:v>
      </x:c>
      <x:c r="I846" s="27" t="str">
        <x:v>SRC07; SRC09</x:v>
      </x:c>
      <x:c r="J846" s="27" t="str">
        <x:v>Ordered spiral link; consult explicit prerequisites for logical dependency.</x:v>
      </x:c>
    </x:row>
    <x:row r="847">
      <x:c r="A847" s="27" t="str">
        <x:v>E00843</x:v>
      </x:c>
      <x:c r="B847" s="27" t="str">
        <x:v>S12-MATH-01:PREREQ</x:v>
      </x:c>
      <x:c r="C847" s="27" t="str">
        <x:v>Stable number-word order, one-to-one counting, and cardinality.</x:v>
      </x:c>
      <x:c r="D847" s="27" t="str">
        <x:v>PREREQUISITE</x:v>
      </x:c>
      <x:c r="E847" s="27" t="str">
        <x:v>S12-MATH-01</x:v>
      </x:c>
      <x:c r="F847" s="27" t="str">
        <x:v>Count sequence and objects to 100</x:v>
      </x:c>
      <x:c r="G847" s="27" t="str">
        <x:v>S12</x:v>
      </x:c>
      <x:c r="H847" s="27" t="str">
        <x:v>Mathematics</x:v>
      </x:c>
      <x:c r="I847" s="27" t="str">
        <x:v>SRC07; SRC09</x:v>
      </x:c>
      <x:c r="J847" s="27" t="str">
        <x:v>Incoming prerequisite relationship.</x:v>
      </x:c>
    </x:row>
    <x:row r="848">
      <x:c r="A848" s="27" t="str">
        <x:v>E00844</x:v>
      </x:c>
      <x:c r="B848" s="27" t="str">
        <x:v>S12-MATH-01:GROUND</x:v>
      </x:c>
      <x:c r="C848" s="27" t="str">
        <x:v>G4/G5 — Concrete model linked to coordinated representations</x:v>
      </x:c>
      <x:c r="D848" s="27" t="str">
        <x:v>GROUNDED_BY</x:v>
      </x:c>
      <x:c r="E848" s="27" t="str">
        <x:v>S12-MATH-01</x:v>
      </x:c>
      <x:c r="F848" s="27" t="str">
        <x:v>Count sequence and objects to 100</x:v>
      </x:c>
      <x:c r="G848" s="27" t="str">
        <x:v>S12</x:v>
      </x:c>
      <x:c r="H848" s="27" t="str">
        <x:v>Mathematics</x:v>
      </x:c>
      <x:c r="I848" s="27" t="str">
        <x:v>SRC07; SRC09</x:v>
      </x:c>
      <x:c r="J848" s="27" t="str">
        <x:v>Grounding form used to preserve meaning.</x:v>
      </x:c>
    </x:row>
    <x:row r="849">
      <x:c r="A849" s="27" t="str">
        <x:v>E00845</x:v>
      </x:c>
      <x:c r="B849" s="27" t="str">
        <x:v>S12-MATH-01</x:v>
      </x:c>
      <x:c r="C849" s="27" t="str">
        <x:v>Count sequence and objects to 100</x:v>
      </x:c>
      <x:c r="D849" s="27" t="str">
        <x:v>CONNECTS_TO</x:v>
      </x:c>
      <x:c r="E849" s="27" t="str">
        <x:v>S12-MATH-01:CROSS</x:v>
      </x:c>
      <x:c r="F849" s="27" t="str">
        <x:v>Physical quantity and spatial action; science measurement/models; computing/algorithms; finance; music rhythm/pattern; geographic data.</x:v>
      </x:c>
      <x:c r="G849" s="27" t="str">
        <x:v>S12</x:v>
      </x:c>
      <x:c r="H849" s="27" t="str">
        <x:v>Mathematics</x:v>
      </x:c>
      <x:c r="I849" s="27" t="str">
        <x:v>SRC07; SRC09</x:v>
      </x:c>
      <x:c r="J849" s="27" t="str">
        <x:v>Parallel subject and representation links.</x:v>
      </x:c>
    </x:row>
    <x:row r="850">
      <x:c r="A850" s="27" t="str">
        <x:v>E00846</x:v>
      </x:c>
      <x:c r="B850" s="27" t="str">
        <x:v>S12-MATH-01</x:v>
      </x:c>
      <x:c r="C850" s="27" t="str">
        <x:v>Count sequence and objects to 100</x:v>
      </x:c>
      <x:c r="D850" s="27" t="str">
        <x:v>UNLOCKS</x:v>
      </x:c>
      <x:c r="E850" s="27" t="str">
        <x:v>S12-MATH-01:NEXT</x:v>
      </x:c>
      <x:c r="F850" s="27" t="str">
        <x:v>Extended counting reveals recurring base-ten patterns and supports place value.</x:v>
      </x:c>
      <x:c r="G850" s="27" t="str">
        <x:v>S12</x:v>
      </x:c>
      <x:c r="H850" s="27" t="str">
        <x:v>Mathematics</x:v>
      </x:c>
      <x:c r="I850" s="27" t="str">
        <x:v>SRC07; SRC09</x:v>
      </x:c>
      <x:c r="J850" s="27" t="str">
        <x:v>Outgoing use and placement rationale.</x:v>
      </x:c>
    </x:row>
    <x:row r="851">
      <x:c r="A851" s="27" t="str">
        <x:v>E00847</x:v>
      </x:c>
      <x:c r="B851" s="27" t="str">
        <x:v>S12-MATH-01</x:v>
      </x:c>
      <x:c r="C851" s="27" t="str">
        <x:v>Count sequence and objects to 100</x:v>
      </x:c>
      <x:c r="D851" s="27" t="str">
        <x:v>VERIFIED_BY</x:v>
      </x:c>
      <x:c r="E851" s="27" t="str">
        <x:v>S12-MATH-01:EVIDENCE</x:v>
      </x:c>
      <x:c r="F851" s="27" t="str">
        <x:v>Counts forward from a stated number and counts a collection without skipping or double-counting.</x:v>
      </x:c>
      <x:c r="G851" s="27" t="str">
        <x:v>S12</x:v>
      </x:c>
      <x:c r="H851" s="27" t="str">
        <x:v>Mathematics</x:v>
      </x:c>
      <x:c r="I851" s="27" t="str">
        <x:v>SRC07; SRC09</x:v>
      </x:c>
      <x:c r="J851" s="27" t="str">
        <x:v>Observable evidence of usable learning.</x:v>
      </x:c>
    </x:row>
    <x:row r="852">
      <x:c r="A852" s="27" t="str">
        <x:v>E00848</x:v>
      </x:c>
      <x:c r="B852" s="27" t="str">
        <x:v>S12-MATH-01</x:v>
      </x:c>
      <x:c r="C852" s="27" t="str">
        <x:v>Previous node in domain progression</x:v>
      </x:c>
      <x:c r="D852" s="27" t="str">
        <x:v>DOMAIN_SEQUENCE</x:v>
      </x:c>
      <x:c r="E852" s="27" t="str">
        <x:v>S12-MATH-02</x:v>
      </x:c>
      <x:c r="F852" s="27" t="str">
        <x:v>Numerals 0–20 and quantity mapping</x:v>
      </x:c>
      <x:c r="G852" s="27" t="str">
        <x:v>S12</x:v>
      </x:c>
      <x:c r="H852" s="27" t="str">
        <x:v>Mathematics</x:v>
      </x:c>
      <x:c r="I852" s="27" t="str">
        <x:v>SRC07; SRC09</x:v>
      </x:c>
      <x:c r="J852" s="27" t="str">
        <x:v>Ordered spiral link; consult explicit prerequisites for logical dependency.</x:v>
      </x:c>
    </x:row>
    <x:row r="853">
      <x:c r="A853" s="27" t="str">
        <x:v>E00849</x:v>
      </x:c>
      <x:c r="B853" s="27" t="str">
        <x:v>S12-MATH-02:PREREQ</x:v>
      </x:c>
      <x:c r="C853" s="27" t="str">
        <x:v>Cardinality and emerging numeral mapping.</x:v>
      </x:c>
      <x:c r="D853" s="27" t="str">
        <x:v>PREREQUISITE</x:v>
      </x:c>
      <x:c r="E853" s="27" t="str">
        <x:v>S12-MATH-02</x:v>
      </x:c>
      <x:c r="F853" s="27" t="str">
        <x:v>Numerals 0–20 and quantity mapping</x:v>
      </x:c>
      <x:c r="G853" s="27" t="str">
        <x:v>S12</x:v>
      </x:c>
      <x:c r="H853" s="27" t="str">
        <x:v>Mathematics</x:v>
      </x:c>
      <x:c r="I853" s="27" t="str">
        <x:v>SRC07; SRC09</x:v>
      </x:c>
      <x:c r="J853" s="27" t="str">
        <x:v>Incoming prerequisite relationship.</x:v>
      </x:c>
    </x:row>
    <x:row r="854">
      <x:c r="A854" s="27" t="str">
        <x:v>E00850</x:v>
      </x:c>
      <x:c r="B854" s="27" t="str">
        <x:v>S12-MATH-02:GROUND</x:v>
      </x:c>
      <x:c r="C854" s="27" t="str">
        <x:v>G4/G5 — Concrete model linked to coordinated representations</x:v>
      </x:c>
      <x:c r="D854" s="27" t="str">
        <x:v>GROUNDED_BY</x:v>
      </x:c>
      <x:c r="E854" s="27" t="str">
        <x:v>S12-MATH-02</x:v>
      </x:c>
      <x:c r="F854" s="27" t="str">
        <x:v>Numerals 0–20 and quantity mapping</x:v>
      </x:c>
      <x:c r="G854" s="27" t="str">
        <x:v>S12</x:v>
      </x:c>
      <x:c r="H854" s="27" t="str">
        <x:v>Mathematics</x:v>
      </x:c>
      <x:c r="I854" s="27" t="str">
        <x:v>SRC07; SRC09</x:v>
      </x:c>
      <x:c r="J854" s="27" t="str">
        <x:v>Grounding form used to preserve meaning.</x:v>
      </x:c>
    </x:row>
    <x:row r="855">
      <x:c r="A855" s="27" t="str">
        <x:v>E00851</x:v>
      </x:c>
      <x:c r="B855" s="27" t="str">
        <x:v>S12-MATH-02</x:v>
      </x:c>
      <x:c r="C855" s="27" t="str">
        <x:v>Numerals 0–20 and quantity mapping</x:v>
      </x:c>
      <x:c r="D855" s="27" t="str">
        <x:v>CONNECTS_TO</x:v>
      </x:c>
      <x:c r="E855" s="27" t="str">
        <x:v>S12-MATH-02:CROSS</x:v>
      </x:c>
      <x:c r="F855" s="27" t="str">
        <x:v>Physical quantity and spatial action; science measurement/models; computing/algorithms; finance; music rhythm/pattern; geographic data.</x:v>
      </x:c>
      <x:c r="G855" s="27" t="str">
        <x:v>S12</x:v>
      </x:c>
      <x:c r="H855" s="27" t="str">
        <x:v>Mathematics</x:v>
      </x:c>
      <x:c r="I855" s="27" t="str">
        <x:v>SRC07; SRC09</x:v>
      </x:c>
      <x:c r="J855" s="27" t="str">
        <x:v>Parallel subject and representation links.</x:v>
      </x:c>
    </x:row>
    <x:row r="856">
      <x:c r="A856" s="27" t="str">
        <x:v>E00852</x:v>
      </x:c>
      <x:c r="B856" s="27" t="str">
        <x:v>S12-MATH-02</x:v>
      </x:c>
      <x:c r="C856" s="27" t="str">
        <x:v>Numerals 0–20 and quantity mapping</x:v>
      </x:c>
      <x:c r="D856" s="27" t="str">
        <x:v>UNLOCKS</x:v>
      </x:c>
      <x:c r="E856" s="27" t="str">
        <x:v>S12-MATH-02:NEXT</x:v>
      </x:c>
      <x:c r="F856" s="27" t="str">
        <x:v>Exact symbol-quantity links are required for written operations and place value.</x:v>
      </x:c>
      <x:c r="G856" s="27" t="str">
        <x:v>S12</x:v>
      </x:c>
      <x:c r="H856" s="27" t="str">
        <x:v>Mathematics</x:v>
      </x:c>
      <x:c r="I856" s="27" t="str">
        <x:v>SRC07; SRC09</x:v>
      </x:c>
      <x:c r="J856" s="27" t="str">
        <x:v>Outgoing use and placement rationale.</x:v>
      </x:c>
    </x:row>
    <x:row r="857">
      <x:c r="A857" s="27" t="str">
        <x:v>E00853</x:v>
      </x:c>
      <x:c r="B857" s="27" t="str">
        <x:v>S12-MATH-02</x:v>
      </x:c>
      <x:c r="C857" s="27" t="str">
        <x:v>Numerals 0–20 and quantity mapping</x:v>
      </x:c>
      <x:c r="D857" s="27" t="str">
        <x:v>VERIFIED_BY</x:v>
      </x:c>
      <x:c r="E857" s="27" t="str">
        <x:v>S12-MATH-02:EVIDENCE</x:v>
      </x:c>
      <x:c r="F857" s="27" t="str">
        <x:v>Given any quantity in range, selects or writes its numeral and constructs a matching set.</x:v>
      </x:c>
      <x:c r="G857" s="27" t="str">
        <x:v>S12</x:v>
      </x:c>
      <x:c r="H857" s="27" t="str">
        <x:v>Mathematics</x:v>
      </x:c>
      <x:c r="I857" s="27" t="str">
        <x:v>SRC07; SRC09</x:v>
      </x:c>
      <x:c r="J857" s="27" t="str">
        <x:v>Observable evidence of usable learning.</x:v>
      </x:c>
    </x:row>
    <x:row r="858">
      <x:c r="A858" s="27" t="str">
        <x:v>E00854</x:v>
      </x:c>
      <x:c r="B858" s="27" t="str">
        <x:v>S12-MATH-02</x:v>
      </x:c>
      <x:c r="C858" s="27" t="str">
        <x:v>Previous node in domain progression</x:v>
      </x:c>
      <x:c r="D858" s="27" t="str">
        <x:v>DOMAIN_SEQUENCE</x:v>
      </x:c>
      <x:c r="E858" s="27" t="str">
        <x:v>S12-MATH-03</x:v>
      </x:c>
      <x:c r="F858" s="27" t="str">
        <x:v>Compare numbers 1–10</x:v>
      </x:c>
      <x:c r="G858" s="27" t="str">
        <x:v>S12</x:v>
      </x:c>
      <x:c r="H858" s="27" t="str">
        <x:v>Mathematics</x:v>
      </x:c>
      <x:c r="I858" s="27" t="str">
        <x:v>SRC07; SRC09</x:v>
      </x:c>
      <x:c r="J858" s="27" t="str">
        <x:v>Ordered spiral link; consult explicit prerequisites for logical dependency.</x:v>
      </x:c>
    </x:row>
    <x:row r="859">
      <x:c r="A859" s="27" t="str">
        <x:v>E00855</x:v>
      </x:c>
      <x:c r="B859" s="27" t="str">
        <x:v>S12-MATH-03:PREREQ</x:v>
      </x:c>
      <x:c r="C859" s="27" t="str">
        <x:v>Quantity mapping and one-to-one comparison.</x:v>
      </x:c>
      <x:c r="D859" s="27" t="str">
        <x:v>PREREQUISITE</x:v>
      </x:c>
      <x:c r="E859" s="27" t="str">
        <x:v>S12-MATH-03</x:v>
      </x:c>
      <x:c r="F859" s="27" t="str">
        <x:v>Compare numbers 1–10</x:v>
      </x:c>
      <x:c r="G859" s="27" t="str">
        <x:v>S12</x:v>
      </x:c>
      <x:c r="H859" s="27" t="str">
        <x:v>Mathematics</x:v>
      </x:c>
      <x:c r="I859" s="27" t="str">
        <x:v>SRC07; SRC09</x:v>
      </x:c>
      <x:c r="J859" s="27" t="str">
        <x:v>Incoming prerequisite relationship.</x:v>
      </x:c>
    </x:row>
    <x:row r="860">
      <x:c r="A860" s="27" t="str">
        <x:v>E00856</x:v>
      </x:c>
      <x:c r="B860" s="27" t="str">
        <x:v>S12-MATH-03:GROUND</x:v>
      </x:c>
      <x:c r="C860" s="27" t="str">
        <x:v>G4/G5 — Concrete model linked to coordinated representations</x:v>
      </x:c>
      <x:c r="D860" s="27" t="str">
        <x:v>GROUNDED_BY</x:v>
      </x:c>
      <x:c r="E860" s="27" t="str">
        <x:v>S12-MATH-03</x:v>
      </x:c>
      <x:c r="F860" s="27" t="str">
        <x:v>Compare numbers 1–10</x:v>
      </x:c>
      <x:c r="G860" s="27" t="str">
        <x:v>S12</x:v>
      </x:c>
      <x:c r="H860" s="27" t="str">
        <x:v>Mathematics</x:v>
      </x:c>
      <x:c r="I860" s="27" t="str">
        <x:v>SRC07; SRC09</x:v>
      </x:c>
      <x:c r="J860" s="27" t="str">
        <x:v>Grounding form used to preserve meaning.</x:v>
      </x:c>
    </x:row>
    <x:row r="861">
      <x:c r="A861" s="27" t="str">
        <x:v>E00857</x:v>
      </x:c>
      <x:c r="B861" s="27" t="str">
        <x:v>S12-MATH-03</x:v>
      </x:c>
      <x:c r="C861" s="27" t="str">
        <x:v>Compare numbers 1–10</x:v>
      </x:c>
      <x:c r="D861" s="27" t="str">
        <x:v>CONNECTS_TO</x:v>
      </x:c>
      <x:c r="E861" s="27" t="str">
        <x:v>S12-MATH-03:CROSS</x:v>
      </x:c>
      <x:c r="F861" s="27" t="str">
        <x:v>Physical quantity and spatial action; science measurement/models; computing/algorithms; finance; music rhythm/pattern; geographic data.</x:v>
      </x:c>
      <x:c r="G861" s="27" t="str">
        <x:v>S12</x:v>
      </x:c>
      <x:c r="H861" s="27" t="str">
        <x:v>Mathematics</x:v>
      </x:c>
      <x:c r="I861" s="27" t="str">
        <x:v>SRC07; SRC09</x:v>
      </x:c>
      <x:c r="J861" s="27" t="str">
        <x:v>Parallel subject and representation links.</x:v>
      </x:c>
    </x:row>
    <x:row r="862">
      <x:c r="A862" s="27" t="str">
        <x:v>E00858</x:v>
      </x:c>
      <x:c r="B862" s="27" t="str">
        <x:v>S12-MATH-03</x:v>
      </x:c>
      <x:c r="C862" s="27" t="str">
        <x:v>Compare numbers 1–10</x:v>
      </x:c>
      <x:c r="D862" s="27" t="str">
        <x:v>UNLOCKS</x:v>
      </x:c>
      <x:c r="E862" s="27" t="str">
        <x:v>S12-MATH-03:NEXT</x:v>
      </x:c>
      <x:c r="F862" s="27" t="str">
        <x:v>Numerical order supports number lines, inequality, estimation, and operation reasonableness.</x:v>
      </x:c>
      <x:c r="G862" s="27" t="str">
        <x:v>S12</x:v>
      </x:c>
      <x:c r="H862" s="27" t="str">
        <x:v>Mathematics</x:v>
      </x:c>
      <x:c r="I862" s="27" t="str">
        <x:v>SRC07; SRC09</x:v>
      </x:c>
      <x:c r="J862" s="27" t="str">
        <x:v>Outgoing use and placement rationale.</x:v>
      </x:c>
    </x:row>
    <x:row r="863">
      <x:c r="A863" s="27" t="str">
        <x:v>E00859</x:v>
      </x:c>
      <x:c r="B863" s="27" t="str">
        <x:v>S12-MATH-03</x:v>
      </x:c>
      <x:c r="C863" s="27" t="str">
        <x:v>Compare numbers 1–10</x:v>
      </x:c>
      <x:c r="D863" s="27" t="str">
        <x:v>VERIFIED_BY</x:v>
      </x:c>
      <x:c r="E863" s="27" t="str">
        <x:v>S12-MATH-03:EVIDENCE</x:v>
      </x:c>
      <x:c r="F863" s="27" t="str">
        <x:v>Explains a comparison using objects, drawings, or number order.</x:v>
      </x:c>
      <x:c r="G863" s="27" t="str">
        <x:v>S12</x:v>
      </x:c>
      <x:c r="H863" s="27" t="str">
        <x:v>Mathematics</x:v>
      </x:c>
      <x:c r="I863" s="27" t="str">
        <x:v>SRC07; SRC09</x:v>
      </x:c>
      <x:c r="J863" s="27" t="str">
        <x:v>Observable evidence of usable learning.</x:v>
      </x:c>
    </x:row>
    <x:row r="864">
      <x:c r="A864" s="27" t="str">
        <x:v>E00860</x:v>
      </x:c>
      <x:c r="B864" s="27" t="str">
        <x:v>S12-MATH-03</x:v>
      </x:c>
      <x:c r="C864" s="27" t="str">
        <x:v>Previous node in domain progression</x:v>
      </x:c>
      <x:c r="D864" s="27" t="str">
        <x:v>DOMAIN_SEQUENCE</x:v>
      </x:c>
      <x:c r="E864" s="27" t="str">
        <x:v>S12-MATH-04</x:v>
      </x:c>
      <x:c r="F864" s="27" t="str">
        <x:v>Addition and subtraction within 10</x:v>
      </x:c>
      <x:c r="G864" s="27" t="str">
        <x:v>S12</x:v>
      </x:c>
      <x:c r="H864" s="27" t="str">
        <x:v>Mathematics</x:v>
      </x:c>
      <x:c r="I864" s="27" t="str">
        <x:v>SRC07; SRC09</x:v>
      </x:c>
      <x:c r="J864" s="27" t="str">
        <x:v>Ordered spiral link; consult explicit prerequisites for logical dependency.</x:v>
      </x:c>
    </x:row>
    <x:row r="865">
      <x:c r="A865" s="27" t="str">
        <x:v>E00861</x:v>
      </x:c>
      <x:c r="B865" s="27" t="str">
        <x:v>S12-MATH-04:PREREQ</x:v>
      </x:c>
      <x:c r="C865" s="27" t="str">
        <x:v>Compose/decompose small quantities and exact counting.</x:v>
      </x:c>
      <x:c r="D865" s="27" t="str">
        <x:v>PREREQUISITE</x:v>
      </x:c>
      <x:c r="E865" s="27" t="str">
        <x:v>S12-MATH-04</x:v>
      </x:c>
      <x:c r="F865" s="27" t="str">
        <x:v>Addition and subtraction within 10</x:v>
      </x:c>
      <x:c r="G865" s="27" t="str">
        <x:v>S12</x:v>
      </x:c>
      <x:c r="H865" s="27" t="str">
        <x:v>Mathematics</x:v>
      </x:c>
      <x:c r="I865" s="27" t="str">
        <x:v>SRC07; SRC09</x:v>
      </x:c>
      <x:c r="J865" s="27" t="str">
        <x:v>Incoming prerequisite relationship.</x:v>
      </x:c>
    </x:row>
    <x:row r="866">
      <x:c r="A866" s="27" t="str">
        <x:v>E00862</x:v>
      </x:c>
      <x:c r="B866" s="27" t="str">
        <x:v>S12-MATH-04:GROUND</x:v>
      </x:c>
      <x:c r="C866" s="27" t="str">
        <x:v>G4/G5 — Concrete model linked to coordinated representations</x:v>
      </x:c>
      <x:c r="D866" s="27" t="str">
        <x:v>GROUNDED_BY</x:v>
      </x:c>
      <x:c r="E866" s="27" t="str">
        <x:v>S12-MATH-04</x:v>
      </x:c>
      <x:c r="F866" s="27" t="str">
        <x:v>Addition and subtraction within 10</x:v>
      </x:c>
      <x:c r="G866" s="27" t="str">
        <x:v>S12</x:v>
      </x:c>
      <x:c r="H866" s="27" t="str">
        <x:v>Mathematics</x:v>
      </x:c>
      <x:c r="I866" s="27" t="str">
        <x:v>SRC07; SRC09</x:v>
      </x:c>
      <x:c r="J866" s="27" t="str">
        <x:v>Grounding form used to preserve meaning.</x:v>
      </x:c>
    </x:row>
    <x:row r="867">
      <x:c r="A867" s="27" t="str">
        <x:v>E00863</x:v>
      </x:c>
      <x:c r="B867" s="27" t="str">
        <x:v>S12-MATH-04</x:v>
      </x:c>
      <x:c r="C867" s="27" t="str">
        <x:v>Addition and subtraction within 10</x:v>
      </x:c>
      <x:c r="D867" s="27" t="str">
        <x:v>CONNECTS_TO</x:v>
      </x:c>
      <x:c r="E867" s="27" t="str">
        <x:v>S12-MATH-04:CROSS</x:v>
      </x:c>
      <x:c r="F867" s="27" t="str">
        <x:v>Physical quantity and spatial action; science measurement/models; computing/algorithms; finance; music rhythm/pattern; geographic data.</x:v>
      </x:c>
      <x:c r="G867" s="27" t="str">
        <x:v>S12</x:v>
      </x:c>
      <x:c r="H867" s="27" t="str">
        <x:v>Mathematics</x:v>
      </x:c>
      <x:c r="I867" s="27" t="str">
        <x:v>SRC07; SRC09</x:v>
      </x:c>
      <x:c r="J867" s="27" t="str">
        <x:v>Parallel subject and representation links.</x:v>
      </x:c>
    </x:row>
    <x:row r="868">
      <x:c r="A868" s="27" t="str">
        <x:v>E00864</x:v>
      </x:c>
      <x:c r="B868" s="27" t="str">
        <x:v>S12-MATH-04</x:v>
      </x:c>
      <x:c r="C868" s="27" t="str">
        <x:v>Addition and subtraction within 10</x:v>
      </x:c>
      <x:c r="D868" s="27" t="str">
        <x:v>UNLOCKS</x:v>
      </x:c>
      <x:c r="E868" s="27" t="str">
        <x:v>S12-MATH-04:NEXT</x:v>
      </x:c>
      <x:c r="F868" s="27" t="str">
        <x:v>Multiple meanings prevent operations from becoming isolated symbol rules.</x:v>
      </x:c>
      <x:c r="G868" s="27" t="str">
        <x:v>S12</x:v>
      </x:c>
      <x:c r="H868" s="27" t="str">
        <x:v>Mathematics</x:v>
      </x:c>
      <x:c r="I868" s="27" t="str">
        <x:v>SRC07; SRC09</x:v>
      </x:c>
      <x:c r="J868" s="27" t="str">
        <x:v>Outgoing use and placement rationale.</x:v>
      </x:c>
    </x:row>
    <x:row r="869">
      <x:c r="A869" s="27" t="str">
        <x:v>E00865</x:v>
      </x:c>
      <x:c r="B869" s="27" t="str">
        <x:v>S12-MATH-04</x:v>
      </x:c>
      <x:c r="C869" s="27" t="str">
        <x:v>Addition and subtraction within 10</x:v>
      </x:c>
      <x:c r="D869" s="27" t="str">
        <x:v>VERIFIED_BY</x:v>
      </x:c>
      <x:c r="E869" s="27" t="str">
        <x:v>S12-MATH-04:EVIDENCE</x:v>
      </x:c>
      <x:c r="F869" s="27" t="str">
        <x:v>Models and solves an unfamiliar story within 10 and explains the action represented.</x:v>
      </x:c>
      <x:c r="G869" s="27" t="str">
        <x:v>S12</x:v>
      </x:c>
      <x:c r="H869" s="27" t="str">
        <x:v>Mathematics</x:v>
      </x:c>
      <x:c r="I869" s="27" t="str">
        <x:v>SRC07; SRC09</x:v>
      </x:c>
      <x:c r="J869" s="27" t="str">
        <x:v>Observable evidence of usable learning.</x:v>
      </x:c>
    </x:row>
    <x:row r="870">
      <x:c r="A870" s="27" t="str">
        <x:v>E00866</x:v>
      </x:c>
      <x:c r="B870" s="27" t="str">
        <x:v>S12-MATH-04</x:v>
      </x:c>
      <x:c r="C870" s="27" t="str">
        <x:v>Previous node in domain progression</x:v>
      </x:c>
      <x:c r="D870" s="27" t="str">
        <x:v>DOMAIN_SEQUENCE</x:v>
      </x:c>
      <x:c r="E870" s="27" t="str">
        <x:v>S12-MATH-05</x:v>
      </x:c>
      <x:c r="F870" s="27" t="str">
        <x:v>Teen numbers as ten and ones</x:v>
      </x:c>
      <x:c r="G870" s="27" t="str">
        <x:v>S12</x:v>
      </x:c>
      <x:c r="H870" s="27" t="str">
        <x:v>Mathematics</x:v>
      </x:c>
      <x:c r="I870" s="27" t="str">
        <x:v>SRC09</x:v>
      </x:c>
      <x:c r="J870" s="27" t="str">
        <x:v>Ordered spiral link; consult explicit prerequisites for logical dependency.</x:v>
      </x:c>
    </x:row>
    <x:row r="871">
      <x:c r="A871" s="27" t="str">
        <x:v>E00867</x:v>
      </x:c>
      <x:c r="B871" s="27" t="str">
        <x:v>S12-MATH-05:PREREQ</x:v>
      </x:c>
      <x:c r="C871" s="27" t="str">
        <x:v>Quantity composition, numeral mapping, and counting to 20.</x:v>
      </x:c>
      <x:c r="D871" s="27" t="str">
        <x:v>PREREQUISITE</x:v>
      </x:c>
      <x:c r="E871" s="27" t="str">
        <x:v>S12-MATH-05</x:v>
      </x:c>
      <x:c r="F871" s="27" t="str">
        <x:v>Teen numbers as ten and ones</x:v>
      </x:c>
      <x:c r="G871" s="27" t="str">
        <x:v>S12</x:v>
      </x:c>
      <x:c r="H871" s="27" t="str">
        <x:v>Mathematics</x:v>
      </x:c>
      <x:c r="I871" s="27" t="str">
        <x:v>SRC09</x:v>
      </x:c>
      <x:c r="J871" s="27" t="str">
        <x:v>Incoming prerequisite relationship.</x:v>
      </x:c>
    </x:row>
    <x:row r="872">
      <x:c r="A872" s="27" t="str">
        <x:v>E00868</x:v>
      </x:c>
      <x:c r="B872" s="27" t="str">
        <x:v>S12-MATH-05:GROUND</x:v>
      </x:c>
      <x:c r="C872" s="27" t="str">
        <x:v>G4/G5 — Concrete model linked to coordinated representations</x:v>
      </x:c>
      <x:c r="D872" s="27" t="str">
        <x:v>GROUNDED_BY</x:v>
      </x:c>
      <x:c r="E872" s="27" t="str">
        <x:v>S12-MATH-05</x:v>
      </x:c>
      <x:c r="F872" s="27" t="str">
        <x:v>Teen numbers as ten and ones</x:v>
      </x:c>
      <x:c r="G872" s="27" t="str">
        <x:v>S12</x:v>
      </x:c>
      <x:c r="H872" s="27" t="str">
        <x:v>Mathematics</x:v>
      </x:c>
      <x:c r="I872" s="27" t="str">
        <x:v>SRC09</x:v>
      </x:c>
      <x:c r="J872" s="27" t="str">
        <x:v>Grounding form used to preserve meaning.</x:v>
      </x:c>
    </x:row>
    <x:row r="873">
      <x:c r="A873" s="27" t="str">
        <x:v>E00869</x:v>
      </x:c>
      <x:c r="B873" s="27" t="str">
        <x:v>S12-MATH-05</x:v>
      </x:c>
      <x:c r="C873" s="27" t="str">
        <x:v>Teen numbers as ten and ones</x:v>
      </x:c>
      <x:c r="D873" s="27" t="str">
        <x:v>CONNECTS_TO</x:v>
      </x:c>
      <x:c r="E873" s="27" t="str">
        <x:v>S12-MATH-05:CROSS</x:v>
      </x:c>
      <x:c r="F873" s="27" t="str">
        <x:v>Physical quantity and spatial action; science measurement/models; computing/algorithms; finance; music rhythm/pattern; geographic data.</x:v>
      </x:c>
      <x:c r="G873" s="27" t="str">
        <x:v>S12</x:v>
      </x:c>
      <x:c r="H873" s="27" t="str">
        <x:v>Mathematics</x:v>
      </x:c>
      <x:c r="I873" s="27" t="str">
        <x:v>SRC09</x:v>
      </x:c>
      <x:c r="J873" s="27" t="str">
        <x:v>Parallel subject and representation links.</x:v>
      </x:c>
    </x:row>
    <x:row r="874">
      <x:c r="A874" s="27" t="str">
        <x:v>E00870</x:v>
      </x:c>
      <x:c r="B874" s="27" t="str">
        <x:v>S12-MATH-05</x:v>
      </x:c>
      <x:c r="C874" s="27" t="str">
        <x:v>Teen numbers as ten and ones</x:v>
      </x:c>
      <x:c r="D874" s="27" t="str">
        <x:v>UNLOCKS</x:v>
      </x:c>
      <x:c r="E874" s="27" t="str">
        <x:v>S12-MATH-05:NEXT</x:v>
      </x:c>
      <x:c r="F874" s="27" t="str">
        <x:v>Unitizing ten is the conceptual entry to place value and multi-digit arithmetic.</x:v>
      </x:c>
      <x:c r="G874" s="27" t="str">
        <x:v>S12</x:v>
      </x:c>
      <x:c r="H874" s="27" t="str">
        <x:v>Mathematics</x:v>
      </x:c>
      <x:c r="I874" s="27" t="str">
        <x:v>SRC09</x:v>
      </x:c>
      <x:c r="J874" s="27" t="str">
        <x:v>Outgoing use and placement rationale.</x:v>
      </x:c>
    </x:row>
    <x:row r="875">
      <x:c r="A875" s="27" t="str">
        <x:v>E00871</x:v>
      </x:c>
      <x:c r="B875" s="27" t="str">
        <x:v>S12-MATH-05</x:v>
      </x:c>
      <x:c r="C875" s="27" t="str">
        <x:v>Teen numbers as ten and ones</x:v>
      </x:c>
      <x:c r="D875" s="27" t="str">
        <x:v>VERIFIED_BY</x:v>
      </x:c>
      <x:c r="E875" s="27" t="str">
        <x:v>S12-MATH-05:EVIDENCE</x:v>
      </x:c>
      <x:c r="F875" s="27" t="str">
        <x:v>Builds, draws, and names a teen number as 10 + ones.</x:v>
      </x:c>
      <x:c r="G875" s="27" t="str">
        <x:v>S12</x:v>
      </x:c>
      <x:c r="H875" s="27" t="str">
        <x:v>Mathematics</x:v>
      </x:c>
      <x:c r="I875" s="27" t="str">
        <x:v>SRC09</x:v>
      </x:c>
      <x:c r="J875" s="27" t="str">
        <x:v>Observable evidence of usable learning.</x:v>
      </x:c>
    </x:row>
    <x:row r="876">
      <x:c r="A876" s="27" t="str">
        <x:v>E00872</x:v>
      </x:c>
      <x:c r="B876" s="27" t="str">
        <x:v>S12-MATH-05</x:v>
      </x:c>
      <x:c r="C876" s="27" t="str">
        <x:v>Previous node in domain progression</x:v>
      </x:c>
      <x:c r="D876" s="27" t="str">
        <x:v>DOMAIN_SEQUENCE</x:v>
      </x:c>
      <x:c r="E876" s="27" t="str">
        <x:v>S12-MATH-06</x:v>
      </x:c>
      <x:c r="F876" s="27" t="str">
        <x:v>Describe, compare, build, and partition shapes</x:v>
      </x:c>
      <x:c r="G876" s="27" t="str">
        <x:v>S12</x:v>
      </x:c>
      <x:c r="H876" s="27" t="str">
        <x:v>Mathematics</x:v>
      </x:c>
      <x:c r="I876" s="27" t="str">
        <x:v>SRC07; SRC09</x:v>
      </x:c>
      <x:c r="J876" s="27" t="str">
        <x:v>Ordered spiral link; consult explicit prerequisites for logical dependency.</x:v>
      </x:c>
    </x:row>
    <x:row r="877">
      <x:c r="A877" s="27" t="str">
        <x:v>E00873</x:v>
      </x:c>
      <x:c r="B877" s="27" t="str">
        <x:v>S12-MATH-06:PREREQ</x:v>
      </x:c>
      <x:c r="C877" s="27" t="str">
        <x:v>Pre-K shape attributes, spatial language, and composition.</x:v>
      </x:c>
      <x:c r="D877" s="27" t="str">
        <x:v>PREREQUISITE</x:v>
      </x:c>
      <x:c r="E877" s="27" t="str">
        <x:v>S12-MATH-06</x:v>
      </x:c>
      <x:c r="F877" s="27" t="str">
        <x:v>Describe, compare, build, and partition shapes</x:v>
      </x:c>
      <x:c r="G877" s="27" t="str">
        <x:v>S12</x:v>
      </x:c>
      <x:c r="H877" s="27" t="str">
        <x:v>Mathematics</x:v>
      </x:c>
      <x:c r="I877" s="27" t="str">
        <x:v>SRC07; SRC09</x:v>
      </x:c>
      <x:c r="J877" s="27" t="str">
        <x:v>Incoming prerequisite relationship.</x:v>
      </x:c>
    </x:row>
    <x:row r="878">
      <x:c r="A878" s="27" t="str">
        <x:v>E00874</x:v>
      </x:c>
      <x:c r="B878" s="27" t="str">
        <x:v>S12-MATH-06:GROUND</x:v>
      </x:c>
      <x:c r="C878" s="27" t="str">
        <x:v>G4/G5 — Concrete model linked to coordinated representations</x:v>
      </x:c>
      <x:c r="D878" s="27" t="str">
        <x:v>GROUNDED_BY</x:v>
      </x:c>
      <x:c r="E878" s="27" t="str">
        <x:v>S12-MATH-06</x:v>
      </x:c>
      <x:c r="F878" s="27" t="str">
        <x:v>Describe, compare, build, and partition shapes</x:v>
      </x:c>
      <x:c r="G878" s="27" t="str">
        <x:v>S12</x:v>
      </x:c>
      <x:c r="H878" s="27" t="str">
        <x:v>Mathematics</x:v>
      </x:c>
      <x:c r="I878" s="27" t="str">
        <x:v>SRC07; SRC09</x:v>
      </x:c>
      <x:c r="J878" s="27" t="str">
        <x:v>Grounding form used to preserve meaning.</x:v>
      </x:c>
    </x:row>
    <x:row r="879">
      <x:c r="A879" s="27" t="str">
        <x:v>E00875</x:v>
      </x:c>
      <x:c r="B879" s="27" t="str">
        <x:v>S12-MATH-06</x:v>
      </x:c>
      <x:c r="C879" s="27" t="str">
        <x:v>Describe, compare, build, and partition shapes</x:v>
      </x:c>
      <x:c r="D879" s="27" t="str">
        <x:v>CONNECTS_TO</x:v>
      </x:c>
      <x:c r="E879" s="27" t="str">
        <x:v>S12-MATH-06:CROSS</x:v>
      </x:c>
      <x:c r="F879" s="27" t="str">
        <x:v>Physical quantity and spatial action; science measurement/models; computing/algorithms; finance; music rhythm/pattern; geographic data.</x:v>
      </x:c>
      <x:c r="G879" s="27" t="str">
        <x:v>S12</x:v>
      </x:c>
      <x:c r="H879" s="27" t="str">
        <x:v>Mathematics</x:v>
      </x:c>
      <x:c r="I879" s="27" t="str">
        <x:v>SRC07; SRC09</x:v>
      </x:c>
      <x:c r="J879" s="27" t="str">
        <x:v>Parallel subject and representation links.</x:v>
      </x:c>
    </x:row>
    <x:row r="880">
      <x:c r="A880" s="27" t="str">
        <x:v>E00876</x:v>
      </x:c>
      <x:c r="B880" s="27" t="str">
        <x:v>S12-MATH-06</x:v>
      </x:c>
      <x:c r="C880" s="27" t="str">
        <x:v>Describe, compare, build, and partition shapes</x:v>
      </x:c>
      <x:c r="D880" s="27" t="str">
        <x:v>UNLOCKS</x:v>
      </x:c>
      <x:c r="E880" s="27" t="str">
        <x:v>S12-MATH-06:NEXT</x:v>
      </x:c>
      <x:c r="F880" s="27" t="str">
        <x:v>Attribute reasoning and composition prepare measurement, fractions, area, and proof.</x:v>
      </x:c>
      <x:c r="G880" s="27" t="str">
        <x:v>S12</x:v>
      </x:c>
      <x:c r="H880" s="27" t="str">
        <x:v>Mathematics</x:v>
      </x:c>
      <x:c r="I880" s="27" t="str">
        <x:v>SRC07; SRC09</x:v>
      </x:c>
      <x:c r="J880" s="27" t="str">
        <x:v>Outgoing use and placement rationale.</x:v>
      </x:c>
    </x:row>
    <x:row r="881">
      <x:c r="A881" s="27" t="str">
        <x:v>E00877</x:v>
      </x:c>
      <x:c r="B881" s="27" t="str">
        <x:v>S12-MATH-06</x:v>
      </x:c>
      <x:c r="C881" s="27" t="str">
        <x:v>Describe, compare, build, and partition shapes</x:v>
      </x:c>
      <x:c r="D881" s="27" t="str">
        <x:v>VERIFIED_BY</x:v>
      </x:c>
      <x:c r="E881" s="27" t="str">
        <x:v>S12-MATH-06:EVIDENCE</x:v>
      </x:c>
      <x:c r="F881" s="27" t="str">
        <x:v>Classifies an unfamiliar example by attributes and builds a requested composite shape.</x:v>
      </x:c>
      <x:c r="G881" s="27" t="str">
        <x:v>S12</x:v>
      </x:c>
      <x:c r="H881" s="27" t="str">
        <x:v>Mathematics</x:v>
      </x:c>
      <x:c r="I881" s="27" t="str">
        <x:v>SRC07; SRC09</x:v>
      </x:c>
      <x:c r="J881" s="27" t="str">
        <x:v>Observable evidence of usable learning.</x:v>
      </x:c>
    </x:row>
    <x:row r="882">
      <x:c r="A882" s="27" t="str">
        <x:v>E00878</x:v>
      </x:c>
      <x:c r="B882" s="27" t="str">
        <x:v>S11-SCI-01</x:v>
      </x:c>
      <x:c r="C882" s="27" t="str">
        <x:v>Previous node in domain progression</x:v>
      </x:c>
      <x:c r="D882" s="27" t="str">
        <x:v>DOMAIN_SEQUENCE</x:v>
      </x:c>
      <x:c r="E882" s="27" t="str">
        <x:v>S12-SCI-01</x:v>
      </x:c>
      <x:c r="F882" s="27" t="str">
        <x:v>Pushes, pulls, and motion</x:v>
      </x:c>
      <x:c r="G882" s="27" t="str">
        <x:v>S12</x:v>
      </x:c>
      <x:c r="H882" s="27" t="str">
        <x:v>Science &amp; Engineering</x:v>
      </x:c>
      <x:c r="I882" s="27" t="str">
        <x:v>SRC11</x:v>
      </x:c>
      <x:c r="J882" s="27" t="str">
        <x:v>Ordered spiral link; consult explicit prerequisites for logical dependency.</x:v>
      </x:c>
    </x:row>
    <x:row r="883">
      <x:c r="A883" s="27" t="str">
        <x:v>E00879</x:v>
      </x:c>
      <x:c r="B883" s="27" t="str">
        <x:v>S12-SCI-01:PREREQ</x:v>
      </x:c>
      <x:c r="C883" s="27" t="str">
        <x:v>Prediction-test-record-explain cycle and movement concepts.</x:v>
      </x:c>
      <x:c r="D883" s="27" t="str">
        <x:v>PREREQUISITE</x:v>
      </x:c>
      <x:c r="E883" s="27" t="str">
        <x:v>S12-SCI-01</x:v>
      </x:c>
      <x:c r="F883" s="27" t="str">
        <x:v>Pushes, pulls, and motion</x:v>
      </x:c>
      <x:c r="G883" s="27" t="str">
        <x:v>S12</x:v>
      </x:c>
      <x:c r="H883" s="27" t="str">
        <x:v>Science &amp; Engineering</x:v>
      </x:c>
      <x:c r="I883" s="27" t="str">
        <x:v>SRC11</x:v>
      </x:c>
      <x:c r="J883" s="27" t="str">
        <x:v>Incoming prerequisite relationship.</x:v>
      </x:c>
    </x:row>
    <x:row r="884">
      <x:c r="A884" s="27" t="str">
        <x:v>E00880</x:v>
      </x:c>
      <x:c r="B884" s="27" t="str">
        <x:v>S12-SCI-01:GROUND</x:v>
      </x:c>
      <x:c r="C884" s="27" t="str">
        <x:v>G4/G5 — Concrete model linked to coordinated representations</x:v>
      </x:c>
      <x:c r="D884" s="27" t="str">
        <x:v>GROUNDED_BY</x:v>
      </x:c>
      <x:c r="E884" s="27" t="str">
        <x:v>S12-SCI-01</x:v>
      </x:c>
      <x:c r="F884" s="27" t="str">
        <x:v>Pushes, pulls, and motion</x:v>
      </x:c>
      <x:c r="G884" s="27" t="str">
        <x:v>S12</x:v>
      </x:c>
      <x:c r="H884" s="27" t="str">
        <x:v>Science &amp; Engineering</x:v>
      </x:c>
      <x:c r="I884" s="27" t="str">
        <x:v>SRC11</x:v>
      </x:c>
      <x:c r="J884" s="27" t="str">
        <x:v>Grounding form used to preserve meaning.</x:v>
      </x:c>
    </x:row>
    <x:row r="885">
      <x:c r="A885" s="27" t="str">
        <x:v>E00881</x:v>
      </x:c>
      <x:c r="B885" s="27" t="str">
        <x:v>S12-SCI-01</x:v>
      </x:c>
      <x:c r="C885" s="27" t="str">
        <x:v>Pushes, pulls, and motion</x:v>
      </x:c>
      <x:c r="D885" s="27" t="str">
        <x:v>CONNECTS_TO</x:v>
      </x:c>
      <x:c r="E885" s="27" t="str">
        <x:v>S12-SCI-01:CROSS</x:v>
      </x:c>
      <x:c r="F885" s="27" t="str">
        <x:v>Sensory observation and action; mathematics/data; reading/writing evidence; computing/models; health and environmental/civic decisions.</x:v>
      </x:c>
      <x:c r="G885" s="27" t="str">
        <x:v>S12</x:v>
      </x:c>
      <x:c r="H885" s="27" t="str">
        <x:v>Science &amp; Engineering</x:v>
      </x:c>
      <x:c r="I885" s="27" t="str">
        <x:v>SRC11</x:v>
      </x:c>
      <x:c r="J885" s="27" t="str">
        <x:v>Parallel subject and representation links.</x:v>
      </x:c>
    </x:row>
    <x:row r="886">
      <x:c r="A886" s="27" t="str">
        <x:v>E00882</x:v>
      </x:c>
      <x:c r="B886" s="27" t="str">
        <x:v>S12-SCI-01</x:v>
      </x:c>
      <x:c r="C886" s="27" t="str">
        <x:v>Pushes, pulls, and motion</x:v>
      </x:c>
      <x:c r="D886" s="27" t="str">
        <x:v>UNLOCKS</x:v>
      </x:c>
      <x:c r="E886" s="27" t="str">
        <x:v>S12-SCI-01:NEXT</x:v>
      </x:c>
      <x:c r="F886" s="27" t="str">
        <x:v>Observable motion links forces to cause and effect before formal measurement.</x:v>
      </x:c>
      <x:c r="G886" s="27" t="str">
        <x:v>S12</x:v>
      </x:c>
      <x:c r="H886" s="27" t="str">
        <x:v>Science &amp; Engineering</x:v>
      </x:c>
      <x:c r="I886" s="27" t="str">
        <x:v>SRC11</x:v>
      </x:c>
      <x:c r="J886" s="27" t="str">
        <x:v>Outgoing use and placement rationale.</x:v>
      </x:c>
    </x:row>
    <x:row r="887">
      <x:c r="A887" s="27" t="str">
        <x:v>E00883</x:v>
      </x:c>
      <x:c r="B887" s="27" t="str">
        <x:v>S12-SCI-01</x:v>
      </x:c>
      <x:c r="C887" s="27" t="str">
        <x:v>Pushes, pulls, and motion</x:v>
      </x:c>
      <x:c r="D887" s="27" t="str">
        <x:v>VERIFIED_BY</x:v>
      </x:c>
      <x:c r="E887" s="27" t="str">
        <x:v>S12-SCI-01:EVIDENCE</x:v>
      </x:c>
      <x:c r="F887" s="27" t="str">
        <x:v>Compares two tests and uses the observed motion to explain the effect of a push or pull.</x:v>
      </x:c>
      <x:c r="G887" s="27" t="str">
        <x:v>S12</x:v>
      </x:c>
      <x:c r="H887" s="27" t="str">
        <x:v>Science &amp; Engineering</x:v>
      </x:c>
      <x:c r="I887" s="27" t="str">
        <x:v>SRC11</x:v>
      </x:c>
      <x:c r="J887" s="27" t="str">
        <x:v>Observable evidence of usable learning.</x:v>
      </x:c>
    </x:row>
    <x:row r="888">
      <x:c r="A888" s="27" t="str">
        <x:v>E00884</x:v>
      </x:c>
      <x:c r="B888" s="27" t="str">
        <x:v>S12-SCI-01</x:v>
      </x:c>
      <x:c r="C888" s="27" t="str">
        <x:v>Previous node in domain progression</x:v>
      </x:c>
      <x:c r="D888" s="27" t="str">
        <x:v>DOMAIN_SEQUENCE</x:v>
      </x:c>
      <x:c r="E888" s="27" t="str">
        <x:v>S12-SCI-02</x:v>
      </x:c>
      <x:c r="F888" s="27" t="str">
        <x:v>Needs and environmental relationships</x:v>
      </x:c>
      <x:c r="G888" s="27" t="str">
        <x:v>S12</x:v>
      </x:c>
      <x:c r="H888" s="27" t="str">
        <x:v>Science &amp; Engineering</x:v>
      </x:c>
      <x:c r="I888" s="27" t="str">
        <x:v>SRC11</x:v>
      </x:c>
      <x:c r="J888" s="27" t="str">
        <x:v>Ordered spiral link; consult explicit prerequisites for logical dependency.</x:v>
      </x:c>
    </x:row>
    <x:row r="889">
      <x:c r="A889" s="27" t="str">
        <x:v>E00885</x:v>
      </x:c>
      <x:c r="B889" s="27" t="str">
        <x:v>S12-SCI-02:PREREQ</x:v>
      </x:c>
      <x:c r="C889" s="27" t="str">
        <x:v>Living/nonliving experience, care routines, and observation.</x:v>
      </x:c>
      <x:c r="D889" s="27" t="str">
        <x:v>PREREQUISITE</x:v>
      </x:c>
      <x:c r="E889" s="27" t="str">
        <x:v>S12-SCI-02</x:v>
      </x:c>
      <x:c r="F889" s="27" t="str">
        <x:v>Needs and environmental relationships</x:v>
      </x:c>
      <x:c r="G889" s="27" t="str">
        <x:v>S12</x:v>
      </x:c>
      <x:c r="H889" s="27" t="str">
        <x:v>Science &amp; Engineering</x:v>
      </x:c>
      <x:c r="I889" s="27" t="str">
        <x:v>SRC11</x:v>
      </x:c>
      <x:c r="J889" s="27" t="str">
        <x:v>Incoming prerequisite relationship.</x:v>
      </x:c>
    </x:row>
    <x:row r="890">
      <x:c r="A890" s="27" t="str">
        <x:v>E00886</x:v>
      </x:c>
      <x:c r="B890" s="27" t="str">
        <x:v>S12-SCI-02:GROUND</x:v>
      </x:c>
      <x:c r="C890" s="27" t="str">
        <x:v>G4/G5 — Concrete model linked to coordinated representations</x:v>
      </x:c>
      <x:c r="D890" s="27" t="str">
        <x:v>GROUNDED_BY</x:v>
      </x:c>
      <x:c r="E890" s="27" t="str">
        <x:v>S12-SCI-02</x:v>
      </x:c>
      <x:c r="F890" s="27" t="str">
        <x:v>Needs and environmental relationships</x:v>
      </x:c>
      <x:c r="G890" s="27" t="str">
        <x:v>S12</x:v>
      </x:c>
      <x:c r="H890" s="27" t="str">
        <x:v>Science &amp; Engineering</x:v>
      </x:c>
      <x:c r="I890" s="27" t="str">
        <x:v>SRC11</x:v>
      </x:c>
      <x:c r="J890" s="27" t="str">
        <x:v>Grounding form used to preserve meaning.</x:v>
      </x:c>
    </x:row>
    <x:row r="891">
      <x:c r="A891" s="27" t="str">
        <x:v>E00887</x:v>
      </x:c>
      <x:c r="B891" s="27" t="str">
        <x:v>S12-SCI-02</x:v>
      </x:c>
      <x:c r="C891" s="27" t="str">
        <x:v>Needs and environmental relationships</x:v>
      </x:c>
      <x:c r="D891" s="27" t="str">
        <x:v>CONNECTS_TO</x:v>
      </x:c>
      <x:c r="E891" s="27" t="str">
        <x:v>S12-SCI-02:CROSS</x:v>
      </x:c>
      <x:c r="F891" s="27" t="str">
        <x:v>Sensory observation and action; mathematics/data; reading/writing evidence; computing/models; health and environmental/civic decisions.</x:v>
      </x:c>
      <x:c r="G891" s="27" t="str">
        <x:v>S12</x:v>
      </x:c>
      <x:c r="H891" s="27" t="str">
        <x:v>Science &amp; Engineering</x:v>
      </x:c>
      <x:c r="I891" s="27" t="str">
        <x:v>SRC11</x:v>
      </x:c>
      <x:c r="J891" s="27" t="str">
        <x:v>Parallel subject and representation links.</x:v>
      </x:c>
    </x:row>
    <x:row r="892">
      <x:c r="A892" s="27" t="str">
        <x:v>E00888</x:v>
      </x:c>
      <x:c r="B892" s="27" t="str">
        <x:v>S12-SCI-02</x:v>
      </x:c>
      <x:c r="C892" s="27" t="str">
        <x:v>Needs and environmental relationships</x:v>
      </x:c>
      <x:c r="D892" s="27" t="str">
        <x:v>UNLOCKS</x:v>
      </x:c>
      <x:c r="E892" s="27" t="str">
        <x:v>S12-SCI-02:NEXT</x:v>
      </x:c>
      <x:c r="F892" s="27" t="str">
        <x:v>Needs and relationships are the entry model for ecosystems.</x:v>
      </x:c>
      <x:c r="G892" s="27" t="str">
        <x:v>S12</x:v>
      </x:c>
      <x:c r="H892" s="27" t="str">
        <x:v>Science &amp; Engineering</x:v>
      </x:c>
      <x:c r="I892" s="27" t="str">
        <x:v>SRC11</x:v>
      </x:c>
      <x:c r="J892" s="27" t="str">
        <x:v>Outgoing use and placement rationale.</x:v>
      </x:c>
    </x:row>
    <x:row r="893">
      <x:c r="A893" s="27" t="str">
        <x:v>E00889</x:v>
      </x:c>
      <x:c r="B893" s="27" t="str">
        <x:v>S12-SCI-02</x:v>
      </x:c>
      <x:c r="C893" s="27" t="str">
        <x:v>Needs and environmental relationships</x:v>
      </x:c>
      <x:c r="D893" s="27" t="str">
        <x:v>VERIFIED_BY</x:v>
      </x:c>
      <x:c r="E893" s="27" t="str">
        <x:v>S12-SCI-02:EVIDENCE</x:v>
      </x:c>
      <x:c r="F893" s="27" t="str">
        <x:v>Uses observations to connect a living thing to a resource or environmental change.</x:v>
      </x:c>
      <x:c r="G893" s="27" t="str">
        <x:v>S12</x:v>
      </x:c>
      <x:c r="H893" s="27" t="str">
        <x:v>Science &amp; Engineering</x:v>
      </x:c>
      <x:c r="I893" s="27" t="str">
        <x:v>SRC11</x:v>
      </x:c>
      <x:c r="J893" s="27" t="str">
        <x:v>Observable evidence of usable learning.</x:v>
      </x:c>
    </x:row>
    <x:row r="894">
      <x:c r="A894" s="27" t="str">
        <x:v>E00890</x:v>
      </x:c>
      <x:c r="B894" s="27" t="str">
        <x:v>S12-SCI-02</x:v>
      </x:c>
      <x:c r="C894" s="27" t="str">
        <x:v>Previous node in domain progression</x:v>
      </x:c>
      <x:c r="D894" s="27" t="str">
        <x:v>DOMAIN_SEQUENCE</x:v>
      </x:c>
      <x:c r="E894" s="27" t="str">
        <x:v>S12-SCI-03</x:v>
      </x:c>
      <x:c r="F894" s="27" t="str">
        <x:v>Weather observations and patterns</x:v>
      </x:c>
      <x:c r="G894" s="27" t="str">
        <x:v>S12</x:v>
      </x:c>
      <x:c r="H894" s="27" t="str">
        <x:v>Science &amp; Engineering</x:v>
      </x:c>
      <x:c r="I894" s="27" t="str">
        <x:v>SRC11</x:v>
      </x:c>
      <x:c r="J894" s="27" t="str">
        <x:v>Ordered spiral link; consult explicit prerequisites for logical dependency.</x:v>
      </x:c>
    </x:row>
    <x:row r="895">
      <x:c r="A895" s="27" t="str">
        <x:v>E00891</x:v>
      </x:c>
      <x:c r="B895" s="27" t="str">
        <x:v>S12-SCI-03:PREREQ</x:v>
      </x:c>
      <x:c r="C895" s="27" t="str">
        <x:v>Attribute description, counting, and picture recording.</x:v>
      </x:c>
      <x:c r="D895" s="27" t="str">
        <x:v>PREREQUISITE</x:v>
      </x:c>
      <x:c r="E895" s="27" t="str">
        <x:v>S12-SCI-03</x:v>
      </x:c>
      <x:c r="F895" s="27" t="str">
        <x:v>Weather observations and patterns</x:v>
      </x:c>
      <x:c r="G895" s="27" t="str">
        <x:v>S12</x:v>
      </x:c>
      <x:c r="H895" s="27" t="str">
        <x:v>Science &amp; Engineering</x:v>
      </x:c>
      <x:c r="I895" s="27" t="str">
        <x:v>SRC11</x:v>
      </x:c>
      <x:c r="J895" s="27" t="str">
        <x:v>Incoming prerequisite relationship.</x:v>
      </x:c>
    </x:row>
    <x:row r="896">
      <x:c r="A896" s="27" t="str">
        <x:v>E00892</x:v>
      </x:c>
      <x:c r="B896" s="27" t="str">
        <x:v>S12-SCI-03:GROUND</x:v>
      </x:c>
      <x:c r="C896" s="27" t="str">
        <x:v>G4/G5 — Concrete model linked to coordinated representations</x:v>
      </x:c>
      <x:c r="D896" s="27" t="str">
        <x:v>GROUNDED_BY</x:v>
      </x:c>
      <x:c r="E896" s="27" t="str">
        <x:v>S12-SCI-03</x:v>
      </x:c>
      <x:c r="F896" s="27" t="str">
        <x:v>Weather observations and patterns</x:v>
      </x:c>
      <x:c r="G896" s="27" t="str">
        <x:v>S12</x:v>
      </x:c>
      <x:c r="H896" s="27" t="str">
        <x:v>Science &amp; Engineering</x:v>
      </x:c>
      <x:c r="I896" s="27" t="str">
        <x:v>SRC11</x:v>
      </x:c>
      <x:c r="J896" s="27" t="str">
        <x:v>Grounding form used to preserve meaning.</x:v>
      </x:c>
    </x:row>
    <x:row r="897">
      <x:c r="A897" s="27" t="str">
        <x:v>E00893</x:v>
      </x:c>
      <x:c r="B897" s="27" t="str">
        <x:v>S12-SCI-03</x:v>
      </x:c>
      <x:c r="C897" s="27" t="str">
        <x:v>Weather observations and patterns</x:v>
      </x:c>
      <x:c r="D897" s="27" t="str">
        <x:v>CONNECTS_TO</x:v>
      </x:c>
      <x:c r="E897" s="27" t="str">
        <x:v>S12-SCI-03:CROSS</x:v>
      </x:c>
      <x:c r="F897" s="27" t="str">
        <x:v>Sensory observation and action; mathematics/data; reading/writing evidence; computing/models; health and environmental/civic decisions.</x:v>
      </x:c>
      <x:c r="G897" s="27" t="str">
        <x:v>S12</x:v>
      </x:c>
      <x:c r="H897" s="27" t="str">
        <x:v>Science &amp; Engineering</x:v>
      </x:c>
      <x:c r="I897" s="27" t="str">
        <x:v>SRC11</x:v>
      </x:c>
      <x:c r="J897" s="27" t="str">
        <x:v>Parallel subject and representation links.</x:v>
      </x:c>
    </x:row>
    <x:row r="898">
      <x:c r="A898" s="27" t="str">
        <x:v>E00894</x:v>
      </x:c>
      <x:c r="B898" s="27" t="str">
        <x:v>S12-SCI-03</x:v>
      </x:c>
      <x:c r="C898" s="27" t="str">
        <x:v>Weather observations and patterns</x:v>
      </x:c>
      <x:c r="D898" s="27" t="str">
        <x:v>UNLOCKS</x:v>
      </x:c>
      <x:c r="E898" s="27" t="str">
        <x:v>S12-SCI-03:NEXT</x:v>
      </x:c>
      <x:c r="F898" s="27" t="str">
        <x:v>Repeated observations create data for pattern-based prediction.</x:v>
      </x:c>
      <x:c r="G898" s="27" t="str">
        <x:v>S12</x:v>
      </x:c>
      <x:c r="H898" s="27" t="str">
        <x:v>Science &amp; Engineering</x:v>
      </x:c>
      <x:c r="I898" s="27" t="str">
        <x:v>SRC11</x:v>
      </x:c>
      <x:c r="J898" s="27" t="str">
        <x:v>Outgoing use and placement rationale.</x:v>
      </x:c>
    </x:row>
    <x:row r="899">
      <x:c r="A899" s="27" t="str">
        <x:v>E00895</x:v>
      </x:c>
      <x:c r="B899" s="27" t="str">
        <x:v>S12-SCI-03</x:v>
      </x:c>
      <x:c r="C899" s="27" t="str">
        <x:v>Weather observations and patterns</x:v>
      </x:c>
      <x:c r="D899" s="27" t="str">
        <x:v>VERIFIED_BY</x:v>
      </x:c>
      <x:c r="E899" s="27" t="str">
        <x:v>S12-SCI-03:EVIDENCE</x:v>
      </x:c>
      <x:c r="F899" s="27" t="str">
        <x:v>Uses a record to describe a weather pattern and a related preparation choice.</x:v>
      </x:c>
      <x:c r="G899" s="27" t="str">
        <x:v>S12</x:v>
      </x:c>
      <x:c r="H899" s="27" t="str">
        <x:v>Science &amp; Engineering</x:v>
      </x:c>
      <x:c r="I899" s="27" t="str">
        <x:v>SRC11</x:v>
      </x:c>
      <x:c r="J899" s="27" t="str">
        <x:v>Observable evidence of usable learning.</x:v>
      </x:c>
    </x:row>
    <x:row r="900">
      <x:c r="A900" s="27" t="str">
        <x:v>E00896</x:v>
      </x:c>
      <x:c r="B900" s="27" t="str">
        <x:v>S11-SST-01</x:v>
      </x:c>
      <x:c r="C900" s="27" t="str">
        <x:v>Previous node in domain progression</x:v>
      </x:c>
      <x:c r="D900" s="27" t="str">
        <x:v>DOMAIN_SEQUENCE</x:v>
      </x:c>
      <x:c r="E900" s="27" t="str">
        <x:v>S12-SST-01</x:v>
      </x:c>
      <x:c r="F900" s="27" t="str">
        <x:v>Self, family, classroom, and neighborhood</x:v>
      </x:c>
      <x:c r="G900" s="27" t="str">
        <x:v>S12</x:v>
      </x:c>
      <x:c r="H900" s="27" t="str">
        <x:v>Social Studies</x:v>
      </x:c>
      <x:c r="I900" s="27" t="str">
        <x:v>SRC12; SRC25</x:v>
      </x:c>
      <x:c r="J900" s="27" t="str">
        <x:v>Ordered spiral link; consult explicit prerequisites for logical dependency.</x:v>
      </x:c>
    </x:row>
    <x:row r="901">
      <x:c r="A901" s="27" t="str">
        <x:v>E00897</x:v>
      </x:c>
      <x:c r="B901" s="27" t="str">
        <x:v>S12-SST-01:PREREQ</x:v>
      </x:c>
      <x:c r="C901" s="27" t="str">
        <x:v>Pre-K roles/rules/maps/time and oral discussion.</x:v>
      </x:c>
      <x:c r="D901" s="27" t="str">
        <x:v>PREREQUISITE</x:v>
      </x:c>
      <x:c r="E901" s="27" t="str">
        <x:v>S12-SST-01</x:v>
      </x:c>
      <x:c r="F901" s="27" t="str">
        <x:v>Self, family, classroom, and neighborhood</x:v>
      </x:c>
      <x:c r="G901" s="27" t="str">
        <x:v>S12</x:v>
      </x:c>
      <x:c r="H901" s="27" t="str">
        <x:v>Social Studies</x:v>
      </x:c>
      <x:c r="I901" s="27" t="str">
        <x:v>SRC12; SRC25</x:v>
      </x:c>
      <x:c r="J901" s="27" t="str">
        <x:v>Incoming prerequisite relationship.</x:v>
      </x:c>
    </x:row>
    <x:row r="902">
      <x:c r="A902" s="27" t="str">
        <x:v>E00898</x:v>
      </x:c>
      <x:c r="B902" s="27" t="str">
        <x:v>S12-SST-01:GROUND</x:v>
      </x:c>
      <x:c r="C902" s="27" t="str">
        <x:v>G4/G5 — Concrete model linked to coordinated representations</x:v>
      </x:c>
      <x:c r="D902" s="27" t="str">
        <x:v>GROUNDED_BY</x:v>
      </x:c>
      <x:c r="E902" s="27" t="str">
        <x:v>S12-SST-01</x:v>
      </x:c>
      <x:c r="F902" s="27" t="str">
        <x:v>Self, family, classroom, and neighborhood</x:v>
      </x:c>
      <x:c r="G902" s="27" t="str">
        <x:v>S12</x:v>
      </x:c>
      <x:c r="H902" s="27" t="str">
        <x:v>Social Studies</x:v>
      </x:c>
      <x:c r="I902" s="27" t="str">
        <x:v>SRC12; SRC25</x:v>
      </x:c>
      <x:c r="J902" s="27" t="str">
        <x:v>Grounding form used to preserve meaning.</x:v>
      </x:c>
    </x:row>
    <x:row r="903">
      <x:c r="A903" s="27" t="str">
        <x:v>E00899</x:v>
      </x:c>
      <x:c r="B903" s="27" t="str">
        <x:v>S12-SST-01</x:v>
      </x:c>
      <x:c r="C903" s="27" t="str">
        <x:v>Self, family, classroom, and neighborhood</x:v>
      </x:c>
      <x:c r="D903" s="27" t="str">
        <x:v>CONNECTS_TO</x:v>
      </x:c>
      <x:c r="E903" s="27" t="str">
        <x:v>S12-SST-01:CROSS</x:v>
      </x:c>
      <x:c r="F903" s="27" t="str">
        <x:v>Language/literacy and source evidence; maps/data/economics; ethics/SEL; media literacy; arts/culture; civic action.</x:v>
      </x:c>
      <x:c r="G903" s="27" t="str">
        <x:v>S12</x:v>
      </x:c>
      <x:c r="H903" s="27" t="str">
        <x:v>Social Studies</x:v>
      </x:c>
      <x:c r="I903" s="27" t="str">
        <x:v>SRC12; SRC25</x:v>
      </x:c>
      <x:c r="J903" s="27" t="str">
        <x:v>Parallel subject and representation links.</x:v>
      </x:c>
    </x:row>
    <x:row r="904">
      <x:c r="A904" s="27" t="str">
        <x:v>E00900</x:v>
      </x:c>
      <x:c r="B904" s="27" t="str">
        <x:v>S12-SST-01</x:v>
      </x:c>
      <x:c r="C904" s="27" t="str">
        <x:v>Self, family, classroom, and neighborhood</x:v>
      </x:c>
      <x:c r="D904" s="27" t="str">
        <x:v>UNLOCKS</x:v>
      </x:c>
      <x:c r="E904" s="27" t="str">
        <x:v>S12-SST-01:NEXT</x:v>
      </x:c>
      <x:c r="F904" s="27" t="str">
        <x:v>Concrete community systems supply referents for later civics, geography, history, and economics.</x:v>
      </x:c>
      <x:c r="G904" s="27" t="str">
        <x:v>S12</x:v>
      </x:c>
      <x:c r="H904" s="27" t="str">
        <x:v>Social Studies</x:v>
      </x:c>
      <x:c r="I904" s="27" t="str">
        <x:v>SRC12; SRC25</x:v>
      </x:c>
      <x:c r="J904" s="27" t="str">
        <x:v>Outgoing use and placement rationale.</x:v>
      </x:c>
    </x:row>
    <x:row r="905">
      <x:c r="A905" s="27" t="str">
        <x:v>E00901</x:v>
      </x:c>
      <x:c r="B905" s="27" t="str">
        <x:v>S12-SST-01</x:v>
      </x:c>
      <x:c r="C905" s="27" t="str">
        <x:v>Self, family, classroom, and neighborhood</x:v>
      </x:c>
      <x:c r="D905" s="27" t="str">
        <x:v>VERIFIED_BY</x:v>
      </x:c>
      <x:c r="E905" s="27" t="str">
        <x:v>S12-SST-01:EVIDENCE</x:v>
      </x:c>
      <x:c r="F905" s="27" t="str">
        <x:v>Answers a community question using a picture, object, map, interview, or classroom record.</x:v>
      </x:c>
      <x:c r="G905" s="27" t="str">
        <x:v>S12</x:v>
      </x:c>
      <x:c r="H905" s="27" t="str">
        <x:v>Social Studies</x:v>
      </x:c>
      <x:c r="I905" s="27" t="str">
        <x:v>SRC12; SRC25</x:v>
      </x:c>
      <x:c r="J905" s="27" t="str">
        <x:v>Observable evidence of usable learning.</x:v>
      </x:c>
    </x:row>
    <x:row r="906">
      <x:c r="A906" s="27" t="str">
        <x:v>E00902</x:v>
      </x:c>
      <x:c r="B906" s="27" t="str">
        <x:v>S11-ARTS-01</x:v>
      </x:c>
      <x:c r="C906" s="27" t="str">
        <x:v>Previous node in domain progression</x:v>
      </x:c>
      <x:c r="D906" s="27" t="str">
        <x:v>DOMAIN_SEQUENCE</x:v>
      </x:c>
      <x:c r="E906" s="27" t="str">
        <x:v>S12-ARTS-01</x:v>
      </x:c>
      <x:c r="F906" s="27" t="str">
        <x:v>Create–perform–respond–connect</x:v>
      </x:c>
      <x:c r="G906" s="27" t="str">
        <x:v>S12</x:v>
      </x:c>
      <x:c r="H906" s="27" t="str">
        <x:v>Music &amp; Arts</x:v>
      </x:c>
      <x:c r="I906" s="27" t="str">
        <x:v>SRC13</x:v>
      </x:c>
      <x:c r="J906" s="27" t="str">
        <x:v>Ordered spiral link; consult explicit prerequisites for logical dependency.</x:v>
      </x:c>
    </x:row>
    <x:row r="907">
      <x:c r="A907" s="27" t="str">
        <x:v>E00903</x:v>
      </x:c>
      <x:c r="B907" s="27" t="str">
        <x:v>S12-ARTS-01:PREREQ</x:v>
      </x:c>
      <x:c r="C907" s="27" t="str">
        <x:v>Symbolic play, beat/contrast, mark making, and role enactment.</x:v>
      </x:c>
      <x:c r="D907" s="27" t="str">
        <x:v>PREREQUISITE</x:v>
      </x:c>
      <x:c r="E907" s="27" t="str">
        <x:v>S12-ARTS-01</x:v>
      </x:c>
      <x:c r="F907" s="27" t="str">
        <x:v>Create–perform–respond–connect</x:v>
      </x:c>
      <x:c r="G907" s="27" t="str">
        <x:v>S12</x:v>
      </x:c>
      <x:c r="H907" s="27" t="str">
        <x:v>Music &amp; Arts</x:v>
      </x:c>
      <x:c r="I907" s="27" t="str">
        <x:v>SRC13</x:v>
      </x:c>
      <x:c r="J907" s="27" t="str">
        <x:v>Incoming prerequisite relationship.</x:v>
      </x:c>
    </x:row>
    <x:row r="908">
      <x:c r="A908" s="27" t="str">
        <x:v>E00904</x:v>
      </x:c>
      <x:c r="B908" s="27" t="str">
        <x:v>S12-ARTS-01:GROUND</x:v>
      </x:c>
      <x:c r="C908" s="27" t="str">
        <x:v>G4/G5 — Concrete model linked to coordinated representations</x:v>
      </x:c>
      <x:c r="D908" s="27" t="str">
        <x:v>GROUNDED_BY</x:v>
      </x:c>
      <x:c r="E908" s="27" t="str">
        <x:v>S12-ARTS-01</x:v>
      </x:c>
      <x:c r="F908" s="27" t="str">
        <x:v>Create–perform–respond–connect</x:v>
      </x:c>
      <x:c r="G908" s="27" t="str">
        <x:v>S12</x:v>
      </x:c>
      <x:c r="H908" s="27" t="str">
        <x:v>Music &amp; Arts</x:v>
      </x:c>
      <x:c r="I908" s="27" t="str">
        <x:v>SRC13</x:v>
      </x:c>
      <x:c r="J908" s="27" t="str">
        <x:v>Grounding form used to preserve meaning.</x:v>
      </x:c>
    </x:row>
    <x:row r="909">
      <x:c r="A909" s="27" t="str">
        <x:v>E00905</x:v>
      </x:c>
      <x:c r="B909" s="27" t="str">
        <x:v>S12-ARTS-01</x:v>
      </x:c>
      <x:c r="C909" s="27" t="str">
        <x:v>Create–perform–respond–connect</x:v>
      </x:c>
      <x:c r="D909" s="27" t="str">
        <x:v>CONNECTS_TO</x:v>
      </x:c>
      <x:c r="E909" s="27" t="str">
        <x:v>S12-ARTS-01:CROSS</x:v>
      </x:c>
      <x:c r="F909" s="27" t="str">
        <x:v>Sensory discrimination; motor timing; language/prosody; mathematics/pattern; history/culture; emotion, design, and technology.</x:v>
      </x:c>
      <x:c r="G909" s="27" t="str">
        <x:v>S12</x:v>
      </x:c>
      <x:c r="H909" s="27" t="str">
        <x:v>Music &amp; Arts</x:v>
      </x:c>
      <x:c r="I909" s="27" t="str">
        <x:v>SRC13</x:v>
      </x:c>
      <x:c r="J909" s="27" t="str">
        <x:v>Parallel subject and representation links.</x:v>
      </x:c>
    </x:row>
    <x:row r="910">
      <x:c r="A910" s="27" t="str">
        <x:v>E00906</x:v>
      </x:c>
      <x:c r="B910" s="27" t="str">
        <x:v>S12-ARTS-01</x:v>
      </x:c>
      <x:c r="C910" s="27" t="str">
        <x:v>Create–perform–respond–connect</x:v>
      </x:c>
      <x:c r="D910" s="27" t="str">
        <x:v>UNLOCKS</x:v>
      </x:c>
      <x:c r="E910" s="27" t="str">
        <x:v>S12-ARTS-01:NEXT</x:v>
      </x:c>
      <x:c r="F910" s="27" t="str">
        <x:v>The four artistic processes organize increasing technical and expressive depth across arts.</x:v>
      </x:c>
      <x:c r="G910" s="27" t="str">
        <x:v>S12</x:v>
      </x:c>
      <x:c r="H910" s="27" t="str">
        <x:v>Music &amp; Arts</x:v>
      </x:c>
      <x:c r="I910" s="27" t="str">
        <x:v>SRC13</x:v>
      </x:c>
      <x:c r="J910" s="27" t="str">
        <x:v>Outgoing use and placement rationale.</x:v>
      </x:c>
    </x:row>
    <x:row r="911">
      <x:c r="A911" s="27" t="str">
        <x:v>E00907</x:v>
      </x:c>
      <x:c r="B911" s="27" t="str">
        <x:v>S12-ARTS-01</x:v>
      </x:c>
      <x:c r="C911" s="27" t="str">
        <x:v>Create–perform–respond–connect</x:v>
      </x:c>
      <x:c r="D911" s="27" t="str">
        <x:v>VERIFIED_BY</x:v>
      </x:c>
      <x:c r="E911" s="27" t="str">
        <x:v>S12-ARTS-01:EVIDENCE</x:v>
      </x:c>
      <x:c r="F911" s="27" t="str">
        <x:v>Creates or performs a short work and explains one choice or connection.</x:v>
      </x:c>
      <x:c r="G911" s="27" t="str">
        <x:v>S12</x:v>
      </x:c>
      <x:c r="H911" s="27" t="str">
        <x:v>Music &amp; Arts</x:v>
      </x:c>
      <x:c r="I911" s="27" t="str">
        <x:v>SRC13</x:v>
      </x:c>
      <x:c r="J911" s="27" t="str">
        <x:v>Observable evidence of usable learning.</x:v>
      </x:c>
    </x:row>
    <x:row r="912">
      <x:c r="A912" s="27" t="str">
        <x:v>E00908</x:v>
      </x:c>
      <x:c r="B912" s="27" t="str">
        <x:v>S11-HLTH-01</x:v>
      </x:c>
      <x:c r="C912" s="27" t="str">
        <x:v>Previous node in domain progression</x:v>
      </x:c>
      <x:c r="D912" s="27" t="str">
        <x:v>DOMAIN_SEQUENCE</x:v>
      </x:c>
      <x:c r="E912" s="27" t="str">
        <x:v>S12-HLTH-01</x:v>
      </x:c>
      <x:c r="F912" s="27" t="str">
        <x:v>Movement patterns, body signals, and safety</x:v>
      </x:c>
      <x:c r="G912" s="27" t="str">
        <x:v>S12</x:v>
      </x:c>
      <x:c r="H912" s="27" t="str">
        <x:v>Physical &amp; Health</x:v>
      </x:c>
      <x:c r="I912" s="27" t="str">
        <x:v>SRC14; SRC15</x:v>
      </x:c>
      <x:c r="J912" s="27" t="str">
        <x:v>Ordered spiral link; consult explicit prerequisites for logical dependency.</x:v>
      </x:c>
    </x:row>
    <x:row r="913">
      <x:c r="A913" s="27" t="str">
        <x:v>E00909</x:v>
      </x:c>
      <x:c r="B913" s="27" t="str">
        <x:v>S12-HLTH-01:PREREQ</x:v>
      </x:c>
      <x:c r="C913" s="27" t="str">
        <x:v>Fundamental movement exploration and pre-K health literacy.</x:v>
      </x:c>
      <x:c r="D913" s="27" t="str">
        <x:v>PREREQUISITE</x:v>
      </x:c>
      <x:c r="E913" s="27" t="str">
        <x:v>S12-HLTH-01</x:v>
      </x:c>
      <x:c r="F913" s="27" t="str">
        <x:v>Movement patterns, body signals, and safety</x:v>
      </x:c>
      <x:c r="G913" s="27" t="str">
        <x:v>S12</x:v>
      </x:c>
      <x:c r="H913" s="27" t="str">
        <x:v>Physical &amp; Health</x:v>
      </x:c>
      <x:c r="I913" s="27" t="str">
        <x:v>SRC14; SRC15</x:v>
      </x:c>
      <x:c r="J913" s="27" t="str">
        <x:v>Incoming prerequisite relationship.</x:v>
      </x:c>
    </x:row>
    <x:row r="914">
      <x:c r="A914" s="27" t="str">
        <x:v>E00910</x:v>
      </x:c>
      <x:c r="B914" s="27" t="str">
        <x:v>S12-HLTH-01:GROUND</x:v>
      </x:c>
      <x:c r="C914" s="27" t="str">
        <x:v>G4/G5 — Concrete model linked to coordinated representations</x:v>
      </x:c>
      <x:c r="D914" s="27" t="str">
        <x:v>GROUNDED_BY</x:v>
      </x:c>
      <x:c r="E914" s="27" t="str">
        <x:v>S12-HLTH-01</x:v>
      </x:c>
      <x:c r="F914" s="27" t="str">
        <x:v>Movement patterns, body signals, and safety</x:v>
      </x:c>
      <x:c r="G914" s="27" t="str">
        <x:v>S12</x:v>
      </x:c>
      <x:c r="H914" s="27" t="str">
        <x:v>Physical &amp; Health</x:v>
      </x:c>
      <x:c r="I914" s="27" t="str">
        <x:v>SRC14; SRC15</x:v>
      </x:c>
      <x:c r="J914" s="27" t="str">
        <x:v>Grounding form used to preserve meaning.</x:v>
      </x:c>
    </x:row>
    <x:row r="915">
      <x:c r="A915" s="27" t="str">
        <x:v>E00911</x:v>
      </x:c>
      <x:c r="B915" s="27" t="str">
        <x:v>S12-HLTH-01</x:v>
      </x:c>
      <x:c r="C915" s="27" t="str">
        <x:v>Movement patterns, body signals, and safety</x:v>
      </x:c>
      <x:c r="D915" s="27" t="str">
        <x:v>CONNECTS_TO</x:v>
      </x:c>
      <x:c r="E915" s="27" t="str">
        <x:v>S12-HLTH-01:CROSS</x:v>
      </x:c>
      <x:c r="F915" s="27" t="str">
        <x:v>Motor/sensory development; life science; measurement/data; SEL/self-management; communication, safety, and decision-making.</x:v>
      </x:c>
      <x:c r="G915" s="27" t="str">
        <x:v>S12</x:v>
      </x:c>
      <x:c r="H915" s="27" t="str">
        <x:v>Physical &amp; Health</x:v>
      </x:c>
      <x:c r="I915" s="27" t="str">
        <x:v>SRC14; SRC15</x:v>
      </x:c>
      <x:c r="J915" s="27" t="str">
        <x:v>Parallel subject and representation links.</x:v>
      </x:c>
    </x:row>
    <x:row r="916">
      <x:c r="A916" s="27" t="str">
        <x:v>E00912</x:v>
      </x:c>
      <x:c r="B916" s="27" t="str">
        <x:v>S12-HLTH-01</x:v>
      </x:c>
      <x:c r="C916" s="27" t="str">
        <x:v>Movement patterns, body signals, and safety</x:v>
      </x:c>
      <x:c r="D916" s="27" t="str">
        <x:v>UNLOCKS</x:v>
      </x:c>
      <x:c r="E916" s="27" t="str">
        <x:v>S12-HLTH-01:NEXT</x:v>
      </x:c>
      <x:c r="F916" s="27" t="str">
        <x:v>Competence plus health knowledge supports confident, safe participation.</x:v>
      </x:c>
      <x:c r="G916" s="27" t="str">
        <x:v>S12</x:v>
      </x:c>
      <x:c r="H916" s="27" t="str">
        <x:v>Physical &amp; Health</x:v>
      </x:c>
      <x:c r="I916" s="27" t="str">
        <x:v>SRC14; SRC15</x:v>
      </x:c>
      <x:c r="J916" s="27" t="str">
        <x:v>Outgoing use and placement rationale.</x:v>
      </x:c>
    </x:row>
    <x:row r="917">
      <x:c r="A917" s="27" t="str">
        <x:v>E00913</x:v>
      </x:c>
      <x:c r="B917" s="27" t="str">
        <x:v>S12-HLTH-01</x:v>
      </x:c>
      <x:c r="C917" s="27" t="str">
        <x:v>Movement patterns, body signals, and safety</x:v>
      </x:c>
      <x:c r="D917" s="27" t="str">
        <x:v>VERIFIED_BY</x:v>
      </x:c>
      <x:c r="E917" s="27" t="str">
        <x:v>S12-HLTH-01:EVIDENCE</x:v>
      </x:c>
      <x:c r="F917" s="27" t="str">
        <x:v>Demonstrates a taught movement pattern and explains a related safety or wellness choice.</x:v>
      </x:c>
      <x:c r="G917" s="27" t="str">
        <x:v>S12</x:v>
      </x:c>
      <x:c r="H917" s="27" t="str">
        <x:v>Physical &amp; Health</x:v>
      </x:c>
      <x:c r="I917" s="27" t="str">
        <x:v>SRC14; SRC15</x:v>
      </x:c>
      <x:c r="J917" s="27" t="str">
        <x:v>Observable evidence of usable learning.</x:v>
      </x:c>
    </x:row>
    <x:row r="918">
      <x:c r="A918" s="27" t="str">
        <x:v>E00914</x:v>
      </x:c>
      <x:c r="B918" s="27" t="str">
        <x:v>S11-COMP-01</x:v>
      </x:c>
      <x:c r="C918" s="27" t="str">
        <x:v>Previous node in domain progression</x:v>
      </x:c>
      <x:c r="D918" s="27" t="str">
        <x:v>DOMAIN_SEQUENCE</x:v>
      </x:c>
      <x:c r="E918" s="27" t="str">
        <x:v>S12-COMP-01</x:v>
      </x:c>
      <x:c r="F918" s="27" t="str">
        <x:v>Sequences, events, choices, and device care</x:v>
      </x:c>
      <x:c r="G918" s="27" t="str">
        <x:v>S12</x:v>
      </x:c>
      <x:c r="H918" s="27" t="str">
        <x:v>Computing &amp; Media</x:v>
      </x:c>
      <x:c r="I918" s="27" t="str">
        <x:v>SRC16; SRC20</x:v>
      </x:c>
      <x:c r="J918" s="27" t="str">
        <x:v>Ordered spiral link; consult explicit prerequisites for logical dependency.</x:v>
      </x:c>
    </x:row>
    <x:row r="919">
      <x:c r="A919" s="27" t="str">
        <x:v>E00915</x:v>
      </x:c>
      <x:c r="B919" s="27" t="str">
        <x:v>S12-COMP-01:PREREQ</x:v>
      </x:c>
      <x:c r="C919" s="27" t="str">
        <x:v>Ordered commands, debugging, rules, and symbolic representation.</x:v>
      </x:c>
      <x:c r="D919" s="27" t="str">
        <x:v>PREREQUISITE</x:v>
      </x:c>
      <x:c r="E919" s="27" t="str">
        <x:v>S12-COMP-01</x:v>
      </x:c>
      <x:c r="F919" s="27" t="str">
        <x:v>Sequences, events, choices, and device care</x:v>
      </x:c>
      <x:c r="G919" s="27" t="str">
        <x:v>S12</x:v>
      </x:c>
      <x:c r="H919" s="27" t="str">
        <x:v>Computing &amp; Media</x:v>
      </x:c>
      <x:c r="I919" s="27" t="str">
        <x:v>SRC16; SRC20</x:v>
      </x:c>
      <x:c r="J919" s="27" t="str">
        <x:v>Incoming prerequisite relationship.</x:v>
      </x:c>
    </x:row>
    <x:row r="920">
      <x:c r="A920" s="27" t="str">
        <x:v>E00916</x:v>
      </x:c>
      <x:c r="B920" s="27" t="str">
        <x:v>S12-COMP-01:GROUND</x:v>
      </x:c>
      <x:c r="C920" s="27" t="str">
        <x:v>G4/G5 — Concrete model linked to coordinated representations</x:v>
      </x:c>
      <x:c r="D920" s="27" t="str">
        <x:v>GROUNDED_BY</x:v>
      </x:c>
      <x:c r="E920" s="27" t="str">
        <x:v>S12-COMP-01</x:v>
      </x:c>
      <x:c r="F920" s="27" t="str">
        <x:v>Sequences, events, choices, and device care</x:v>
      </x:c>
      <x:c r="G920" s="27" t="str">
        <x:v>S12</x:v>
      </x:c>
      <x:c r="H920" s="27" t="str">
        <x:v>Computing &amp; Media</x:v>
      </x:c>
      <x:c r="I920" s="27" t="str">
        <x:v>SRC16; SRC20</x:v>
      </x:c>
      <x:c r="J920" s="27" t="str">
        <x:v>Grounding form used to preserve meaning.</x:v>
      </x:c>
    </x:row>
    <x:row r="921">
      <x:c r="A921" s="27" t="str">
        <x:v>E00917</x:v>
      </x:c>
      <x:c r="B921" s="27" t="str">
        <x:v>S12-COMP-01</x:v>
      </x:c>
      <x:c r="C921" s="27" t="str">
        <x:v>Sequences, events, choices, and device care</x:v>
      </x:c>
      <x:c r="D921" s="27" t="str">
        <x:v>CONNECTS_TO</x:v>
      </x:c>
      <x:c r="E921" s="27" t="str">
        <x:v>S12-COMP-01:CROSS</x:v>
      </x:c>
      <x:c r="F921" s="27" t="str">
        <x:v>Mathematics/logic/data; language and media evidence; science/engineering models; art/design; civics, privacy, finance, and ethics.</x:v>
      </x:c>
      <x:c r="G921" s="27" t="str">
        <x:v>S12</x:v>
      </x:c>
      <x:c r="H921" s="27" t="str">
        <x:v>Computing &amp; Media</x:v>
      </x:c>
      <x:c r="I921" s="27" t="str">
        <x:v>SRC16; SRC20</x:v>
      </x:c>
      <x:c r="J921" s="27" t="str">
        <x:v>Parallel subject and representation links.</x:v>
      </x:c>
    </x:row>
    <x:row r="922">
      <x:c r="A922" s="27" t="str">
        <x:v>E00918</x:v>
      </x:c>
      <x:c r="B922" s="27" t="str">
        <x:v>S12-COMP-01</x:v>
      </x:c>
      <x:c r="C922" s="27" t="str">
        <x:v>Sequences, events, choices, and device care</x:v>
      </x:c>
      <x:c r="D922" s="27" t="str">
        <x:v>UNLOCKS</x:v>
      </x:c>
      <x:c r="E922" s="27" t="str">
        <x:v>S12-COMP-01:NEXT</x:v>
      </x:c>
      <x:c r="F922" s="27" t="str">
        <x:v>Algorithms make procedures explicit; responsible use establishes safe computing habits.</x:v>
      </x:c>
      <x:c r="G922" s="27" t="str">
        <x:v>S12</x:v>
      </x:c>
      <x:c r="H922" s="27" t="str">
        <x:v>Computing &amp; Media</x:v>
      </x:c>
      <x:c r="I922" s="27" t="str">
        <x:v>SRC16; SRC20</x:v>
      </x:c>
      <x:c r="J922" s="27" t="str">
        <x:v>Outgoing use and placement rationale.</x:v>
      </x:c>
    </x:row>
    <x:row r="923">
      <x:c r="A923" s="27" t="str">
        <x:v>E00919</x:v>
      </x:c>
      <x:c r="B923" s="27" t="str">
        <x:v>S12-COMP-01</x:v>
      </x:c>
      <x:c r="C923" s="27" t="str">
        <x:v>Sequences, events, choices, and device care</x:v>
      </x:c>
      <x:c r="D923" s="27" t="str">
        <x:v>VERIFIED_BY</x:v>
      </x:c>
      <x:c r="E923" s="27" t="str">
        <x:v>S12-COMP-01:EVIDENCE</x:v>
      </x:c>
      <x:c r="F923" s="27" t="str">
        <x:v>Creates or follows a simple algorithm, fixes one error, and applies a stated digital rule.</x:v>
      </x:c>
      <x:c r="G923" s="27" t="str">
        <x:v>S12</x:v>
      </x:c>
      <x:c r="H923" s="27" t="str">
        <x:v>Computing &amp; Media</x:v>
      </x:c>
      <x:c r="I923" s="27" t="str">
        <x:v>SRC16; SRC20</x:v>
      </x:c>
      <x:c r="J923" s="27" t="str">
        <x:v>Observable evidence of usable learning.</x:v>
      </x:c>
    </x:row>
    <x:row r="924">
      <x:c r="A924" s="27" t="str">
        <x:v>E00920</x:v>
      </x:c>
      <x:c r="B924" s="27" t="str">
        <x:v>S12-LEARN-01</x:v>
      </x:c>
      <x:c r="C924" s="27" t="str">
        <x:v>Previous node in domain progression</x:v>
      </x:c>
      <x:c r="D924" s="27" t="str">
        <x:v>DOMAIN_SEQUENCE</x:v>
      </x:c>
      <x:c r="E924" s="27" t="str">
        <x:v>S13-LEARN-01</x:v>
      </x:c>
      <x:c r="F924" s="27" t="str">
        <x:v>Retrieval and spaced review</x:v>
      </x:c>
      <x:c r="G924" s="27" t="str">
        <x:v>S13</x:v>
      </x:c>
      <x:c r="H924" s="27" t="str">
        <x:v>Learning Foundations</x:v>
      </x:c>
      <x:c r="I924" s="27" t="str">
        <x:v>SRC23</x:v>
      </x:c>
      <x:c r="J924" s="27" t="str">
        <x:v>Ordered spiral link; consult explicit prerequisites for logical dependency.</x:v>
      </x:c>
    </x:row>
    <x:row r="925">
      <x:c r="A925" s="27" t="str">
        <x:v>E00921</x:v>
      </x:c>
      <x:c r="B925" s="27" t="str">
        <x:v>S13-LEARN-01:PREREQ</x:v>
      </x:c>
      <x:c r="C925" s="27" t="str">
        <x:v>Independent task cycle and basic memory monitoring.</x:v>
      </x:c>
      <x:c r="D925" s="27" t="str">
        <x:v>PREREQUISITE</x:v>
      </x:c>
      <x:c r="E925" s="27" t="str">
        <x:v>S13-LEARN-01</x:v>
      </x:c>
      <x:c r="F925" s="27" t="str">
        <x:v>Retrieval and spaced review</x:v>
      </x:c>
      <x:c r="G925" s="27" t="str">
        <x:v>S13</x:v>
      </x:c>
      <x:c r="H925" s="27" t="str">
        <x:v>Learning Foundations</x:v>
      </x:c>
      <x:c r="I925" s="27" t="str">
        <x:v>SRC23</x:v>
      </x:c>
      <x:c r="J925" s="27" t="str">
        <x:v>Incoming prerequisite relationship.</x:v>
      </x:c>
    </x:row>
    <x:row r="926">
      <x:c r="A926" s="27" t="str">
        <x:v>E00922</x:v>
      </x:c>
      <x:c r="B926" s="27" t="str">
        <x:v>S13-LEARN-01:GROUND</x:v>
      </x:c>
      <x:c r="C926" s="27" t="str">
        <x:v>G4/G5 — Concrete model linked to coordinated representations</x:v>
      </x:c>
      <x:c r="D926" s="27" t="str">
        <x:v>GROUNDED_BY</x:v>
      </x:c>
      <x:c r="E926" s="27" t="str">
        <x:v>S13-LEARN-01</x:v>
      </x:c>
      <x:c r="F926" s="27" t="str">
        <x:v>Retrieval and spaced review</x:v>
      </x:c>
      <x:c r="G926" s="27" t="str">
        <x:v>S13</x:v>
      </x:c>
      <x:c r="H926" s="27" t="str">
        <x:v>Learning Foundations</x:v>
      </x:c>
      <x:c r="I926" s="27" t="str">
        <x:v>SRC23</x:v>
      </x:c>
      <x:c r="J926" s="27" t="str">
        <x:v>Grounding form used to preserve meaning.</x:v>
      </x:c>
    </x:row>
    <x:row r="927">
      <x:c r="A927" s="27" t="str">
        <x:v>E00923</x:v>
      </x:c>
      <x:c r="B927" s="27" t="str">
        <x:v>S13-LEARN-01</x:v>
      </x:c>
      <x:c r="C927" s="27" t="str">
        <x:v>Retrieval and spaced review</x:v>
      </x:c>
      <x:c r="D927" s="27" t="str">
        <x:v>CONNECTS_TO</x:v>
      </x:c>
      <x:c r="E927" s="27" t="str">
        <x:v>S13-LEARN-01:CROSS</x:v>
      </x:c>
      <x:c r="F927" s="27" t="str">
        <x:v>All domains: attention, memory, strategy choice, monitoring, retrieval, and transfer.</x:v>
      </x:c>
      <x:c r="G927" s="27" t="str">
        <x:v>S13</x:v>
      </x:c>
      <x:c r="H927" s="27" t="str">
        <x:v>Learning Foundations</x:v>
      </x:c>
      <x:c r="I927" s="27" t="str">
        <x:v>SRC23</x:v>
      </x:c>
      <x:c r="J927" s="27" t="str">
        <x:v>Parallel subject and representation links.</x:v>
      </x:c>
    </x:row>
    <x:row r="928">
      <x:c r="A928" s="27" t="str">
        <x:v>E00924</x:v>
      </x:c>
      <x:c r="B928" s="27" t="str">
        <x:v>S13-LEARN-01</x:v>
      </x:c>
      <x:c r="C928" s="27" t="str">
        <x:v>Retrieval and spaced review</x:v>
      </x:c>
      <x:c r="D928" s="27" t="str">
        <x:v>UNLOCKS</x:v>
      </x:c>
      <x:c r="E928" s="27" t="str">
        <x:v>S13-LEARN-01:NEXT</x:v>
      </x:c>
      <x:c r="F928" s="27" t="str">
        <x:v>Retrieval strengthens access; spacing helps learning remain available beyond the lesson.</x:v>
      </x:c>
      <x:c r="G928" s="27" t="str">
        <x:v>S13</x:v>
      </x:c>
      <x:c r="H928" s="27" t="str">
        <x:v>Learning Foundations</x:v>
      </x:c>
      <x:c r="I928" s="27" t="str">
        <x:v>SRC23</x:v>
      </x:c>
      <x:c r="J928" s="27" t="str">
        <x:v>Outgoing use and placement rationale.</x:v>
      </x:c>
    </x:row>
    <x:row r="929">
      <x:c r="A929" s="27" t="str">
        <x:v>E00925</x:v>
      </x:c>
      <x:c r="B929" s="27" t="str">
        <x:v>S13-LEARN-01</x:v>
      </x:c>
      <x:c r="C929" s="27" t="str">
        <x:v>Retrieval and spaced review</x:v>
      </x:c>
      <x:c r="D929" s="27" t="str">
        <x:v>VERIFIED_BY</x:v>
      </x:c>
      <x:c r="E929" s="27" t="str">
        <x:v>S13-LEARN-01:EVIDENCE</x:v>
      </x:c>
      <x:c r="F929" s="27" t="str">
        <x:v>Recalls a taught fact or process after a delay and identifies what needs another review.</x:v>
      </x:c>
      <x:c r="G929" s="27" t="str">
        <x:v>S13</x:v>
      </x:c>
      <x:c r="H929" s="27" t="str">
        <x:v>Learning Foundations</x:v>
      </x:c>
      <x:c r="I929" s="27" t="str">
        <x:v>SRC23</x:v>
      </x:c>
      <x:c r="J929" s="27" t="str">
        <x:v>Observable evidence of usable learning.</x:v>
      </x:c>
    </x:row>
    <x:row r="930">
      <x:c r="A930" s="27" t="str">
        <x:v>E00926</x:v>
      </x:c>
      <x:c r="B930" s="27" t="str">
        <x:v>S12-SEL-01</x:v>
      </x:c>
      <x:c r="C930" s="27" t="str">
        <x:v>Previous node in domain progression</x:v>
      </x:c>
      <x:c r="D930" s="27" t="str">
        <x:v>DOMAIN_SEQUENCE</x:v>
      </x:c>
      <x:c r="E930" s="27" t="str">
        <x:v>S13-SEL-01</x:v>
      </x:c>
      <x:c r="F930" s="27" t="str">
        <x:v>Goal, strategy, reflection</x:v>
      </x:c>
      <x:c r="G930" s="27" t="str">
        <x:v>S13</x:v>
      </x:c>
      <x:c r="H930" s="27" t="str">
        <x:v>Social-Emotional</x:v>
      </x:c>
      <x:c r="I930" s="27" t="str">
        <x:v>SRC18</x:v>
      </x:c>
      <x:c r="J930" s="27" t="str">
        <x:v>Ordered spiral link; consult explicit prerequisites for logical dependency.</x:v>
      </x:c>
    </x:row>
    <x:row r="931">
      <x:c r="A931" s="27" t="str">
        <x:v>E00927</x:v>
      </x:c>
      <x:c r="B931" s="27" t="str">
        <x:v>S13-SEL-01:PREREQ</x:v>
      </x:c>
      <x:c r="C931" s="27" t="str">
        <x:v>Plan–do–review and help calibration.</x:v>
      </x:c>
      <x:c r="D931" s="27" t="str">
        <x:v>PREREQUISITE</x:v>
      </x:c>
      <x:c r="E931" s="27" t="str">
        <x:v>S13-SEL-01</x:v>
      </x:c>
      <x:c r="F931" s="27" t="str">
        <x:v>Goal, strategy, reflection</x:v>
      </x:c>
      <x:c r="G931" s="27" t="str">
        <x:v>S13</x:v>
      </x:c>
      <x:c r="H931" s="27" t="str">
        <x:v>Social-Emotional</x:v>
      </x:c>
      <x:c r="I931" s="27" t="str">
        <x:v>SRC18</x:v>
      </x:c>
      <x:c r="J931" s="27" t="str">
        <x:v>Incoming prerequisite relationship.</x:v>
      </x:c>
    </x:row>
    <x:row r="932">
      <x:c r="A932" s="27" t="str">
        <x:v>E00928</x:v>
      </x:c>
      <x:c r="B932" s="27" t="str">
        <x:v>S13-SEL-01:GROUND</x:v>
      </x:c>
      <x:c r="C932" s="27" t="str">
        <x:v>G4/G5 — Concrete model linked to coordinated representations</x:v>
      </x:c>
      <x:c r="D932" s="27" t="str">
        <x:v>GROUNDED_BY</x:v>
      </x:c>
      <x:c r="E932" s="27" t="str">
        <x:v>S13-SEL-01</x:v>
      </x:c>
      <x:c r="F932" s="27" t="str">
        <x:v>Goal, strategy, reflection</x:v>
      </x:c>
      <x:c r="G932" s="27" t="str">
        <x:v>S13</x:v>
      </x:c>
      <x:c r="H932" s="27" t="str">
        <x:v>Social-Emotional</x:v>
      </x:c>
      <x:c r="I932" s="27" t="str">
        <x:v>SRC18</x:v>
      </x:c>
      <x:c r="J932" s="27" t="str">
        <x:v>Grounding form used to preserve meaning.</x:v>
      </x:c>
    </x:row>
    <x:row r="933">
      <x:c r="A933" s="27" t="str">
        <x:v>E00929</x:v>
      </x:c>
      <x:c r="B933" s="27" t="str">
        <x:v>S13-SEL-01</x:v>
      </x:c>
      <x:c r="C933" s="27" t="str">
        <x:v>Goal, strategy, reflection</x:v>
      </x:c>
      <x:c r="D933" s="27" t="str">
        <x:v>CONNECTS_TO</x:v>
      </x:c>
      <x:c r="E933" s="27" t="str">
        <x:v>S13-SEL-01:CROSS</x:v>
      </x:c>
      <x:c r="F933" s="27" t="str">
        <x:v>Language and communication; health; collaboration in science, arts, civics, and projects; responsible digital/financial decisions.</x:v>
      </x:c>
      <x:c r="G933" s="27" t="str">
        <x:v>S13</x:v>
      </x:c>
      <x:c r="H933" s="27" t="str">
        <x:v>Social-Emotional</x:v>
      </x:c>
      <x:c r="I933" s="27" t="str">
        <x:v>SRC18</x:v>
      </x:c>
      <x:c r="J933" s="27" t="str">
        <x:v>Parallel subject and representation links.</x:v>
      </x:c>
    </x:row>
    <x:row r="934">
      <x:c r="A934" s="27" t="str">
        <x:v>E00930</x:v>
      </x:c>
      <x:c r="B934" s="27" t="str">
        <x:v>S13-SEL-01</x:v>
      </x:c>
      <x:c r="C934" s="27" t="str">
        <x:v>Goal, strategy, reflection</x:v>
      </x:c>
      <x:c r="D934" s="27" t="str">
        <x:v>UNLOCKS</x:v>
      </x:c>
      <x:c r="E934" s="27" t="str">
        <x:v>S13-SEL-01:NEXT</x:v>
      </x:c>
      <x:c r="F934" s="27" t="str">
        <x:v>An explicit goal cycle turns adult-supported routines into self-managed learning.</x:v>
      </x:c>
      <x:c r="G934" s="27" t="str">
        <x:v>S13</x:v>
      </x:c>
      <x:c r="H934" s="27" t="str">
        <x:v>Social-Emotional</x:v>
      </x:c>
      <x:c r="I934" s="27" t="str">
        <x:v>SRC18</x:v>
      </x:c>
      <x:c r="J934" s="27" t="str">
        <x:v>Outgoing use and placement rationale.</x:v>
      </x:c>
    </x:row>
    <x:row r="935">
      <x:c r="A935" s="27" t="str">
        <x:v>E00931</x:v>
      </x:c>
      <x:c r="B935" s="27" t="str">
        <x:v>S13-SEL-01</x:v>
      </x:c>
      <x:c r="C935" s="27" t="str">
        <x:v>Goal, strategy, reflection</x:v>
      </x:c>
      <x:c r="D935" s="27" t="str">
        <x:v>VERIFIED_BY</x:v>
      </x:c>
      <x:c r="E935" s="27" t="str">
        <x:v>S13-SEL-01:EVIDENCE</x:v>
      </x:c>
      <x:c r="F935" s="27" t="str">
        <x:v>States a goal and later explains whether the strategy moved work toward it.</x:v>
      </x:c>
      <x:c r="G935" s="27" t="str">
        <x:v>S13</x:v>
      </x:c>
      <x:c r="H935" s="27" t="str">
        <x:v>Social-Emotional</x:v>
      </x:c>
      <x:c r="I935" s="27" t="str">
        <x:v>SRC18</x:v>
      </x:c>
      <x:c r="J935" s="27" t="str">
        <x:v>Observable evidence of usable learning.</x:v>
      </x:c>
    </x:row>
    <x:row r="936">
      <x:c r="A936" s="27" t="str">
        <x:v>E00932</x:v>
      </x:c>
      <x:c r="B936" s="27" t="str">
        <x:v>S12-LANG-01</x:v>
      </x:c>
      <x:c r="C936" s="27" t="str">
        <x:v>Previous node in domain progression</x:v>
      </x:c>
      <x:c r="D936" s="27" t="str">
        <x:v>DOMAIN_SEQUENCE</x:v>
      </x:c>
      <x:c r="E936" s="27" t="str">
        <x:v>S13-LANG-01</x:v>
      </x:c>
      <x:c r="F936" s="27" t="str">
        <x:v>Elaboration and clarification</x:v>
      </x:c>
      <x:c r="G936" s="27" t="str">
        <x:v>S13</x:v>
      </x:c>
      <x:c r="H936" s="27" t="str">
        <x:v>Language &amp; Communication</x:v>
      </x:c>
      <x:c r="I936" s="27" t="str">
        <x:v>SRC10</x:v>
      </x:c>
      <x:c r="J936" s="27" t="str">
        <x:v>Ordered spiral link; consult explicit prerequisites for logical dependency.</x:v>
      </x:c>
    </x:row>
    <x:row r="937">
      <x:c r="A937" s="27" t="str">
        <x:v>E00933</x:v>
      </x:c>
      <x:c r="B937" s="27" t="str">
        <x:v>S13-LANG-01:PREREQ</x:v>
      </x:c>
      <x:c r="C937" s="27" t="str">
        <x:v>Complete responses and perspective-taking.</x:v>
      </x:c>
      <x:c r="D937" s="27" t="str">
        <x:v>PREREQUISITE</x:v>
      </x:c>
      <x:c r="E937" s="27" t="str">
        <x:v>S13-LANG-01</x:v>
      </x:c>
      <x:c r="F937" s="27" t="str">
        <x:v>Elaboration and clarification</x:v>
      </x:c>
      <x:c r="G937" s="27" t="str">
        <x:v>S13</x:v>
      </x:c>
      <x:c r="H937" s="27" t="str">
        <x:v>Language &amp; Communication</x:v>
      </x:c>
      <x:c r="I937" s="27" t="str">
        <x:v>SRC10</x:v>
      </x:c>
      <x:c r="J937" s="27" t="str">
        <x:v>Incoming prerequisite relationship.</x:v>
      </x:c>
    </x:row>
    <x:row r="938">
      <x:c r="A938" s="27" t="str">
        <x:v>E00934</x:v>
      </x:c>
      <x:c r="B938" s="27" t="str">
        <x:v>S13-LANG-01:GROUND</x:v>
      </x:c>
      <x:c r="C938" s="27" t="str">
        <x:v>G4/G5 — Concrete model linked to coordinated representations</x:v>
      </x:c>
      <x:c r="D938" s="27" t="str">
        <x:v>GROUNDED_BY</x:v>
      </x:c>
      <x:c r="E938" s="27" t="str">
        <x:v>S13-LANG-01</x:v>
      </x:c>
      <x:c r="F938" s="27" t="str">
        <x:v>Elaboration and clarification</x:v>
      </x:c>
      <x:c r="G938" s="27" t="str">
        <x:v>S13</x:v>
      </x:c>
      <x:c r="H938" s="27" t="str">
        <x:v>Language &amp; Communication</x:v>
      </x:c>
      <x:c r="I938" s="27" t="str">
        <x:v>SRC10</x:v>
      </x:c>
      <x:c r="J938" s="27" t="str">
        <x:v>Grounding form used to preserve meaning.</x:v>
      </x:c>
    </x:row>
    <x:row r="939">
      <x:c r="A939" s="27" t="str">
        <x:v>E00935</x:v>
      </x:c>
      <x:c r="B939" s="27" t="str">
        <x:v>S13-LANG-01</x:v>
      </x:c>
      <x:c r="C939" s="27" t="str">
        <x:v>Elaboration and clarification</x:v>
      </x:c>
      <x:c r="D939" s="27" t="str">
        <x:v>CONNECTS_TO</x:v>
      </x:c>
      <x:c r="E939" s="27" t="str">
        <x:v>S13-LANG-01:CROSS</x:v>
      </x:c>
      <x:c r="F939" s="27" t="str">
        <x:v>Reading and writing; vocabulary for math/science/social studies; discussion, music prosody, and world-language learning.</x:v>
      </x:c>
      <x:c r="G939" s="27" t="str">
        <x:v>S13</x:v>
      </x:c>
      <x:c r="H939" s="27" t="str">
        <x:v>Language &amp; Communication</x:v>
      </x:c>
      <x:c r="I939" s="27" t="str">
        <x:v>SRC10</x:v>
      </x:c>
      <x:c r="J939" s="27" t="str">
        <x:v>Parallel subject and representation links.</x:v>
      </x:c>
    </x:row>
    <x:row r="940">
      <x:c r="A940" s="27" t="str">
        <x:v>E00936</x:v>
      </x:c>
      <x:c r="B940" s="27" t="str">
        <x:v>S13-LANG-01</x:v>
      </x:c>
      <x:c r="C940" s="27" t="str">
        <x:v>Elaboration and clarification</x:v>
      </x:c>
      <x:c r="D940" s="27" t="str">
        <x:v>UNLOCKS</x:v>
      </x:c>
      <x:c r="E940" s="27" t="str">
        <x:v>S13-LANG-01:NEXT</x:v>
      </x:c>
      <x:c r="F940" s="27" t="str">
        <x:v>Audience-aware explanation supports comprehension, collaboration, and writing revision.</x:v>
      </x:c>
      <x:c r="G940" s="27" t="str">
        <x:v>S13</x:v>
      </x:c>
      <x:c r="H940" s="27" t="str">
        <x:v>Language &amp; Communication</x:v>
      </x:c>
      <x:c r="I940" s="27" t="str">
        <x:v>SRC10</x:v>
      </x:c>
      <x:c r="J940" s="27" t="str">
        <x:v>Outgoing use and placement rationale.</x:v>
      </x:c>
    </x:row>
    <x:row r="941">
      <x:c r="A941" s="27" t="str">
        <x:v>E00937</x:v>
      </x:c>
      <x:c r="B941" s="27" t="str">
        <x:v>S13-LANG-01</x:v>
      </x:c>
      <x:c r="C941" s="27" t="str">
        <x:v>Elaboration and clarification</x:v>
      </x:c>
      <x:c r="D941" s="27" t="str">
        <x:v>VERIFIED_BY</x:v>
      </x:c>
      <x:c r="E941" s="27" t="str">
        <x:v>S13-LANG-01:EVIDENCE</x:v>
      </x:c>
      <x:c r="F941" s="27" t="str">
        <x:v>Clarifies an idea using an example, description, or rephrasing.</x:v>
      </x:c>
      <x:c r="G941" s="27" t="str">
        <x:v>S13</x:v>
      </x:c>
      <x:c r="H941" s="27" t="str">
        <x:v>Language &amp; Communication</x:v>
      </x:c>
      <x:c r="I941" s="27" t="str">
        <x:v>SRC10</x:v>
      </x:c>
      <x:c r="J941" s="27" t="str">
        <x:v>Observable evidence of usable learning.</x:v>
      </x:c>
    </x:row>
    <x:row r="942">
      <x:c r="A942" s="27" t="str">
        <x:v>E00938</x:v>
      </x:c>
      <x:c r="B942" s="27" t="str">
        <x:v>S12-READ-06</x:v>
      </x:c>
      <x:c r="C942" s="27" t="str">
        <x:v>Previous node in domain progression</x:v>
      </x:c>
      <x:c r="D942" s="27" t="str">
        <x:v>DOMAIN_SEQUENCE</x:v>
      </x:c>
      <x:c r="E942" s="27" t="str">
        <x:v>S13-READ-01</x:v>
      </x:c>
      <x:c r="F942" s="27" t="str">
        <x:v>Digraphs, blends, final-e, and common vowel teams</x:v>
      </x:c>
      <x:c r="G942" s="27" t="str">
        <x:v>S13</x:v>
      </x:c>
      <x:c r="H942" s="27" t="str">
        <x:v>Reading</x:v>
      </x:c>
      <x:c r="I942" s="27" t="str">
        <x:v>SRC08; SRC10</x:v>
      </x:c>
      <x:c r="J942" s="27" t="str">
        <x:v>Ordered spiral link; consult explicit prerequisites for logical dependency.</x:v>
      </x:c>
    </x:row>
    <x:row r="943">
      <x:c r="A943" s="27" t="str">
        <x:v>E00939</x:v>
      </x:c>
      <x:c r="B943" s="27" t="str">
        <x:v>S13-READ-01:PREREQ</x:v>
      </x:c>
      <x:c r="C943" s="27" t="str">
        <x:v>CVC decoding, phoneme manipulation, and alphabetic principle.</x:v>
      </x:c>
      <x:c r="D943" s="27" t="str">
        <x:v>PREREQUISITE</x:v>
      </x:c>
      <x:c r="E943" s="27" t="str">
        <x:v>S13-READ-01</x:v>
      </x:c>
      <x:c r="F943" s="27" t="str">
        <x:v>Digraphs, blends, final-e, and common vowel teams</x:v>
      </x:c>
      <x:c r="G943" s="27" t="str">
        <x:v>S13</x:v>
      </x:c>
      <x:c r="H943" s="27" t="str">
        <x:v>Reading</x:v>
      </x:c>
      <x:c r="I943" s="27" t="str">
        <x:v>SRC08; SRC10</x:v>
      </x:c>
      <x:c r="J943" s="27" t="str">
        <x:v>Incoming prerequisite relationship.</x:v>
      </x:c>
    </x:row>
    <x:row r="944">
      <x:c r="A944" s="27" t="str">
        <x:v>E00940</x:v>
      </x:c>
      <x:c r="B944" s="27" t="str">
        <x:v>S13-READ-01:GROUND</x:v>
      </x:c>
      <x:c r="C944" s="27" t="str">
        <x:v>G4/G5 — Concrete model linked to coordinated representations</x:v>
      </x:c>
      <x:c r="D944" s="27" t="str">
        <x:v>GROUNDED_BY</x:v>
      </x:c>
      <x:c r="E944" s="27" t="str">
        <x:v>S13-READ-01</x:v>
      </x:c>
      <x:c r="F944" s="27" t="str">
        <x:v>Digraphs, blends, final-e, and common vowel teams</x:v>
      </x:c>
      <x:c r="G944" s="27" t="str">
        <x:v>S13</x:v>
      </x:c>
      <x:c r="H944" s="27" t="str">
        <x:v>Reading</x:v>
      </x:c>
      <x:c r="I944" s="27" t="str">
        <x:v>SRC08; SRC10</x:v>
      </x:c>
      <x:c r="J944" s="27" t="str">
        <x:v>Grounding form used to preserve meaning.</x:v>
      </x:c>
    </x:row>
    <x:row r="945">
      <x:c r="A945" s="27" t="str">
        <x:v>E00941</x:v>
      </x:c>
      <x:c r="B945" s="27" t="str">
        <x:v>S13-READ-01</x:v>
      </x:c>
      <x:c r="C945" s="27" t="str">
        <x:v>Digraphs, blends, final-e, and common vowel teams</x:v>
      </x:c>
      <x:c r="D945" s="27" t="str">
        <x:v>CONNECTS_TO</x:v>
      </x:c>
      <x:c r="E945" s="27" t="str">
        <x:v>S13-READ-01:CROSS</x:v>
      </x:c>
      <x:c r="F945" s="27" t="str">
        <x:v>Oral language and writing; evidence in science/social studies; mathematical and technical problem interpretation; media verification.</x:v>
      </x:c>
      <x:c r="G945" s="27" t="str">
        <x:v>S13</x:v>
      </x:c>
      <x:c r="H945" s="27" t="str">
        <x:v>Reading</x:v>
      </x:c>
      <x:c r="I945" s="27" t="str">
        <x:v>SRC08; SRC10</x:v>
      </x:c>
      <x:c r="J945" s="27" t="str">
        <x:v>Parallel subject and representation links.</x:v>
      </x:c>
    </x:row>
    <x:row r="946">
      <x:c r="A946" s="27" t="str">
        <x:v>E00942</x:v>
      </x:c>
      <x:c r="B946" s="27" t="str">
        <x:v>S13-READ-01</x:v>
      </x:c>
      <x:c r="C946" s="27" t="str">
        <x:v>Digraphs, blends, final-e, and common vowel teams</x:v>
      </x:c>
      <x:c r="D946" s="27" t="str">
        <x:v>UNLOCKS</x:v>
      </x:c>
      <x:c r="E946" s="27" t="str">
        <x:v>S13-READ-01:NEXT</x:v>
      </x:c>
      <x:c r="F946" s="27" t="str">
        <x:v>Expanding grapheme patterns greatly increases decodable vocabulary.</x:v>
      </x:c>
      <x:c r="G946" s="27" t="str">
        <x:v>S13</x:v>
      </x:c>
      <x:c r="H946" s="27" t="str">
        <x:v>Reading</x:v>
      </x:c>
      <x:c r="I946" s="27" t="str">
        <x:v>SRC08; SRC10</x:v>
      </x:c>
      <x:c r="J946" s="27" t="str">
        <x:v>Outgoing use and placement rationale.</x:v>
      </x:c>
    </x:row>
    <x:row r="947">
      <x:c r="A947" s="27" t="str">
        <x:v>E00943</x:v>
      </x:c>
      <x:c r="B947" s="27" t="str">
        <x:v>S13-READ-01</x:v>
      </x:c>
      <x:c r="C947" s="27" t="str">
        <x:v>Digraphs, blends, final-e, and common vowel teams</x:v>
      </x:c>
      <x:c r="D947" s="27" t="str">
        <x:v>VERIFIED_BY</x:v>
      </x:c>
      <x:c r="E947" s="27" t="str">
        <x:v>S13-READ-01:EVIDENCE</x:v>
      </x:c>
      <x:c r="F947" s="27" t="str">
        <x:v>Reads and spells mixed words containing taught patterns and explains the pattern used.</x:v>
      </x:c>
      <x:c r="G947" s="27" t="str">
        <x:v>S13</x:v>
      </x:c>
      <x:c r="H947" s="27" t="str">
        <x:v>Reading</x:v>
      </x:c>
      <x:c r="I947" s="27" t="str">
        <x:v>SRC08; SRC10</x:v>
      </x:c>
      <x:c r="J947" s="27" t="str">
        <x:v>Observable evidence of usable learning.</x:v>
      </x:c>
    </x:row>
    <x:row r="948">
      <x:c r="A948" s="27" t="str">
        <x:v>E00944</x:v>
      </x:c>
      <x:c r="B948" s="27" t="str">
        <x:v>S13-READ-01</x:v>
      </x:c>
      <x:c r="C948" s="27" t="str">
        <x:v>Previous node in domain progression</x:v>
      </x:c>
      <x:c r="D948" s="27" t="str">
        <x:v>DOMAIN_SEQUENCE</x:v>
      </x:c>
      <x:c r="E948" s="27" t="str">
        <x:v>S13-READ-02</x:v>
      </x:c>
      <x:c r="F948" s="27" t="str">
        <x:v>Syllable and inflection awareness</x:v>
      </x:c>
      <x:c r="G948" s="27" t="str">
        <x:v>S13</x:v>
      </x:c>
      <x:c r="H948" s="27" t="str">
        <x:v>Reading</x:v>
      </x:c>
      <x:c r="I948" s="27" t="str">
        <x:v>SRC08; SRC10</x:v>
      </x:c>
      <x:c r="J948" s="27" t="str">
        <x:v>Ordered spiral link; consult explicit prerequisites for logical dependency.</x:v>
      </x:c>
    </x:row>
    <x:row r="949">
      <x:c r="A949" s="27" t="str">
        <x:v>E00945</x:v>
      </x:c>
      <x:c r="B949" s="27" t="str">
        <x:v>S13-READ-02:PREREQ</x:v>
      </x:c>
      <x:c r="C949" s="27" t="str">
        <x:v>Basic decoding, syllable awareness, and vocabulary.</x:v>
      </x:c>
      <x:c r="D949" s="27" t="str">
        <x:v>PREREQUISITE</x:v>
      </x:c>
      <x:c r="E949" s="27" t="str">
        <x:v>S13-READ-02</x:v>
      </x:c>
      <x:c r="F949" s="27" t="str">
        <x:v>Syllable and inflection awareness</x:v>
      </x:c>
      <x:c r="G949" s="27" t="str">
        <x:v>S13</x:v>
      </x:c>
      <x:c r="H949" s="27" t="str">
        <x:v>Reading</x:v>
      </x:c>
      <x:c r="I949" s="27" t="str">
        <x:v>SRC08; SRC10</x:v>
      </x:c>
      <x:c r="J949" s="27" t="str">
        <x:v>Incoming prerequisite relationship.</x:v>
      </x:c>
    </x:row>
    <x:row r="950">
      <x:c r="A950" s="27" t="str">
        <x:v>E00946</x:v>
      </x:c>
      <x:c r="B950" s="27" t="str">
        <x:v>S13-READ-02:GROUND</x:v>
      </x:c>
      <x:c r="C950" s="27" t="str">
        <x:v>G4/G5 — Concrete model linked to coordinated representations</x:v>
      </x:c>
      <x:c r="D950" s="27" t="str">
        <x:v>GROUNDED_BY</x:v>
      </x:c>
      <x:c r="E950" s="27" t="str">
        <x:v>S13-READ-02</x:v>
      </x:c>
      <x:c r="F950" s="27" t="str">
        <x:v>Syllable and inflection awareness</x:v>
      </x:c>
      <x:c r="G950" s="27" t="str">
        <x:v>S13</x:v>
      </x:c>
      <x:c r="H950" s="27" t="str">
        <x:v>Reading</x:v>
      </x:c>
      <x:c r="I950" s="27" t="str">
        <x:v>SRC08; SRC10</x:v>
      </x:c>
      <x:c r="J950" s="27" t="str">
        <x:v>Grounding form used to preserve meaning.</x:v>
      </x:c>
    </x:row>
    <x:row r="951">
      <x:c r="A951" s="27" t="str">
        <x:v>E00947</x:v>
      </x:c>
      <x:c r="B951" s="27" t="str">
        <x:v>S13-READ-02</x:v>
      </x:c>
      <x:c r="C951" s="27" t="str">
        <x:v>Syllable and inflection awareness</x:v>
      </x:c>
      <x:c r="D951" s="27" t="str">
        <x:v>CONNECTS_TO</x:v>
      </x:c>
      <x:c r="E951" s="27" t="str">
        <x:v>S13-READ-02:CROSS</x:v>
      </x:c>
      <x:c r="F951" s="27" t="str">
        <x:v>Oral language and writing; evidence in science/social studies; mathematical and technical problem interpretation; media verification.</x:v>
      </x:c>
      <x:c r="G951" s="27" t="str">
        <x:v>S13</x:v>
      </x:c>
      <x:c r="H951" s="27" t="str">
        <x:v>Reading</x:v>
      </x:c>
      <x:c r="I951" s="27" t="str">
        <x:v>SRC08; SRC10</x:v>
      </x:c>
      <x:c r="J951" s="27" t="str">
        <x:v>Parallel subject and representation links.</x:v>
      </x:c>
    </x:row>
    <x:row r="952">
      <x:c r="A952" s="27" t="str">
        <x:v>E00948</x:v>
      </x:c>
      <x:c r="B952" s="27" t="str">
        <x:v>S13-READ-02</x:v>
      </x:c>
      <x:c r="C952" s="27" t="str">
        <x:v>Syllable and inflection awareness</x:v>
      </x:c>
      <x:c r="D952" s="27" t="str">
        <x:v>UNLOCKS</x:v>
      </x:c>
      <x:c r="E952" s="27" t="str">
        <x:v>S13-READ-02:NEXT</x:v>
      </x:c>
      <x:c r="F952" s="27" t="str">
        <x:v>Syllables and morphemes provide manageable units for longer words.</x:v>
      </x:c>
      <x:c r="G952" s="27" t="str">
        <x:v>S13</x:v>
      </x:c>
      <x:c r="H952" s="27" t="str">
        <x:v>Reading</x:v>
      </x:c>
      <x:c r="I952" s="27" t="str">
        <x:v>SRC08; SRC10</x:v>
      </x:c>
      <x:c r="J952" s="27" t="str">
        <x:v>Outgoing use and placement rationale.</x:v>
      </x:c>
    </x:row>
    <x:row r="953">
      <x:c r="A953" s="27" t="str">
        <x:v>E00949</x:v>
      </x:c>
      <x:c r="B953" s="27" t="str">
        <x:v>S13-READ-02</x:v>
      </x:c>
      <x:c r="C953" s="27" t="str">
        <x:v>Syllable and inflection awareness</x:v>
      </x:c>
      <x:c r="D953" s="27" t="str">
        <x:v>VERIFIED_BY</x:v>
      </x:c>
      <x:c r="E953" s="27" t="str">
        <x:v>S13-READ-02:EVIDENCE</x:v>
      </x:c>
      <x:c r="F953" s="27" t="str">
        <x:v>Breaks a taught longer word into pronounceable/meaningful parts and reads it accurately.</x:v>
      </x:c>
      <x:c r="G953" s="27" t="str">
        <x:v>S13</x:v>
      </x:c>
      <x:c r="H953" s="27" t="str">
        <x:v>Reading</x:v>
      </x:c>
      <x:c r="I953" s="27" t="str">
        <x:v>SRC08; SRC10</x:v>
      </x:c>
      <x:c r="J953" s="27" t="str">
        <x:v>Observable evidence of usable learning.</x:v>
      </x:c>
    </x:row>
    <x:row r="954">
      <x:c r="A954" s="27" t="str">
        <x:v>E00950</x:v>
      </x:c>
      <x:c r="B954" s="27" t="str">
        <x:v>S13-READ-02</x:v>
      </x:c>
      <x:c r="C954" s="27" t="str">
        <x:v>Previous node in domain progression</x:v>
      </x:c>
      <x:c r="D954" s="27" t="str">
        <x:v>DOMAIN_SEQUENCE</x:v>
      </x:c>
      <x:c r="E954" s="27" t="str">
        <x:v>S13-READ-03</x:v>
      </x:c>
      <x:c r="F954" s="27" t="str">
        <x:v>Accurate connected-text reading</x:v>
      </x:c>
      <x:c r="G954" s="27" t="str">
        <x:v>S13</x:v>
      </x:c>
      <x:c r="H954" s="27" t="str">
        <x:v>Reading</x:v>
      </x:c>
      <x:c r="I954" s="27" t="str">
        <x:v>SRC08; SRC10</x:v>
      </x:c>
      <x:c r="J954" s="27" t="str">
        <x:v>Ordered spiral link; consult explicit prerequisites for logical dependency.</x:v>
      </x:c>
    </x:row>
    <x:row r="955">
      <x:c r="A955" s="27" t="str">
        <x:v>E00951</x:v>
      </x:c>
      <x:c r="B955" s="27" t="str">
        <x:v>S13-READ-03:PREREQ</x:v>
      </x:c>
      <x:c r="C955" s="27" t="str">
        <x:v>Reliable word decoding and mapped high-frequency words.</x:v>
      </x:c>
      <x:c r="D955" s="27" t="str">
        <x:v>PREREQUISITE</x:v>
      </x:c>
      <x:c r="E955" s="27" t="str">
        <x:v>S13-READ-03</x:v>
      </x:c>
      <x:c r="F955" s="27" t="str">
        <x:v>Accurate connected-text reading</x:v>
      </x:c>
      <x:c r="G955" s="27" t="str">
        <x:v>S13</x:v>
      </x:c>
      <x:c r="H955" s="27" t="str">
        <x:v>Reading</x:v>
      </x:c>
      <x:c r="I955" s="27" t="str">
        <x:v>SRC08; SRC10</x:v>
      </x:c>
      <x:c r="J955" s="27" t="str">
        <x:v>Incoming prerequisite relationship.</x:v>
      </x:c>
    </x:row>
    <x:row r="956">
      <x:c r="A956" s="27" t="str">
        <x:v>E00952</x:v>
      </x:c>
      <x:c r="B956" s="27" t="str">
        <x:v>S13-READ-03:GROUND</x:v>
      </x:c>
      <x:c r="C956" s="27" t="str">
        <x:v>G4/G5 — Concrete model linked to coordinated representations</x:v>
      </x:c>
      <x:c r="D956" s="27" t="str">
        <x:v>GROUNDED_BY</x:v>
      </x:c>
      <x:c r="E956" s="27" t="str">
        <x:v>S13-READ-03</x:v>
      </x:c>
      <x:c r="F956" s="27" t="str">
        <x:v>Accurate connected-text reading</x:v>
      </x:c>
      <x:c r="G956" s="27" t="str">
        <x:v>S13</x:v>
      </x:c>
      <x:c r="H956" s="27" t="str">
        <x:v>Reading</x:v>
      </x:c>
      <x:c r="I956" s="27" t="str">
        <x:v>SRC08; SRC10</x:v>
      </x:c>
      <x:c r="J956" s="27" t="str">
        <x:v>Grounding form used to preserve meaning.</x:v>
      </x:c>
    </x:row>
    <x:row r="957">
      <x:c r="A957" s="27" t="str">
        <x:v>E00953</x:v>
      </x:c>
      <x:c r="B957" s="27" t="str">
        <x:v>S13-READ-03</x:v>
      </x:c>
      <x:c r="C957" s="27" t="str">
        <x:v>Accurate connected-text reading</x:v>
      </x:c>
      <x:c r="D957" s="27" t="str">
        <x:v>CONNECTS_TO</x:v>
      </x:c>
      <x:c r="E957" s="27" t="str">
        <x:v>S13-READ-03:CROSS</x:v>
      </x:c>
      <x:c r="F957" s="27" t="str">
        <x:v>Oral language and writing; evidence in science/social studies; mathematical and technical problem interpretation; media verification.</x:v>
      </x:c>
      <x:c r="G957" s="27" t="str">
        <x:v>S13</x:v>
      </x:c>
      <x:c r="H957" s="27" t="str">
        <x:v>Reading</x:v>
      </x:c>
      <x:c r="I957" s="27" t="str">
        <x:v>SRC08; SRC10</x:v>
      </x:c>
      <x:c r="J957" s="27" t="str">
        <x:v>Parallel subject and representation links.</x:v>
      </x:c>
    </x:row>
    <x:row r="958">
      <x:c r="A958" s="27" t="str">
        <x:v>E00954</x:v>
      </x:c>
      <x:c r="B958" s="27" t="str">
        <x:v>S13-READ-03</x:v>
      </x:c>
      <x:c r="C958" s="27" t="str">
        <x:v>Accurate connected-text reading</x:v>
      </x:c>
      <x:c r="D958" s="27" t="str">
        <x:v>UNLOCKS</x:v>
      </x:c>
      <x:c r="E958" s="27" t="str">
        <x:v>S13-READ-03:NEXT</x:v>
      </x:c>
      <x:c r="F958" s="27" t="str">
        <x:v>Accuracy and automaticity free working memory for comprehension.</x:v>
      </x:c>
      <x:c r="G958" s="27" t="str">
        <x:v>S13</x:v>
      </x:c>
      <x:c r="H958" s="27" t="str">
        <x:v>Reading</x:v>
      </x:c>
      <x:c r="I958" s="27" t="str">
        <x:v>SRC08; SRC10</x:v>
      </x:c>
      <x:c r="J958" s="27" t="str">
        <x:v>Outgoing use and placement rationale.</x:v>
      </x:c>
    </x:row>
    <x:row r="959">
      <x:c r="A959" s="27" t="str">
        <x:v>E00955</x:v>
      </x:c>
      <x:c r="B959" s="27" t="str">
        <x:v>S13-READ-03</x:v>
      </x:c>
      <x:c r="C959" s="27" t="str">
        <x:v>Accurate connected-text reading</x:v>
      </x:c>
      <x:c r="D959" s="27" t="str">
        <x:v>VERIFIED_BY</x:v>
      </x:c>
      <x:c r="E959" s="27" t="str">
        <x:v>S13-READ-03:EVIDENCE</x:v>
      </x:c>
      <x:c r="F959" s="27" t="str">
        <x:v>Reads a short unfamiliar passage accurately and corrects a mismatch with syntax or meaning.</x:v>
      </x:c>
      <x:c r="G959" s="27" t="str">
        <x:v>S13</x:v>
      </x:c>
      <x:c r="H959" s="27" t="str">
        <x:v>Reading</x:v>
      </x:c>
      <x:c r="I959" s="27" t="str">
        <x:v>SRC08; SRC10</x:v>
      </x:c>
      <x:c r="J959" s="27" t="str">
        <x:v>Observable evidence of usable learning.</x:v>
      </x:c>
    </x:row>
    <x:row r="960">
      <x:c r="A960" s="27" t="str">
        <x:v>E00956</x:v>
      </x:c>
      <x:c r="B960" s="27" t="str">
        <x:v>S13-READ-03</x:v>
      </x:c>
      <x:c r="C960" s="27" t="str">
        <x:v>Previous node in domain progression</x:v>
      </x:c>
      <x:c r="D960" s="27" t="str">
        <x:v>DOMAIN_SEQUENCE</x:v>
      </x:c>
      <x:c r="E960" s="27" t="str">
        <x:v>S13-READ-04</x:v>
      </x:c>
      <x:c r="F960" s="27" t="str">
        <x:v>Retell, central message, and evidence</x:v>
      </x:c>
      <x:c r="G960" s="27" t="str">
        <x:v>S13</x:v>
      </x:c>
      <x:c r="H960" s="27" t="str">
        <x:v>Reading</x:v>
      </x:c>
      <x:c r="I960" s="27" t="str">
        <x:v>SRC10</x:v>
      </x:c>
      <x:c r="J960" s="27" t="str">
        <x:v>Ordered spiral link; consult explicit prerequisites for logical dependency.</x:v>
      </x:c>
    </x:row>
    <x:row r="961">
      <x:c r="A961" s="27" t="str">
        <x:v>E00957</x:v>
      </x:c>
      <x:c r="B961" s="27" t="str">
        <x:v>S13-READ-04:PREREQ</x:v>
      </x:c>
      <x:c r="C961" s="27" t="str">
        <x:v>Story elements, connected-text reading, and oral narrative.</x:v>
      </x:c>
      <x:c r="D961" s="27" t="str">
        <x:v>PREREQUISITE</x:v>
      </x:c>
      <x:c r="E961" s="27" t="str">
        <x:v>S13-READ-04</x:v>
      </x:c>
      <x:c r="F961" s="27" t="str">
        <x:v>Retell, central message, and evidence</x:v>
      </x:c>
      <x:c r="G961" s="27" t="str">
        <x:v>S13</x:v>
      </x:c>
      <x:c r="H961" s="27" t="str">
        <x:v>Reading</x:v>
      </x:c>
      <x:c r="I961" s="27" t="str">
        <x:v>SRC10</x:v>
      </x:c>
      <x:c r="J961" s="27" t="str">
        <x:v>Incoming prerequisite relationship.</x:v>
      </x:c>
    </x:row>
    <x:row r="962">
      <x:c r="A962" s="27" t="str">
        <x:v>E00958</x:v>
      </x:c>
      <x:c r="B962" s="27" t="str">
        <x:v>S13-READ-04:GROUND</x:v>
      </x:c>
      <x:c r="C962" s="27" t="str">
        <x:v>G4/G5 — Concrete model linked to coordinated representations</x:v>
      </x:c>
      <x:c r="D962" s="27" t="str">
        <x:v>GROUNDED_BY</x:v>
      </x:c>
      <x:c r="E962" s="27" t="str">
        <x:v>S13-READ-04</x:v>
      </x:c>
      <x:c r="F962" s="27" t="str">
        <x:v>Retell, central message, and evidence</x:v>
      </x:c>
      <x:c r="G962" s="27" t="str">
        <x:v>S13</x:v>
      </x:c>
      <x:c r="H962" s="27" t="str">
        <x:v>Reading</x:v>
      </x:c>
      <x:c r="I962" s="27" t="str">
        <x:v>SRC10</x:v>
      </x:c>
      <x:c r="J962" s="27" t="str">
        <x:v>Grounding form used to preserve meaning.</x:v>
      </x:c>
    </x:row>
    <x:row r="963">
      <x:c r="A963" s="27" t="str">
        <x:v>E00959</x:v>
      </x:c>
      <x:c r="B963" s="27" t="str">
        <x:v>S13-READ-04</x:v>
      </x:c>
      <x:c r="C963" s="27" t="str">
        <x:v>Retell, central message, and evidence</x:v>
      </x:c>
      <x:c r="D963" s="27" t="str">
        <x:v>CONNECTS_TO</x:v>
      </x:c>
      <x:c r="E963" s="27" t="str">
        <x:v>S13-READ-04:CROSS</x:v>
      </x:c>
      <x:c r="F963" s="27" t="str">
        <x:v>Oral language and writing; evidence in science/social studies; mathematical and technical problem interpretation; media verification.</x:v>
      </x:c>
      <x:c r="G963" s="27" t="str">
        <x:v>S13</x:v>
      </x:c>
      <x:c r="H963" s="27" t="str">
        <x:v>Reading</x:v>
      </x:c>
      <x:c r="I963" s="27" t="str">
        <x:v>SRC10</x:v>
      </x:c>
      <x:c r="J963" s="27" t="str">
        <x:v>Parallel subject and representation links.</x:v>
      </x:c>
    </x:row>
    <x:row r="964">
      <x:c r="A964" s="27" t="str">
        <x:v>E00960</x:v>
      </x:c>
      <x:c r="B964" s="27" t="str">
        <x:v>S13-READ-04</x:v>
      </x:c>
      <x:c r="C964" s="27" t="str">
        <x:v>Retell, central message, and evidence</x:v>
      </x:c>
      <x:c r="D964" s="27" t="str">
        <x:v>UNLOCKS</x:v>
      </x:c>
      <x:c r="E964" s="27" t="str">
        <x:v>S13-READ-04:NEXT</x:v>
      </x:c>
      <x:c r="F964" s="27" t="str">
        <x:v>Text-linked answers establish the habit of evidence-based comprehension.</x:v>
      </x:c>
      <x:c r="G964" s="27" t="str">
        <x:v>S13</x:v>
      </x:c>
      <x:c r="H964" s="27" t="str">
        <x:v>Reading</x:v>
      </x:c>
      <x:c r="I964" s="27" t="str">
        <x:v>SRC10</x:v>
      </x:c>
      <x:c r="J964" s="27" t="str">
        <x:v>Outgoing use and placement rationale.</x:v>
      </x:c>
    </x:row>
    <x:row r="965">
      <x:c r="A965" s="27" t="str">
        <x:v>E00961</x:v>
      </x:c>
      <x:c r="B965" s="27" t="str">
        <x:v>S13-READ-04</x:v>
      </x:c>
      <x:c r="C965" s="27" t="str">
        <x:v>Retell, central message, and evidence</x:v>
      </x:c>
      <x:c r="D965" s="27" t="str">
        <x:v>VERIFIED_BY</x:v>
      </x:c>
      <x:c r="E965" s="27" t="str">
        <x:v>S13-READ-04:EVIDENCE</x:v>
      </x:c>
      <x:c r="F965" s="27" t="str">
        <x:v>States a central message or topic and supports it with at least two relevant details.</x:v>
      </x:c>
      <x:c r="G965" s="27" t="str">
        <x:v>S13</x:v>
      </x:c>
      <x:c r="H965" s="27" t="str">
        <x:v>Reading</x:v>
      </x:c>
      <x:c r="I965" s="27" t="str">
        <x:v>SRC10</x:v>
      </x:c>
      <x:c r="J965" s="27" t="str">
        <x:v>Observable evidence of usable learning.</x:v>
      </x:c>
    </x:row>
    <x:row r="966">
      <x:c r="A966" s="27" t="str">
        <x:v>E00962</x:v>
      </x:c>
      <x:c r="B966" s="27" t="str">
        <x:v>S12-WRITE-03</x:v>
      </x:c>
      <x:c r="C966" s="27" t="str">
        <x:v>Previous node in domain progression</x:v>
      </x:c>
      <x:c r="D966" s="27" t="str">
        <x:v>DOMAIN_SEQUENCE</x:v>
      </x:c>
      <x:c r="E966" s="27" t="str">
        <x:v>S13-WRITE-01</x:v>
      </x:c>
      <x:c r="F966" s="27" t="str">
        <x:v>Sentence types and conjunctions</x:v>
      </x:c>
      <x:c r="G966" s="27" t="str">
        <x:v>S13</x:v>
      </x:c>
      <x:c r="H966" s="27" t="str">
        <x:v>Writing &amp; Language</x:v>
      </x:c>
      <x:c r="I966" s="27" t="str">
        <x:v>SRC10; SRC21</x:v>
      </x:c>
      <x:c r="J966" s="27" t="str">
        <x:v>Ordered spiral link; consult explicit prerequisites for logical dependency.</x:v>
      </x:c>
    </x:row>
    <x:row r="967">
      <x:c r="A967" s="27" t="str">
        <x:v>E00963</x:v>
      </x:c>
      <x:c r="B967" s="27" t="str">
        <x:v>S13-WRITE-01:PREREQ</x:v>
      </x:c>
      <x:c r="C967" s="27" t="str">
        <x:v>Complete sentence, capitalization, and ending punctuation.</x:v>
      </x:c>
      <x:c r="D967" s="27" t="str">
        <x:v>PREREQUISITE</x:v>
      </x:c>
      <x:c r="E967" s="27" t="str">
        <x:v>S13-WRITE-01</x:v>
      </x:c>
      <x:c r="F967" s="27" t="str">
        <x:v>Sentence types and conjunctions</x:v>
      </x:c>
      <x:c r="G967" s="27" t="str">
        <x:v>S13</x:v>
      </x:c>
      <x:c r="H967" s="27" t="str">
        <x:v>Writing &amp; Language</x:v>
      </x:c>
      <x:c r="I967" s="27" t="str">
        <x:v>SRC10; SRC21</x:v>
      </x:c>
      <x:c r="J967" s="27" t="str">
        <x:v>Incoming prerequisite relationship.</x:v>
      </x:c>
    </x:row>
    <x:row r="968">
      <x:c r="A968" s="27" t="str">
        <x:v>E00964</x:v>
      </x:c>
      <x:c r="B968" s="27" t="str">
        <x:v>S13-WRITE-01:GROUND</x:v>
      </x:c>
      <x:c r="C968" s="27" t="str">
        <x:v>G4/G5 — Concrete model linked to coordinated representations</x:v>
      </x:c>
      <x:c r="D968" s="27" t="str">
        <x:v>GROUNDED_BY</x:v>
      </x:c>
      <x:c r="E968" s="27" t="str">
        <x:v>S13-WRITE-01</x:v>
      </x:c>
      <x:c r="F968" s="27" t="str">
        <x:v>Sentence types and conjunctions</x:v>
      </x:c>
      <x:c r="G968" s="27" t="str">
        <x:v>S13</x:v>
      </x:c>
      <x:c r="H968" s="27" t="str">
        <x:v>Writing &amp; Language</x:v>
      </x:c>
      <x:c r="I968" s="27" t="str">
        <x:v>SRC10; SRC21</x:v>
      </x:c>
      <x:c r="J968" s="27" t="str">
        <x:v>Grounding form used to preserve meaning.</x:v>
      </x:c>
    </x:row>
    <x:row r="969">
      <x:c r="A969" s="27" t="str">
        <x:v>E00965</x:v>
      </x:c>
      <x:c r="B969" s="27" t="str">
        <x:v>S13-WRITE-01</x:v>
      </x:c>
      <x:c r="C969" s="27" t="str">
        <x:v>Sentence types and conjunctions</x:v>
      </x:c>
      <x:c r="D969" s="27" t="str">
        <x:v>CONNECTS_TO</x:v>
      </x:c>
      <x:c r="E969" s="27" t="str">
        <x:v>S13-WRITE-01:CROSS</x:v>
      </x:c>
      <x:c r="F969" s="27" t="str">
        <x:v>Reading models; evidence from science/social studies; mathematical explanation; research, media, and presentation.</x:v>
      </x:c>
      <x:c r="G969" s="27" t="str">
        <x:v>S13</x:v>
      </x:c>
      <x:c r="H969" s="27" t="str">
        <x:v>Writing &amp; Language</x:v>
      </x:c>
      <x:c r="I969" s="27" t="str">
        <x:v>SRC10; SRC21</x:v>
      </x:c>
      <x:c r="J969" s="27" t="str">
        <x:v>Parallel subject and representation links.</x:v>
      </x:c>
    </x:row>
    <x:row r="970">
      <x:c r="A970" s="27" t="str">
        <x:v>E00966</x:v>
      </x:c>
      <x:c r="B970" s="27" t="str">
        <x:v>S13-WRITE-01</x:v>
      </x:c>
      <x:c r="C970" s="27" t="str">
        <x:v>Sentence types and conjunctions</x:v>
      </x:c>
      <x:c r="D970" s="27" t="str">
        <x:v>UNLOCKS</x:v>
      </x:c>
      <x:c r="E970" s="27" t="str">
        <x:v>S13-WRITE-01:NEXT</x:v>
      </x:c>
      <x:c r="F970" s="27" t="str">
        <x:v>Sentence variety and coordination support paragraph development.</x:v>
      </x:c>
      <x:c r="G970" s="27" t="str">
        <x:v>S13</x:v>
      </x:c>
      <x:c r="H970" s="27" t="str">
        <x:v>Writing &amp; Language</x:v>
      </x:c>
      <x:c r="I970" s="27" t="str">
        <x:v>SRC10; SRC21</x:v>
      </x:c>
      <x:c r="J970" s="27" t="str">
        <x:v>Outgoing use and placement rationale.</x:v>
      </x:c>
    </x:row>
    <x:row r="971">
      <x:c r="A971" s="27" t="str">
        <x:v>E00967</x:v>
      </x:c>
      <x:c r="B971" s="27" t="str">
        <x:v>S13-WRITE-01</x:v>
      </x:c>
      <x:c r="C971" s="27" t="str">
        <x:v>Sentence types and conjunctions</x:v>
      </x:c>
      <x:c r="D971" s="27" t="str">
        <x:v>VERIFIED_BY</x:v>
      </x:c>
      <x:c r="E971" s="27" t="str">
        <x:v>S13-WRITE-01:EVIDENCE</x:v>
      </x:c>
      <x:c r="F971" s="27" t="str">
        <x:v>Writes several sentence types and combines two related ideas without losing meaning.</x:v>
      </x:c>
      <x:c r="G971" s="27" t="str">
        <x:v>S13</x:v>
      </x:c>
      <x:c r="H971" s="27" t="str">
        <x:v>Writing &amp; Language</x:v>
      </x:c>
      <x:c r="I971" s="27" t="str">
        <x:v>SRC10; SRC21</x:v>
      </x:c>
      <x:c r="J971" s="27" t="str">
        <x:v>Observable evidence of usable learning.</x:v>
      </x:c>
    </x:row>
    <x:row r="972">
      <x:c r="A972" s="27" t="str">
        <x:v>E00968</x:v>
      </x:c>
      <x:c r="B972" s="27" t="str">
        <x:v>S13-WRITE-01</x:v>
      </x:c>
      <x:c r="C972" s="27" t="str">
        <x:v>Previous node in domain progression</x:v>
      </x:c>
      <x:c r="D972" s="27" t="str">
        <x:v>DOMAIN_SEQUENCE</x:v>
      </x:c>
      <x:c r="E972" s="27" t="str">
        <x:v>S13-WRITE-02</x:v>
      </x:c>
      <x:c r="F972" s="27" t="str">
        <x:v>Common patterns and inflections</x:v>
      </x:c>
      <x:c r="G972" s="27" t="str">
        <x:v>S13</x:v>
      </x:c>
      <x:c r="H972" s="27" t="str">
        <x:v>Writing &amp; Language</x:v>
      </x:c>
      <x:c r="I972" s="27" t="str">
        <x:v>SRC08; SRC10</x:v>
      </x:c>
      <x:c r="J972" s="27" t="str">
        <x:v>Ordered spiral link; consult explicit prerequisites for logical dependency.</x:v>
      </x:c>
    </x:row>
    <x:row r="973">
      <x:c r="A973" s="27" t="str">
        <x:v>E00969</x:v>
      </x:c>
      <x:c r="B973" s="27" t="str">
        <x:v>S13-WRITE-02:PREREQ</x:v>
      </x:c>
      <x:c r="C973" s="27" t="str">
        <x:v>Phoneme-grapheme encoding and Grade 1 phonics.</x:v>
      </x:c>
      <x:c r="D973" s="27" t="str">
        <x:v>PREREQUISITE</x:v>
      </x:c>
      <x:c r="E973" s="27" t="str">
        <x:v>S13-WRITE-02</x:v>
      </x:c>
      <x:c r="F973" s="27" t="str">
        <x:v>Common patterns and inflections</x:v>
      </x:c>
      <x:c r="G973" s="27" t="str">
        <x:v>S13</x:v>
      </x:c>
      <x:c r="H973" s="27" t="str">
        <x:v>Writing &amp; Language</x:v>
      </x:c>
      <x:c r="I973" s="27" t="str">
        <x:v>SRC08; SRC10</x:v>
      </x:c>
      <x:c r="J973" s="27" t="str">
        <x:v>Incoming prerequisite relationship.</x:v>
      </x:c>
    </x:row>
    <x:row r="974">
      <x:c r="A974" s="27" t="str">
        <x:v>E00970</x:v>
      </x:c>
      <x:c r="B974" s="27" t="str">
        <x:v>S13-WRITE-02:GROUND</x:v>
      </x:c>
      <x:c r="C974" s="27" t="str">
        <x:v>G4/G5 — Concrete model linked to coordinated representations</x:v>
      </x:c>
      <x:c r="D974" s="27" t="str">
        <x:v>GROUNDED_BY</x:v>
      </x:c>
      <x:c r="E974" s="27" t="str">
        <x:v>S13-WRITE-02</x:v>
      </x:c>
      <x:c r="F974" s="27" t="str">
        <x:v>Common patterns and inflections</x:v>
      </x:c>
      <x:c r="G974" s="27" t="str">
        <x:v>S13</x:v>
      </x:c>
      <x:c r="H974" s="27" t="str">
        <x:v>Writing &amp; Language</x:v>
      </x:c>
      <x:c r="I974" s="27" t="str">
        <x:v>SRC08; SRC10</x:v>
      </x:c>
      <x:c r="J974" s="27" t="str">
        <x:v>Grounding form used to preserve meaning.</x:v>
      </x:c>
    </x:row>
    <x:row r="975">
      <x:c r="A975" s="27" t="str">
        <x:v>E00971</x:v>
      </x:c>
      <x:c r="B975" s="27" t="str">
        <x:v>S13-WRITE-02</x:v>
      </x:c>
      <x:c r="C975" s="27" t="str">
        <x:v>Common patterns and inflections</x:v>
      </x:c>
      <x:c r="D975" s="27" t="str">
        <x:v>CONNECTS_TO</x:v>
      </x:c>
      <x:c r="E975" s="27" t="str">
        <x:v>S13-WRITE-02:CROSS</x:v>
      </x:c>
      <x:c r="F975" s="27" t="str">
        <x:v>Reading models; evidence from science/social studies; mathematical explanation; research, media, and presentation.</x:v>
      </x:c>
      <x:c r="G975" s="27" t="str">
        <x:v>S13</x:v>
      </x:c>
      <x:c r="H975" s="27" t="str">
        <x:v>Writing &amp; Language</x:v>
      </x:c>
      <x:c r="I975" s="27" t="str">
        <x:v>SRC08; SRC10</x:v>
      </x:c>
      <x:c r="J975" s="27" t="str">
        <x:v>Parallel subject and representation links.</x:v>
      </x:c>
    </x:row>
    <x:row r="976">
      <x:c r="A976" s="27" t="str">
        <x:v>E00972</x:v>
      </x:c>
      <x:c r="B976" s="27" t="str">
        <x:v>S13-WRITE-02</x:v>
      </x:c>
      <x:c r="C976" s="27" t="str">
        <x:v>Common patterns and inflections</x:v>
      </x:c>
      <x:c r="D976" s="27" t="str">
        <x:v>UNLOCKS</x:v>
      </x:c>
      <x:c r="E976" s="27" t="str">
        <x:v>S13-WRITE-02:NEXT</x:v>
      </x:c>
      <x:c r="F976" s="27" t="str">
        <x:v>Pattern-based spelling makes word storage and morphological consistency visible.</x:v>
      </x:c>
      <x:c r="G976" s="27" t="str">
        <x:v>S13</x:v>
      </x:c>
      <x:c r="H976" s="27" t="str">
        <x:v>Writing &amp; Language</x:v>
      </x:c>
      <x:c r="I976" s="27" t="str">
        <x:v>SRC08; SRC10</x:v>
      </x:c>
      <x:c r="J976" s="27" t="str">
        <x:v>Outgoing use and placement rationale.</x:v>
      </x:c>
    </x:row>
    <x:row r="977">
      <x:c r="A977" s="27" t="str">
        <x:v>E00973</x:v>
      </x:c>
      <x:c r="B977" s="27" t="str">
        <x:v>S13-WRITE-02</x:v>
      </x:c>
      <x:c r="C977" s="27" t="str">
        <x:v>Common patterns and inflections</x:v>
      </x:c>
      <x:c r="D977" s="27" t="str">
        <x:v>VERIFIED_BY</x:v>
      </x:c>
      <x:c r="E977" s="27" t="str">
        <x:v>S13-WRITE-02:EVIDENCE</x:v>
      </x:c>
      <x:c r="F977" s="27" t="str">
        <x:v>Spells unfamiliar regular words by explaining sounds, pattern, base, and ending.</x:v>
      </x:c>
      <x:c r="G977" s="27" t="str">
        <x:v>S13</x:v>
      </x:c>
      <x:c r="H977" s="27" t="str">
        <x:v>Writing &amp; Language</x:v>
      </x:c>
      <x:c r="I977" s="27" t="str">
        <x:v>SRC08; SRC10</x:v>
      </x:c>
      <x:c r="J977" s="27" t="str">
        <x:v>Observable evidence of usable learning.</x:v>
      </x:c>
    </x:row>
    <x:row r="978">
      <x:c r="A978" s="27" t="str">
        <x:v>E00974</x:v>
      </x:c>
      <x:c r="B978" s="27" t="str">
        <x:v>S13-WRITE-02</x:v>
      </x:c>
      <x:c r="C978" s="27" t="str">
        <x:v>Previous node in domain progression</x:v>
      </x:c>
      <x:c r="D978" s="27" t="str">
        <x:v>DOMAIN_SEQUENCE</x:v>
      </x:c>
      <x:c r="E978" s="27" t="str">
        <x:v>S13-WRITE-03</x:v>
      </x:c>
      <x:c r="F978" s="27" t="str">
        <x:v>Sequenced narrative, informative, and opinion pieces</x:v>
      </x:c>
      <x:c r="G978" s="27" t="str">
        <x:v>S13</x:v>
      </x:c>
      <x:c r="H978" s="27" t="str">
        <x:v>Writing &amp; Language</x:v>
      </x:c>
      <x:c r="I978" s="27" t="str">
        <x:v>SRC10; SRC21</x:v>
      </x:c>
      <x:c r="J978" s="27" t="str">
        <x:v>Ordered spiral link; consult explicit prerequisites for logical dependency.</x:v>
      </x:c>
    </x:row>
    <x:row r="979">
      <x:c r="A979" s="27" t="str">
        <x:v>E00975</x:v>
      </x:c>
      <x:c r="B979" s="27" t="str">
        <x:v>S13-WRITE-03:PREREQ</x:v>
      </x:c>
      <x:c r="C979" s="27" t="str">
        <x:v>Sentence craft, oral elaboration, and event order.</x:v>
      </x:c>
      <x:c r="D979" s="27" t="str">
        <x:v>PREREQUISITE</x:v>
      </x:c>
      <x:c r="E979" s="27" t="str">
        <x:v>S13-WRITE-03</x:v>
      </x:c>
      <x:c r="F979" s="27" t="str">
        <x:v>Sequenced narrative, informative, and opinion pieces</x:v>
      </x:c>
      <x:c r="G979" s="27" t="str">
        <x:v>S13</x:v>
      </x:c>
      <x:c r="H979" s="27" t="str">
        <x:v>Writing &amp; Language</x:v>
      </x:c>
      <x:c r="I979" s="27" t="str">
        <x:v>SRC10; SRC21</x:v>
      </x:c>
      <x:c r="J979" s="27" t="str">
        <x:v>Incoming prerequisite relationship.</x:v>
      </x:c>
    </x:row>
    <x:row r="980">
      <x:c r="A980" s="27" t="str">
        <x:v>E00976</x:v>
      </x:c>
      <x:c r="B980" s="27" t="str">
        <x:v>S13-WRITE-03:GROUND</x:v>
      </x:c>
      <x:c r="C980" s="27" t="str">
        <x:v>G4/G5 — Concrete model linked to coordinated representations</x:v>
      </x:c>
      <x:c r="D980" s="27" t="str">
        <x:v>GROUNDED_BY</x:v>
      </x:c>
      <x:c r="E980" s="27" t="str">
        <x:v>S13-WRITE-03</x:v>
      </x:c>
      <x:c r="F980" s="27" t="str">
        <x:v>Sequenced narrative, informative, and opinion pieces</x:v>
      </x:c>
      <x:c r="G980" s="27" t="str">
        <x:v>S13</x:v>
      </x:c>
      <x:c r="H980" s="27" t="str">
        <x:v>Writing &amp; Language</x:v>
      </x:c>
      <x:c r="I980" s="27" t="str">
        <x:v>SRC10; SRC21</x:v>
      </x:c>
      <x:c r="J980" s="27" t="str">
        <x:v>Grounding form used to preserve meaning.</x:v>
      </x:c>
    </x:row>
    <x:row r="981">
      <x:c r="A981" s="27" t="str">
        <x:v>E00977</x:v>
      </x:c>
      <x:c r="B981" s="27" t="str">
        <x:v>S13-WRITE-03</x:v>
      </x:c>
      <x:c r="C981" s="27" t="str">
        <x:v>Sequenced narrative, informative, and opinion pieces</x:v>
      </x:c>
      <x:c r="D981" s="27" t="str">
        <x:v>CONNECTS_TO</x:v>
      </x:c>
      <x:c r="E981" s="27" t="str">
        <x:v>S13-WRITE-03:CROSS</x:v>
      </x:c>
      <x:c r="F981" s="27" t="str">
        <x:v>Reading models; evidence from science/social studies; mathematical explanation; research, media, and presentation.</x:v>
      </x:c>
      <x:c r="G981" s="27" t="str">
        <x:v>S13</x:v>
      </x:c>
      <x:c r="H981" s="27" t="str">
        <x:v>Writing &amp; Language</x:v>
      </x:c>
      <x:c r="I981" s="27" t="str">
        <x:v>SRC10; SRC21</x:v>
      </x:c>
      <x:c r="J981" s="27" t="str">
        <x:v>Parallel subject and representation links.</x:v>
      </x:c>
    </x:row>
    <x:row r="982">
      <x:c r="A982" s="27" t="str">
        <x:v>E00978</x:v>
      </x:c>
      <x:c r="B982" s="27" t="str">
        <x:v>S13-WRITE-03</x:v>
      </x:c>
      <x:c r="C982" s="27" t="str">
        <x:v>Sequenced narrative, informative, and opinion pieces</x:v>
      </x:c>
      <x:c r="D982" s="27" t="str">
        <x:v>UNLOCKS</x:v>
      </x:c>
      <x:c r="E982" s="27" t="str">
        <x:v>S13-WRITE-03:NEXT</x:v>
      </x:c>
      <x:c r="F982" s="27" t="str">
        <x:v>Purpose-specific connected writing prepares paragraph structure and genre knowledge.</x:v>
      </x:c>
      <x:c r="G982" s="27" t="str">
        <x:v>S13</x:v>
      </x:c>
      <x:c r="H982" s="27" t="str">
        <x:v>Writing &amp; Language</x:v>
      </x:c>
      <x:c r="I982" s="27" t="str">
        <x:v>SRC10; SRC21</x:v>
      </x:c>
      <x:c r="J982" s="27" t="str">
        <x:v>Outgoing use and placement rationale.</x:v>
      </x:c>
    </x:row>
    <x:row r="983">
      <x:c r="A983" s="27" t="str">
        <x:v>E00979</x:v>
      </x:c>
      <x:c r="B983" s="27" t="str">
        <x:v>S13-WRITE-03</x:v>
      </x:c>
      <x:c r="C983" s="27" t="str">
        <x:v>Sequenced narrative, informative, and opinion pieces</x:v>
      </x:c>
      <x:c r="D983" s="27" t="str">
        <x:v>VERIFIED_BY</x:v>
      </x:c>
      <x:c r="E983" s="27" t="str">
        <x:v>S13-WRITE-03:EVIDENCE</x:v>
      </x:c>
      <x:c r="F983" s="27" t="str">
        <x:v>Produces a focused piece whose sentences follow a clear purpose and order.</x:v>
      </x:c>
      <x:c r="G983" s="27" t="str">
        <x:v>S13</x:v>
      </x:c>
      <x:c r="H983" s="27" t="str">
        <x:v>Writing &amp; Language</x:v>
      </x:c>
      <x:c r="I983" s="27" t="str">
        <x:v>SRC10; SRC21</x:v>
      </x:c>
      <x:c r="J983" s="27" t="str">
        <x:v>Observable evidence of usable learning.</x:v>
      </x:c>
    </x:row>
    <x:row r="984">
      <x:c r="A984" s="27" t="str">
        <x:v>E00980</x:v>
      </x:c>
      <x:c r="B984" s="27" t="str">
        <x:v>S12-MATH-06</x:v>
      </x:c>
      <x:c r="C984" s="27" t="str">
        <x:v>Previous node in domain progression</x:v>
      </x:c>
      <x:c r="D984" s="27" t="str">
        <x:v>DOMAIN_SEQUENCE</x:v>
      </x:c>
      <x:c r="E984" s="27" t="str">
        <x:v>S13-MATH-01</x:v>
      </x:c>
      <x:c r="F984" s="27" t="str">
        <x:v>Addition and subtraction within 20</x:v>
      </x:c>
      <x:c r="G984" s="27" t="str">
        <x:v>S13</x:v>
      </x:c>
      <x:c r="H984" s="27" t="str">
        <x:v>Mathematics</x:v>
      </x:c>
      <x:c r="I984" s="27" t="str">
        <x:v>SRC09</x:v>
      </x:c>
      <x:c r="J984" s="27" t="str">
        <x:v>Ordered spiral link; consult explicit prerequisites for logical dependency.</x:v>
      </x:c>
    </x:row>
    <x:row r="985">
      <x:c r="A985" s="27" t="str">
        <x:v>E00981</x:v>
      </x:c>
      <x:c r="B985" s="27" t="str">
        <x:v>S13-MATH-01:PREREQ</x:v>
      </x:c>
      <x:c r="C985" s="27" t="str">
        <x:v>Kindergarten operations within 10 and teen-number structure.</x:v>
      </x:c>
      <x:c r="D985" s="27" t="str">
        <x:v>PREREQUISITE</x:v>
      </x:c>
      <x:c r="E985" s="27" t="str">
        <x:v>S13-MATH-01</x:v>
      </x:c>
      <x:c r="F985" s="27" t="str">
        <x:v>Addition and subtraction within 20</x:v>
      </x:c>
      <x:c r="G985" s="27" t="str">
        <x:v>S13</x:v>
      </x:c>
      <x:c r="H985" s="27" t="str">
        <x:v>Mathematics</x:v>
      </x:c>
      <x:c r="I985" s="27" t="str">
        <x:v>SRC09</x:v>
      </x:c>
      <x:c r="J985" s="27" t="str">
        <x:v>Incoming prerequisite relationship.</x:v>
      </x:c>
    </x:row>
    <x:row r="986">
      <x:c r="A986" s="27" t="str">
        <x:v>E00982</x:v>
      </x:c>
      <x:c r="B986" s="27" t="str">
        <x:v>S13-MATH-01:GROUND</x:v>
      </x:c>
      <x:c r="C986" s="27" t="str">
        <x:v>G4/G5 — Concrete model linked to coordinated representations</x:v>
      </x:c>
      <x:c r="D986" s="27" t="str">
        <x:v>GROUNDED_BY</x:v>
      </x:c>
      <x:c r="E986" s="27" t="str">
        <x:v>S13-MATH-01</x:v>
      </x:c>
      <x:c r="F986" s="27" t="str">
        <x:v>Addition and subtraction within 20</x:v>
      </x:c>
      <x:c r="G986" s="27" t="str">
        <x:v>S13</x:v>
      </x:c>
      <x:c r="H986" s="27" t="str">
        <x:v>Mathematics</x:v>
      </x:c>
      <x:c r="I986" s="27" t="str">
        <x:v>SRC09</x:v>
      </x:c>
      <x:c r="J986" s="27" t="str">
        <x:v>Grounding form used to preserve meaning.</x:v>
      </x:c>
    </x:row>
    <x:row r="987">
      <x:c r="A987" s="27" t="str">
        <x:v>E00983</x:v>
      </x:c>
      <x:c r="B987" s="27" t="str">
        <x:v>S13-MATH-01</x:v>
      </x:c>
      <x:c r="C987" s="27" t="str">
        <x:v>Addition and subtraction within 20</x:v>
      </x:c>
      <x:c r="D987" s="27" t="str">
        <x:v>CONNECTS_TO</x:v>
      </x:c>
      <x:c r="E987" s="27" t="str">
        <x:v>S13-MATH-01:CROSS</x:v>
      </x:c>
      <x:c r="F987" s="27" t="str">
        <x:v>Physical quantity and spatial action; science measurement/models; computing/algorithms; finance; music rhythm/pattern; geographic data.</x:v>
      </x:c>
      <x:c r="G987" s="27" t="str">
        <x:v>S13</x:v>
      </x:c>
      <x:c r="H987" s="27" t="str">
        <x:v>Mathematics</x:v>
      </x:c>
      <x:c r="I987" s="27" t="str">
        <x:v>SRC09</x:v>
      </x:c>
      <x:c r="J987" s="27" t="str">
        <x:v>Parallel subject and representation links.</x:v>
      </x:c>
    </x:row>
    <x:row r="988">
      <x:c r="A988" s="27" t="str">
        <x:v>E00984</x:v>
      </x:c>
      <x:c r="B988" s="27" t="str">
        <x:v>S13-MATH-01</x:v>
      </x:c>
      <x:c r="C988" s="27" t="str">
        <x:v>Addition and subtraction within 20</x:v>
      </x:c>
      <x:c r="D988" s="27" t="str">
        <x:v>UNLOCKS</x:v>
      </x:c>
      <x:c r="E988" s="27" t="str">
        <x:v>S13-MATH-01:NEXT</x:v>
      </x:c>
      <x:c r="F988" s="27" t="str">
        <x:v>Strategic fact reasoning supports fluency and later multi-digit algorithms.</x:v>
      </x:c>
      <x:c r="G988" s="27" t="str">
        <x:v>S13</x:v>
      </x:c>
      <x:c r="H988" s="27" t="str">
        <x:v>Mathematics</x:v>
      </x:c>
      <x:c r="I988" s="27" t="str">
        <x:v>SRC09</x:v>
      </x:c>
      <x:c r="J988" s="27" t="str">
        <x:v>Outgoing use and placement rationale.</x:v>
      </x:c>
    </x:row>
    <x:row r="989">
      <x:c r="A989" s="27" t="str">
        <x:v>E00985</x:v>
      </x:c>
      <x:c r="B989" s="27" t="str">
        <x:v>S13-MATH-01</x:v>
      </x:c>
      <x:c r="C989" s="27" t="str">
        <x:v>Addition and subtraction within 20</x:v>
      </x:c>
      <x:c r="D989" s="27" t="str">
        <x:v>VERIFIED_BY</x:v>
      </x:c>
      <x:c r="E989" s="27" t="str">
        <x:v>S13-MATH-01:EVIDENCE</x:v>
      </x:c>
      <x:c r="F989" s="27" t="str">
        <x:v>Solves mixed facts and explains a relationship-based strategy rather than recounting every item.</x:v>
      </x:c>
      <x:c r="G989" s="27" t="str">
        <x:v>S13</x:v>
      </x:c>
      <x:c r="H989" s="27" t="str">
        <x:v>Mathematics</x:v>
      </x:c>
      <x:c r="I989" s="27" t="str">
        <x:v>SRC09</x:v>
      </x:c>
      <x:c r="J989" s="27" t="str">
        <x:v>Observable evidence of usable learning.</x:v>
      </x:c>
    </x:row>
    <x:row r="990">
      <x:c r="A990" s="27" t="str">
        <x:v>E00986</x:v>
      </x:c>
      <x:c r="B990" s="27" t="str">
        <x:v>S13-MATH-01</x:v>
      </x:c>
      <x:c r="C990" s="27" t="str">
        <x:v>Previous node in domain progression</x:v>
      </x:c>
      <x:c r="D990" s="27" t="str">
        <x:v>DOMAIN_SEQUENCE</x:v>
      </x:c>
      <x:c r="E990" s="27" t="str">
        <x:v>S13-MATH-02</x:v>
      </x:c>
      <x:c r="F990" s="27" t="str">
        <x:v>Unknowns in all positions</x:v>
      </x:c>
      <x:c r="G990" s="27" t="str">
        <x:v>S13</x:v>
      </x:c>
      <x:c r="H990" s="27" t="str">
        <x:v>Mathematics</x:v>
      </x:c>
      <x:c r="I990" s="27" t="str">
        <x:v>SRC09</x:v>
      </x:c>
      <x:c r="J990" s="27" t="str">
        <x:v>Ordered spiral link; consult explicit prerequisites for logical dependency.</x:v>
      </x:c>
    </x:row>
    <x:row r="991">
      <x:c r="A991" s="27" t="str">
        <x:v>E00987</x:v>
      </x:c>
      <x:c r="B991" s="27" t="str">
        <x:v>S13-MATH-02:PREREQ</x:v>
      </x:c>
      <x:c r="C991" s="27" t="str">
        <x:v>Operation meanings and part–whole structure.</x:v>
      </x:c>
      <x:c r="D991" s="27" t="str">
        <x:v>PREREQUISITE</x:v>
      </x:c>
      <x:c r="E991" s="27" t="str">
        <x:v>S13-MATH-02</x:v>
      </x:c>
      <x:c r="F991" s="27" t="str">
        <x:v>Unknowns in all positions</x:v>
      </x:c>
      <x:c r="G991" s="27" t="str">
        <x:v>S13</x:v>
      </x:c>
      <x:c r="H991" s="27" t="str">
        <x:v>Mathematics</x:v>
      </x:c>
      <x:c r="I991" s="27" t="str">
        <x:v>SRC09</x:v>
      </x:c>
      <x:c r="J991" s="27" t="str">
        <x:v>Incoming prerequisite relationship.</x:v>
      </x:c>
    </x:row>
    <x:row r="992">
      <x:c r="A992" s="27" t="str">
        <x:v>E00988</x:v>
      </x:c>
      <x:c r="B992" s="27" t="str">
        <x:v>S13-MATH-02:GROUND</x:v>
      </x:c>
      <x:c r="C992" s="27" t="str">
        <x:v>G4/G5 — Concrete model linked to coordinated representations</x:v>
      </x:c>
      <x:c r="D992" s="27" t="str">
        <x:v>GROUNDED_BY</x:v>
      </x:c>
      <x:c r="E992" s="27" t="str">
        <x:v>S13-MATH-02</x:v>
      </x:c>
      <x:c r="F992" s="27" t="str">
        <x:v>Unknowns in all positions</x:v>
      </x:c>
      <x:c r="G992" s="27" t="str">
        <x:v>S13</x:v>
      </x:c>
      <x:c r="H992" s="27" t="str">
        <x:v>Mathematics</x:v>
      </x:c>
      <x:c r="I992" s="27" t="str">
        <x:v>SRC09</x:v>
      </x:c>
      <x:c r="J992" s="27" t="str">
        <x:v>Grounding form used to preserve meaning.</x:v>
      </x:c>
    </x:row>
    <x:row r="993">
      <x:c r="A993" s="27" t="str">
        <x:v>E00989</x:v>
      </x:c>
      <x:c r="B993" s="27" t="str">
        <x:v>S13-MATH-02</x:v>
      </x:c>
      <x:c r="C993" s="27" t="str">
        <x:v>Unknowns in all positions</x:v>
      </x:c>
      <x:c r="D993" s="27" t="str">
        <x:v>CONNECTS_TO</x:v>
      </x:c>
      <x:c r="E993" s="27" t="str">
        <x:v>S13-MATH-02:CROSS</x:v>
      </x:c>
      <x:c r="F993" s="27" t="str">
        <x:v>Physical quantity and spatial action; science measurement/models; computing/algorithms; finance; music rhythm/pattern; geographic data.</x:v>
      </x:c>
      <x:c r="G993" s="27" t="str">
        <x:v>S13</x:v>
      </x:c>
      <x:c r="H993" s="27" t="str">
        <x:v>Mathematics</x:v>
      </x:c>
      <x:c r="I993" s="27" t="str">
        <x:v>SRC09</x:v>
      </x:c>
      <x:c r="J993" s="27" t="str">
        <x:v>Parallel subject and representation links.</x:v>
      </x:c>
    </x:row>
    <x:row r="994">
      <x:c r="A994" s="27" t="str">
        <x:v>E00990</x:v>
      </x:c>
      <x:c r="B994" s="27" t="str">
        <x:v>S13-MATH-02</x:v>
      </x:c>
      <x:c r="C994" s="27" t="str">
        <x:v>Unknowns in all positions</x:v>
      </x:c>
      <x:c r="D994" s="27" t="str">
        <x:v>UNLOCKS</x:v>
      </x:c>
      <x:c r="E994" s="27" t="str">
        <x:v>S13-MATH-02:NEXT</x:v>
      </x:c>
      <x:c r="F994" s="27" t="str">
        <x:v>Varying unknown position develops relational equality and algebraic reasoning.</x:v>
      </x:c>
      <x:c r="G994" s="27" t="str">
        <x:v>S13</x:v>
      </x:c>
      <x:c r="H994" s="27" t="str">
        <x:v>Mathematics</x:v>
      </x:c>
      <x:c r="I994" s="27" t="str">
        <x:v>SRC09</x:v>
      </x:c>
      <x:c r="J994" s="27" t="str">
        <x:v>Outgoing use and placement rationale.</x:v>
      </x:c>
    </x:row>
    <x:row r="995">
      <x:c r="A995" s="27" t="str">
        <x:v>E00991</x:v>
      </x:c>
      <x:c r="B995" s="27" t="str">
        <x:v>S13-MATH-02</x:v>
      </x:c>
      <x:c r="C995" s="27" t="str">
        <x:v>Unknowns in all positions</x:v>
      </x:c>
      <x:c r="D995" s="27" t="str">
        <x:v>VERIFIED_BY</x:v>
      </x:c>
      <x:c r="E995" s="27" t="str">
        <x:v>S13-MATH-02:EVIDENCE</x:v>
      </x:c>
      <x:c r="F995" s="27" t="str">
        <x:v>Models and solves an equation such as □ + 5 = 12 or 14 − □ = 8.</x:v>
      </x:c>
      <x:c r="G995" s="27" t="str">
        <x:v>S13</x:v>
      </x:c>
      <x:c r="H995" s="27" t="str">
        <x:v>Mathematics</x:v>
      </x:c>
      <x:c r="I995" s="27" t="str">
        <x:v>SRC09</x:v>
      </x:c>
      <x:c r="J995" s="27" t="str">
        <x:v>Observable evidence of usable learning.</x:v>
      </x:c>
    </x:row>
    <x:row r="996">
      <x:c r="A996" s="27" t="str">
        <x:v>E00992</x:v>
      </x:c>
      <x:c r="B996" s="27" t="str">
        <x:v>S13-MATH-02</x:v>
      </x:c>
      <x:c r="C996" s="27" t="str">
        <x:v>Previous node in domain progression</x:v>
      </x:c>
      <x:c r="D996" s="27" t="str">
        <x:v>DOMAIN_SEQUENCE</x:v>
      </x:c>
      <x:c r="E996" s="27" t="str">
        <x:v>S13-MATH-03</x:v>
      </x:c>
      <x:c r="F996" s="27" t="str">
        <x:v>Tens and ones to 120</x:v>
      </x:c>
      <x:c r="G996" s="27" t="str">
        <x:v>S13</x:v>
      </x:c>
      <x:c r="H996" s="27" t="str">
        <x:v>Mathematics</x:v>
      </x:c>
      <x:c r="I996" s="27" t="str">
        <x:v>SRC09</x:v>
      </x:c>
      <x:c r="J996" s="27" t="str">
        <x:v>Ordered spiral link; consult explicit prerequisites for logical dependency.</x:v>
      </x:c>
    </x:row>
    <x:row r="997">
      <x:c r="A997" s="27" t="str">
        <x:v>E00993</x:v>
      </x:c>
      <x:c r="B997" s="27" t="str">
        <x:v>S13-MATH-03:PREREQ</x:v>
      </x:c>
      <x:c r="C997" s="27" t="str">
        <x:v>Unitizing ten and extended count sequence.</x:v>
      </x:c>
      <x:c r="D997" s="27" t="str">
        <x:v>PREREQUISITE</x:v>
      </x:c>
      <x:c r="E997" s="27" t="str">
        <x:v>S13-MATH-03</x:v>
      </x:c>
      <x:c r="F997" s="27" t="str">
        <x:v>Tens and ones to 120</x:v>
      </x:c>
      <x:c r="G997" s="27" t="str">
        <x:v>S13</x:v>
      </x:c>
      <x:c r="H997" s="27" t="str">
        <x:v>Mathematics</x:v>
      </x:c>
      <x:c r="I997" s="27" t="str">
        <x:v>SRC09</x:v>
      </x:c>
      <x:c r="J997" s="27" t="str">
        <x:v>Incoming prerequisite relationship.</x:v>
      </x:c>
    </x:row>
    <x:row r="998">
      <x:c r="A998" s="27" t="str">
        <x:v>E00994</x:v>
      </x:c>
      <x:c r="B998" s="27" t="str">
        <x:v>S13-MATH-03:GROUND</x:v>
      </x:c>
      <x:c r="C998" s="27" t="str">
        <x:v>G4/G5 — Concrete model linked to coordinated representations</x:v>
      </x:c>
      <x:c r="D998" s="27" t="str">
        <x:v>GROUNDED_BY</x:v>
      </x:c>
      <x:c r="E998" s="27" t="str">
        <x:v>S13-MATH-03</x:v>
      </x:c>
      <x:c r="F998" s="27" t="str">
        <x:v>Tens and ones to 120</x:v>
      </x:c>
      <x:c r="G998" s="27" t="str">
        <x:v>S13</x:v>
      </x:c>
      <x:c r="H998" s="27" t="str">
        <x:v>Mathematics</x:v>
      </x:c>
      <x:c r="I998" s="27" t="str">
        <x:v>SRC09</x:v>
      </x:c>
      <x:c r="J998" s="27" t="str">
        <x:v>Grounding form used to preserve meaning.</x:v>
      </x:c>
    </x:row>
    <x:row r="999">
      <x:c r="A999" s="27" t="str">
        <x:v>E00995</x:v>
      </x:c>
      <x:c r="B999" s="27" t="str">
        <x:v>S13-MATH-03</x:v>
      </x:c>
      <x:c r="C999" s="27" t="str">
        <x:v>Tens and ones to 120</x:v>
      </x:c>
      <x:c r="D999" s="27" t="str">
        <x:v>CONNECTS_TO</x:v>
      </x:c>
      <x:c r="E999" s="27" t="str">
        <x:v>S13-MATH-03:CROSS</x:v>
      </x:c>
      <x:c r="F999" s="27" t="str">
        <x:v>Physical quantity and spatial action; science measurement/models; computing/algorithms; finance; music rhythm/pattern; geographic data.</x:v>
      </x:c>
      <x:c r="G999" s="27" t="str">
        <x:v>S13</x:v>
      </x:c>
      <x:c r="H999" s="27" t="str">
        <x:v>Mathematics</x:v>
      </x:c>
      <x:c r="I999" s="27" t="str">
        <x:v>SRC09</x:v>
      </x:c>
      <x:c r="J999" s="27" t="str">
        <x:v>Parallel subject and representation links.</x:v>
      </x:c>
    </x:row>
    <x:row r="1000">
      <x:c r="A1000" s="27" t="str">
        <x:v>E00996</x:v>
      </x:c>
      <x:c r="B1000" s="27" t="str">
        <x:v>S13-MATH-03</x:v>
      </x:c>
      <x:c r="C1000" s="27" t="str">
        <x:v>Tens and ones to 120</x:v>
      </x:c>
      <x:c r="D1000" s="27" t="str">
        <x:v>UNLOCKS</x:v>
      </x:c>
      <x:c r="E1000" s="27" t="str">
        <x:v>S13-MATH-03:NEXT</x:v>
      </x:c>
      <x:c r="F1000" s="27" t="str">
        <x:v>Place-value units organize comparison and multi-digit operations.</x:v>
      </x:c>
      <x:c r="G1000" s="27" t="str">
        <x:v>S13</x:v>
      </x:c>
      <x:c r="H1000" s="27" t="str">
        <x:v>Mathematics</x:v>
      </x:c>
      <x:c r="I1000" s="27" t="str">
        <x:v>SRC09</x:v>
      </x:c>
      <x:c r="J1000" s="27" t="str">
        <x:v>Outgoing use and placement rationale.</x:v>
      </x:c>
    </x:row>
    <x:row r="1001">
      <x:c r="A1001" s="27" t="str">
        <x:v>E00997</x:v>
      </x:c>
      <x:c r="B1001" s="27" t="str">
        <x:v>S13-MATH-03</x:v>
      </x:c>
      <x:c r="C1001" s="27" t="str">
        <x:v>Tens and ones to 120</x:v>
      </x:c>
      <x:c r="D1001" s="27" t="str">
        <x:v>VERIFIED_BY</x:v>
      </x:c>
      <x:c r="E1001" s="27" t="str">
        <x:v>S13-MATH-03:EVIDENCE</x:v>
      </x:c>
      <x:c r="F1001" s="27" t="str">
        <x:v>Represents a number in units, expanded form, words, and numeral and explains each digit.</x:v>
      </x:c>
      <x:c r="G1001" s="27" t="str">
        <x:v>S13</x:v>
      </x:c>
      <x:c r="H1001" s="27" t="str">
        <x:v>Mathematics</x:v>
      </x:c>
      <x:c r="I1001" s="27" t="str">
        <x:v>SRC09</x:v>
      </x:c>
      <x:c r="J1001" s="27" t="str">
        <x:v>Observable evidence of usable learning.</x:v>
      </x:c>
    </x:row>
    <x:row r="1002">
      <x:c r="A1002" s="27" t="str">
        <x:v>E00998</x:v>
      </x:c>
      <x:c r="B1002" s="27" t="str">
        <x:v>S13-MATH-03</x:v>
      </x:c>
      <x:c r="C1002" s="27" t="str">
        <x:v>Previous node in domain progression</x:v>
      </x:c>
      <x:c r="D1002" s="27" t="str">
        <x:v>DOMAIN_SEQUENCE</x:v>
      </x:c>
      <x:c r="E1002" s="27" t="str">
        <x:v>S13-MATH-04</x:v>
      </x:c>
      <x:c r="F1002" s="27" t="str">
        <x:v>Add/subtract within 100 conceptually</x:v>
      </x:c>
      <x:c r="G1002" s="27" t="str">
        <x:v>S13</x:v>
      </x:c>
      <x:c r="H1002" s="27" t="str">
        <x:v>Mathematics</x:v>
      </x:c>
      <x:c r="I1002" s="27" t="str">
        <x:v>SRC09</x:v>
      </x:c>
      <x:c r="J1002" s="27" t="str">
        <x:v>Ordered spiral link; consult explicit prerequisites for logical dependency.</x:v>
      </x:c>
    </x:row>
    <x:row r="1003">
      <x:c r="A1003" s="27" t="str">
        <x:v>E00999</x:v>
      </x:c>
      <x:c r="B1003" s="27" t="str">
        <x:v>S13-MATH-04:PREREQ</x:v>
      </x:c>
      <x:c r="C1003" s="27" t="str">
        <x:v>Tens/ones and facts within 20.</x:v>
      </x:c>
      <x:c r="D1003" s="27" t="str">
        <x:v>PREREQUISITE</x:v>
      </x:c>
      <x:c r="E1003" s="27" t="str">
        <x:v>S13-MATH-04</x:v>
      </x:c>
      <x:c r="F1003" s="27" t="str">
        <x:v>Add/subtract within 100 conceptually</x:v>
      </x:c>
      <x:c r="G1003" s="27" t="str">
        <x:v>S13</x:v>
      </x:c>
      <x:c r="H1003" s="27" t="str">
        <x:v>Mathematics</x:v>
      </x:c>
      <x:c r="I1003" s="27" t="str">
        <x:v>SRC09</x:v>
      </x:c>
      <x:c r="J1003" s="27" t="str">
        <x:v>Incoming prerequisite relationship.</x:v>
      </x:c>
    </x:row>
    <x:row r="1004">
      <x:c r="A1004" s="27" t="str">
        <x:v>E01000</x:v>
      </x:c>
      <x:c r="B1004" s="27" t="str">
        <x:v>S13-MATH-04:GROUND</x:v>
      </x:c>
      <x:c r="C1004" s="27" t="str">
        <x:v>G4/G5 — Concrete model linked to coordinated representations</x:v>
      </x:c>
      <x:c r="D1004" s="27" t="str">
        <x:v>GROUNDED_BY</x:v>
      </x:c>
      <x:c r="E1004" s="27" t="str">
        <x:v>S13-MATH-04</x:v>
      </x:c>
      <x:c r="F1004" s="27" t="str">
        <x:v>Add/subtract within 100 conceptually</x:v>
      </x:c>
      <x:c r="G1004" s="27" t="str">
        <x:v>S13</x:v>
      </x:c>
      <x:c r="H1004" s="27" t="str">
        <x:v>Mathematics</x:v>
      </x:c>
      <x:c r="I1004" s="27" t="str">
        <x:v>SRC09</x:v>
      </x:c>
      <x:c r="J1004" s="27" t="str">
        <x:v>Grounding form used to preserve meaning.</x:v>
      </x:c>
    </x:row>
    <x:row r="1005">
      <x:c r="A1005" s="27" t="str">
        <x:v>E01001</x:v>
      </x:c>
      <x:c r="B1005" s="27" t="str">
        <x:v>S13-MATH-04</x:v>
      </x:c>
      <x:c r="C1005" s="27" t="str">
        <x:v>Add/subtract within 100 conceptually</x:v>
      </x:c>
      <x:c r="D1005" s="27" t="str">
        <x:v>CONNECTS_TO</x:v>
      </x:c>
      <x:c r="E1005" s="27" t="str">
        <x:v>S13-MATH-04:CROSS</x:v>
      </x:c>
      <x:c r="F1005" s="27" t="str">
        <x:v>Physical quantity and spatial action; science measurement/models; computing/algorithms; finance; music rhythm/pattern; geographic data.</x:v>
      </x:c>
      <x:c r="G1005" s="27" t="str">
        <x:v>S13</x:v>
      </x:c>
      <x:c r="H1005" s="27" t="str">
        <x:v>Mathematics</x:v>
      </x:c>
      <x:c r="I1005" s="27" t="str">
        <x:v>SRC09</x:v>
      </x:c>
      <x:c r="J1005" s="27" t="str">
        <x:v>Parallel subject and representation links.</x:v>
      </x:c>
    </x:row>
    <x:row r="1006">
      <x:c r="A1006" s="27" t="str">
        <x:v>E01002</x:v>
      </x:c>
      <x:c r="B1006" s="27" t="str">
        <x:v>S13-MATH-04</x:v>
      </x:c>
      <x:c r="C1006" s="27" t="str">
        <x:v>Add/subtract within 100 conceptually</x:v>
      </x:c>
      <x:c r="D1006" s="27" t="str">
        <x:v>UNLOCKS</x:v>
      </x:c>
      <x:c r="E1006" s="27" t="str">
        <x:v>S13-MATH-04:NEXT</x:v>
      </x:c>
      <x:c r="F1006" s="27" t="str">
        <x:v>Conceptual regrouping prepares efficient written algorithms.</x:v>
      </x:c>
      <x:c r="G1006" s="27" t="str">
        <x:v>S13</x:v>
      </x:c>
      <x:c r="H1006" s="27" t="str">
        <x:v>Mathematics</x:v>
      </x:c>
      <x:c r="I1006" s="27" t="str">
        <x:v>SRC09</x:v>
      </x:c>
      <x:c r="J1006" s="27" t="str">
        <x:v>Outgoing use and placement rationale.</x:v>
      </x:c>
    </x:row>
    <x:row r="1007">
      <x:c r="A1007" s="27" t="str">
        <x:v>E01003</x:v>
      </x:c>
      <x:c r="B1007" s="27" t="str">
        <x:v>S13-MATH-04</x:v>
      </x:c>
      <x:c r="C1007" s="27" t="str">
        <x:v>Add/subtract within 100 conceptually</x:v>
      </x:c>
      <x:c r="D1007" s="27" t="str">
        <x:v>VERIFIED_BY</x:v>
      </x:c>
      <x:c r="E1007" s="27" t="str">
        <x:v>S13-MATH-04:EVIDENCE</x:v>
      </x:c>
      <x:c r="F1007" s="27" t="str">
        <x:v>Explains how ones and tens change in a two-digit calculation.</x:v>
      </x:c>
      <x:c r="G1007" s="27" t="str">
        <x:v>S13</x:v>
      </x:c>
      <x:c r="H1007" s="27" t="str">
        <x:v>Mathematics</x:v>
      </x:c>
      <x:c r="I1007" s="27" t="str">
        <x:v>SRC09</x:v>
      </x:c>
      <x:c r="J1007" s="27" t="str">
        <x:v>Observable evidence of usable learning.</x:v>
      </x:c>
    </x:row>
    <x:row r="1008">
      <x:c r="A1008" s="27" t="str">
        <x:v>E01004</x:v>
      </x:c>
      <x:c r="B1008" s="27" t="str">
        <x:v>S13-MATH-04</x:v>
      </x:c>
      <x:c r="C1008" s="27" t="str">
        <x:v>Previous node in domain progression</x:v>
      </x:c>
      <x:c r="D1008" s="27" t="str">
        <x:v>DOMAIN_SEQUENCE</x:v>
      </x:c>
      <x:c r="E1008" s="27" t="str">
        <x:v>S13-MATH-05</x:v>
      </x:c>
      <x:c r="F1008" s="27" t="str">
        <x:v>Length iteration and time</x:v>
      </x:c>
      <x:c r="G1008" s="27" t="str">
        <x:v>S13</x:v>
      </x:c>
      <x:c r="H1008" s="27" t="str">
        <x:v>Mathematics</x:v>
      </x:c>
      <x:c r="I1008" s="27" t="str">
        <x:v>SRC09</x:v>
      </x:c>
      <x:c r="J1008" s="27" t="str">
        <x:v>Ordered spiral link; consult explicit prerequisites for logical dependency.</x:v>
      </x:c>
    </x:row>
    <x:row r="1009">
      <x:c r="A1009" s="27" t="str">
        <x:v>E01005</x:v>
      </x:c>
      <x:c r="B1009" s="27" t="str">
        <x:v>S13-MATH-05:PREREQ</x:v>
      </x:c>
      <x:c r="C1009" s="27" t="str">
        <x:v>Direct comparison, counting, and spatial alignment.</x:v>
      </x:c>
      <x:c r="D1009" s="27" t="str">
        <x:v>PREREQUISITE</x:v>
      </x:c>
      <x:c r="E1009" s="27" t="str">
        <x:v>S13-MATH-05</x:v>
      </x:c>
      <x:c r="F1009" s="27" t="str">
        <x:v>Length iteration and time</x:v>
      </x:c>
      <x:c r="G1009" s="27" t="str">
        <x:v>S13</x:v>
      </x:c>
      <x:c r="H1009" s="27" t="str">
        <x:v>Mathematics</x:v>
      </x:c>
      <x:c r="I1009" s="27" t="str">
        <x:v>SRC09</x:v>
      </x:c>
      <x:c r="J1009" s="27" t="str">
        <x:v>Incoming prerequisite relationship.</x:v>
      </x:c>
    </x:row>
    <x:row r="1010">
      <x:c r="A1010" s="27" t="str">
        <x:v>E01006</x:v>
      </x:c>
      <x:c r="B1010" s="27" t="str">
        <x:v>S13-MATH-05:GROUND</x:v>
      </x:c>
      <x:c r="C1010" s="27" t="str">
        <x:v>G4/G5 — Concrete model linked to coordinated representations</x:v>
      </x:c>
      <x:c r="D1010" s="27" t="str">
        <x:v>GROUNDED_BY</x:v>
      </x:c>
      <x:c r="E1010" s="27" t="str">
        <x:v>S13-MATH-05</x:v>
      </x:c>
      <x:c r="F1010" s="27" t="str">
        <x:v>Length iteration and time</x:v>
      </x:c>
      <x:c r="G1010" s="27" t="str">
        <x:v>S13</x:v>
      </x:c>
      <x:c r="H1010" s="27" t="str">
        <x:v>Mathematics</x:v>
      </x:c>
      <x:c r="I1010" s="27" t="str">
        <x:v>SRC09</x:v>
      </x:c>
      <x:c r="J1010" s="27" t="str">
        <x:v>Grounding form used to preserve meaning.</x:v>
      </x:c>
    </x:row>
    <x:row r="1011">
      <x:c r="A1011" s="27" t="str">
        <x:v>E01007</x:v>
      </x:c>
      <x:c r="B1011" s="27" t="str">
        <x:v>S13-MATH-05</x:v>
      </x:c>
      <x:c r="C1011" s="27" t="str">
        <x:v>Length iteration and time</x:v>
      </x:c>
      <x:c r="D1011" s="27" t="str">
        <x:v>CONNECTS_TO</x:v>
      </x:c>
      <x:c r="E1011" s="27" t="str">
        <x:v>S13-MATH-05:CROSS</x:v>
      </x:c>
      <x:c r="F1011" s="27" t="str">
        <x:v>Physical quantity and spatial action; science measurement/models; computing/algorithms; finance; music rhythm/pattern; geographic data.</x:v>
      </x:c>
      <x:c r="G1011" s="27" t="str">
        <x:v>S13</x:v>
      </x:c>
      <x:c r="H1011" s="27" t="str">
        <x:v>Mathematics</x:v>
      </x:c>
      <x:c r="I1011" s="27" t="str">
        <x:v>SRC09</x:v>
      </x:c>
      <x:c r="J1011" s="27" t="str">
        <x:v>Parallel subject and representation links.</x:v>
      </x:c>
    </x:row>
    <x:row r="1012">
      <x:c r="A1012" s="27" t="str">
        <x:v>E01008</x:v>
      </x:c>
      <x:c r="B1012" s="27" t="str">
        <x:v>S13-MATH-05</x:v>
      </x:c>
      <x:c r="C1012" s="27" t="str">
        <x:v>Length iteration and time</x:v>
      </x:c>
      <x:c r="D1012" s="27" t="str">
        <x:v>UNLOCKS</x:v>
      </x:c>
      <x:c r="E1012" s="27" t="str">
        <x:v>S13-MATH-05:NEXT</x:v>
      </x:c>
      <x:c r="F1012" s="27" t="str">
        <x:v>Iterated equal units define measurement and support number lines and fractions.</x:v>
      </x:c>
      <x:c r="G1012" s="27" t="str">
        <x:v>S13</x:v>
      </x:c>
      <x:c r="H1012" s="27" t="str">
        <x:v>Mathematics</x:v>
      </x:c>
      <x:c r="I1012" s="27" t="str">
        <x:v>SRC09</x:v>
      </x:c>
      <x:c r="J1012" s="27" t="str">
        <x:v>Outgoing use and placement rationale.</x:v>
      </x:c>
    </x:row>
    <x:row r="1013">
      <x:c r="A1013" s="27" t="str">
        <x:v>E01009</x:v>
      </x:c>
      <x:c r="B1013" s="27" t="str">
        <x:v>S13-MATH-05</x:v>
      </x:c>
      <x:c r="C1013" s="27" t="str">
        <x:v>Length iteration and time</x:v>
      </x:c>
      <x:c r="D1013" s="27" t="str">
        <x:v>VERIFIED_BY</x:v>
      </x:c>
      <x:c r="E1013" s="27" t="str">
        <x:v>S13-MATH-05:EVIDENCE</x:v>
      </x:c>
      <x:c r="F1013" s="27" t="str">
        <x:v>Measures with a repeated unit and explains why equal units and alignment matter.</x:v>
      </x:c>
      <x:c r="G1013" s="27" t="str">
        <x:v>S13</x:v>
      </x:c>
      <x:c r="H1013" s="27" t="str">
        <x:v>Mathematics</x:v>
      </x:c>
      <x:c r="I1013" s="27" t="str">
        <x:v>SRC09</x:v>
      </x:c>
      <x:c r="J1013" s="27" t="str">
        <x:v>Observable evidence of usable learning.</x:v>
      </x:c>
    </x:row>
    <x:row r="1014">
      <x:c r="A1014" s="27" t="str">
        <x:v>E01010</x:v>
      </x:c>
      <x:c r="B1014" s="27" t="str">
        <x:v>S13-MATH-05</x:v>
      </x:c>
      <x:c r="C1014" s="27" t="str">
        <x:v>Previous node in domain progression</x:v>
      </x:c>
      <x:c r="D1014" s="27" t="str">
        <x:v>DOMAIN_SEQUENCE</x:v>
      </x:c>
      <x:c r="E1014" s="27" t="str">
        <x:v>S13-MATH-06</x:v>
      </x:c>
      <x:c r="F1014" s="27" t="str">
        <x:v>Categorical data and equal shares</x:v>
      </x:c>
      <x:c r="G1014" s="27" t="str">
        <x:v>S13</x:v>
      </x:c>
      <x:c r="H1014" s="27" t="str">
        <x:v>Mathematics</x:v>
      </x:c>
      <x:c r="I1014" s="27" t="str">
        <x:v>SRC09</x:v>
      </x:c>
      <x:c r="J1014" s="27" t="str">
        <x:v>Ordered spiral link; consult explicit prerequisites for logical dependency.</x:v>
      </x:c>
    </x:row>
    <x:row r="1015">
      <x:c r="A1015" s="27" t="str">
        <x:v>E01011</x:v>
      </x:c>
      <x:c r="B1015" s="27" t="str">
        <x:v>S13-MATH-06:PREREQ</x:v>
      </x:c>
      <x:c r="C1015" s="27" t="str">
        <x:v>Sorting, counting, shape composition, and part–whole reasoning.</x:v>
      </x:c>
      <x:c r="D1015" s="27" t="str">
        <x:v>PREREQUISITE</x:v>
      </x:c>
      <x:c r="E1015" s="27" t="str">
        <x:v>S13-MATH-06</x:v>
      </x:c>
      <x:c r="F1015" s="27" t="str">
        <x:v>Categorical data and equal shares</x:v>
      </x:c>
      <x:c r="G1015" s="27" t="str">
        <x:v>S13</x:v>
      </x:c>
      <x:c r="H1015" s="27" t="str">
        <x:v>Mathematics</x:v>
      </x:c>
      <x:c r="I1015" s="27" t="str">
        <x:v>SRC09</x:v>
      </x:c>
      <x:c r="J1015" s="27" t="str">
        <x:v>Incoming prerequisite relationship.</x:v>
      </x:c>
    </x:row>
    <x:row r="1016">
      <x:c r="A1016" s="27" t="str">
        <x:v>E01012</x:v>
      </x:c>
      <x:c r="B1016" s="27" t="str">
        <x:v>S13-MATH-06:GROUND</x:v>
      </x:c>
      <x:c r="C1016" s="27" t="str">
        <x:v>G4/G5 — Concrete model linked to coordinated representations</x:v>
      </x:c>
      <x:c r="D1016" s="27" t="str">
        <x:v>GROUNDED_BY</x:v>
      </x:c>
      <x:c r="E1016" s="27" t="str">
        <x:v>S13-MATH-06</x:v>
      </x:c>
      <x:c r="F1016" s="27" t="str">
        <x:v>Categorical data and equal shares</x:v>
      </x:c>
      <x:c r="G1016" s="27" t="str">
        <x:v>S13</x:v>
      </x:c>
      <x:c r="H1016" s="27" t="str">
        <x:v>Mathematics</x:v>
      </x:c>
      <x:c r="I1016" s="27" t="str">
        <x:v>SRC09</x:v>
      </x:c>
      <x:c r="J1016" s="27" t="str">
        <x:v>Grounding form used to preserve meaning.</x:v>
      </x:c>
    </x:row>
    <x:row r="1017">
      <x:c r="A1017" s="27" t="str">
        <x:v>E01013</x:v>
      </x:c>
      <x:c r="B1017" s="27" t="str">
        <x:v>S13-MATH-06</x:v>
      </x:c>
      <x:c r="C1017" s="27" t="str">
        <x:v>Categorical data and equal shares</x:v>
      </x:c>
      <x:c r="D1017" s="27" t="str">
        <x:v>CONNECTS_TO</x:v>
      </x:c>
      <x:c r="E1017" s="27" t="str">
        <x:v>S13-MATH-06:CROSS</x:v>
      </x:c>
      <x:c r="F1017" s="27" t="str">
        <x:v>Physical quantity and spatial action; science measurement/models; computing/algorithms; finance; music rhythm/pattern; geographic data.</x:v>
      </x:c>
      <x:c r="G1017" s="27" t="str">
        <x:v>S13</x:v>
      </x:c>
      <x:c r="H1017" s="27" t="str">
        <x:v>Mathematics</x:v>
      </x:c>
      <x:c r="I1017" s="27" t="str">
        <x:v>SRC09</x:v>
      </x:c>
      <x:c r="J1017" s="27" t="str">
        <x:v>Parallel subject and representation links.</x:v>
      </x:c>
    </x:row>
    <x:row r="1018">
      <x:c r="A1018" s="27" t="str">
        <x:v>E01014</x:v>
      </x:c>
      <x:c r="B1018" s="27" t="str">
        <x:v>S13-MATH-06</x:v>
      </x:c>
      <x:c r="C1018" s="27" t="str">
        <x:v>Categorical data and equal shares</x:v>
      </x:c>
      <x:c r="D1018" s="27" t="str">
        <x:v>UNLOCKS</x:v>
      </x:c>
      <x:c r="E1018" s="27" t="str">
        <x:v>S13-MATH-06:NEXT</x:v>
      </x:c>
      <x:c r="F1018" s="27" t="str">
        <x:v>Data counts introduce quantitative comparison; equal shares introduce fractional language.</x:v>
      </x:c>
      <x:c r="G1018" s="27" t="str">
        <x:v>S13</x:v>
      </x:c>
      <x:c r="H1018" s="27" t="str">
        <x:v>Mathematics</x:v>
      </x:c>
      <x:c r="I1018" s="27" t="str">
        <x:v>SRC09</x:v>
      </x:c>
      <x:c r="J1018" s="27" t="str">
        <x:v>Outgoing use and placement rationale.</x:v>
      </x:c>
    </x:row>
    <x:row r="1019">
      <x:c r="A1019" s="27" t="str">
        <x:v>E01015</x:v>
      </x:c>
      <x:c r="B1019" s="27" t="str">
        <x:v>S13-MATH-06</x:v>
      </x:c>
      <x:c r="C1019" s="27" t="str">
        <x:v>Categorical data and equal shares</x:v>
      </x:c>
      <x:c r="D1019" s="27" t="str">
        <x:v>VERIFIED_BY</x:v>
      </x:c>
      <x:c r="E1019" s="27" t="str">
        <x:v>S13-MATH-06:EVIDENCE</x:v>
      </x:c>
      <x:c r="F1019" s="27" t="str">
        <x:v>Answers comparison questions from a data display and justifies whether shape shares are equal.</x:v>
      </x:c>
      <x:c r="G1019" s="27" t="str">
        <x:v>S13</x:v>
      </x:c>
      <x:c r="H1019" s="27" t="str">
        <x:v>Mathematics</x:v>
      </x:c>
      <x:c r="I1019" s="27" t="str">
        <x:v>SRC09</x:v>
      </x:c>
      <x:c r="J1019" s="27" t="str">
        <x:v>Observable evidence of usable learning.</x:v>
      </x:c>
    </x:row>
    <x:row r="1020">
      <x:c r="A1020" s="27" t="str">
        <x:v>E01016</x:v>
      </x:c>
      <x:c r="B1020" s="27" t="str">
        <x:v>S12-SCI-03</x:v>
      </x:c>
      <x:c r="C1020" s="27" t="str">
        <x:v>Previous node in domain progression</x:v>
      </x:c>
      <x:c r="D1020" s="27" t="str">
        <x:v>DOMAIN_SEQUENCE</x:v>
      </x:c>
      <x:c r="E1020" s="27" t="str">
        <x:v>S13-SCI-01</x:v>
      </x:c>
      <x:c r="F1020" s="27" t="str">
        <x:v>Light and sound</x:v>
      </x:c>
      <x:c r="G1020" s="27" t="str">
        <x:v>S13</x:v>
      </x:c>
      <x:c r="H1020" s="27" t="str">
        <x:v>Science &amp; Engineering</x:v>
      </x:c>
      <x:c r="I1020" s="27" t="str">
        <x:v>SRC11</x:v>
      </x:c>
      <x:c r="J1020" s="27" t="str">
        <x:v>Ordered spiral link; consult explicit prerequisites for logical dependency.</x:v>
      </x:c>
    </x:row>
    <x:row r="1021">
      <x:c r="A1021" s="27" t="str">
        <x:v>E01017</x:v>
      </x:c>
      <x:c r="B1021" s="27" t="str">
        <x:v>S13-SCI-01:PREREQ</x:v>
      </x:c>
      <x:c r="C1021" s="27" t="str">
        <x:v>Kindergarten observation, pushes/pulls, and sound contrast.</x:v>
      </x:c>
      <x:c r="D1021" s="27" t="str">
        <x:v>PREREQUISITE</x:v>
      </x:c>
      <x:c r="E1021" s="27" t="str">
        <x:v>S13-SCI-01</x:v>
      </x:c>
      <x:c r="F1021" s="27" t="str">
        <x:v>Light and sound</x:v>
      </x:c>
      <x:c r="G1021" s="27" t="str">
        <x:v>S13</x:v>
      </x:c>
      <x:c r="H1021" s="27" t="str">
        <x:v>Science &amp; Engineering</x:v>
      </x:c>
      <x:c r="I1021" s="27" t="str">
        <x:v>SRC11</x:v>
      </x:c>
      <x:c r="J1021" s="27" t="str">
        <x:v>Incoming prerequisite relationship.</x:v>
      </x:c>
    </x:row>
    <x:row r="1022">
      <x:c r="A1022" s="27" t="str">
        <x:v>E01018</x:v>
      </x:c>
      <x:c r="B1022" s="27" t="str">
        <x:v>S13-SCI-01:GROUND</x:v>
      </x:c>
      <x:c r="C1022" s="27" t="str">
        <x:v>G4/G5 — Concrete model linked to coordinated representations</x:v>
      </x:c>
      <x:c r="D1022" s="27" t="str">
        <x:v>GROUNDED_BY</x:v>
      </x:c>
      <x:c r="E1022" s="27" t="str">
        <x:v>S13-SCI-01</x:v>
      </x:c>
      <x:c r="F1022" s="27" t="str">
        <x:v>Light and sound</x:v>
      </x:c>
      <x:c r="G1022" s="27" t="str">
        <x:v>S13</x:v>
      </x:c>
      <x:c r="H1022" s="27" t="str">
        <x:v>Science &amp; Engineering</x:v>
      </x:c>
      <x:c r="I1022" s="27" t="str">
        <x:v>SRC11</x:v>
      </x:c>
      <x:c r="J1022" s="27" t="str">
        <x:v>Grounding form used to preserve meaning.</x:v>
      </x:c>
    </x:row>
    <x:row r="1023">
      <x:c r="A1023" s="27" t="str">
        <x:v>E01019</x:v>
      </x:c>
      <x:c r="B1023" s="27" t="str">
        <x:v>S13-SCI-01</x:v>
      </x:c>
      <x:c r="C1023" s="27" t="str">
        <x:v>Light and sound</x:v>
      </x:c>
      <x:c r="D1023" s="27" t="str">
        <x:v>CONNECTS_TO</x:v>
      </x:c>
      <x:c r="E1023" s="27" t="str">
        <x:v>S13-SCI-01:CROSS</x:v>
      </x:c>
      <x:c r="F1023" s="27" t="str">
        <x:v>Sensory observation and action; mathematics/data; reading/writing evidence; computing/models; health and environmental/civic decisions.</x:v>
      </x:c>
      <x:c r="G1023" s="27" t="str">
        <x:v>S13</x:v>
      </x:c>
      <x:c r="H1023" s="27" t="str">
        <x:v>Science &amp; Engineering</x:v>
      </x:c>
      <x:c r="I1023" s="27" t="str">
        <x:v>SRC11</x:v>
      </x:c>
      <x:c r="J1023" s="27" t="str">
        <x:v>Parallel subject and representation links.</x:v>
      </x:c>
    </x:row>
    <x:row r="1024">
      <x:c r="A1024" s="27" t="str">
        <x:v>E01020</x:v>
      </x:c>
      <x:c r="B1024" s="27" t="str">
        <x:v>S13-SCI-01</x:v>
      </x:c>
      <x:c r="C1024" s="27" t="str">
        <x:v>Light and sound</x:v>
      </x:c>
      <x:c r="D1024" s="27" t="str">
        <x:v>UNLOCKS</x:v>
      </x:c>
      <x:c r="E1024" s="27" t="str">
        <x:v>S13-SCI-01:NEXT</x:v>
      </x:c>
      <x:c r="F1024" s="27" t="str">
        <x:v>Observable waves prepare later energy-transfer models.</x:v>
      </x:c>
      <x:c r="G1024" s="27" t="str">
        <x:v>S13</x:v>
      </x:c>
      <x:c r="H1024" s="27" t="str">
        <x:v>Science &amp; Engineering</x:v>
      </x:c>
      <x:c r="I1024" s="27" t="str">
        <x:v>SRC11</x:v>
      </x:c>
      <x:c r="J1024" s="27" t="str">
        <x:v>Outgoing use and placement rationale.</x:v>
      </x:c>
    </x:row>
    <x:row r="1025">
      <x:c r="A1025" s="27" t="str">
        <x:v>E01021</x:v>
      </x:c>
      <x:c r="B1025" s="27" t="str">
        <x:v>S13-SCI-01</x:v>
      </x:c>
      <x:c r="C1025" s="27" t="str">
        <x:v>Light and sound</x:v>
      </x:c>
      <x:c r="D1025" s="27" t="str">
        <x:v>VERIFIED_BY</x:v>
      </x:c>
      <x:c r="E1025" s="27" t="str">
        <x:v>S13-SCI-01:EVIDENCE</x:v>
      </x:c>
      <x:c r="F1025" s="27" t="str">
        <x:v>Uses an investigation to explain a sound or light phenomenon.</x:v>
      </x:c>
      <x:c r="G1025" s="27" t="str">
        <x:v>S13</x:v>
      </x:c>
      <x:c r="H1025" s="27" t="str">
        <x:v>Science &amp; Engineering</x:v>
      </x:c>
      <x:c r="I1025" s="27" t="str">
        <x:v>SRC11</x:v>
      </x:c>
      <x:c r="J1025" s="27" t="str">
        <x:v>Observable evidence of usable learning.</x:v>
      </x:c>
    </x:row>
    <x:row r="1026">
      <x:c r="A1026" s="27" t="str">
        <x:v>E01022</x:v>
      </x:c>
      <x:c r="B1026" s="27" t="str">
        <x:v>S13-SCI-01</x:v>
      </x:c>
      <x:c r="C1026" s="27" t="str">
        <x:v>Previous node in domain progression</x:v>
      </x:c>
      <x:c r="D1026" s="27" t="str">
        <x:v>DOMAIN_SEQUENCE</x:v>
      </x:c>
      <x:c r="E1026" s="27" t="str">
        <x:v>S13-SCI-02</x:v>
      </x:c>
      <x:c r="F1026" s="27" t="str">
        <x:v>Structures, functions, and information</x:v>
      </x:c>
      <x:c r="G1026" s="27" t="str">
        <x:v>S13</x:v>
      </x:c>
      <x:c r="H1026" s="27" t="str">
        <x:v>Science &amp; Engineering</x:v>
      </x:c>
      <x:c r="I1026" s="27" t="str">
        <x:v>SRC11</x:v>
      </x:c>
      <x:c r="J1026" s="27" t="str">
        <x:v>Ordered spiral link; consult explicit prerequisites for logical dependency.</x:v>
      </x:c>
    </x:row>
    <x:row r="1027">
      <x:c r="A1027" s="27" t="str">
        <x:v>E01023</x:v>
      </x:c>
      <x:c r="B1027" s="27" t="str">
        <x:v>S13-SCI-02:PREREQ</x:v>
      </x:c>
      <x:c r="C1027" s="27" t="str">
        <x:v>Needs/environment relationships and attribute comparison.</x:v>
      </x:c>
      <x:c r="D1027" s="27" t="str">
        <x:v>PREREQUISITE</x:v>
      </x:c>
      <x:c r="E1027" s="27" t="str">
        <x:v>S13-SCI-02</x:v>
      </x:c>
      <x:c r="F1027" s="27" t="str">
        <x:v>Structures, functions, and information</x:v>
      </x:c>
      <x:c r="G1027" s="27" t="str">
        <x:v>S13</x:v>
      </x:c>
      <x:c r="H1027" s="27" t="str">
        <x:v>Science &amp; Engineering</x:v>
      </x:c>
      <x:c r="I1027" s="27" t="str">
        <x:v>SRC11</x:v>
      </x:c>
      <x:c r="J1027" s="27" t="str">
        <x:v>Incoming prerequisite relationship.</x:v>
      </x:c>
    </x:row>
    <x:row r="1028">
      <x:c r="A1028" s="27" t="str">
        <x:v>E01024</x:v>
      </x:c>
      <x:c r="B1028" s="27" t="str">
        <x:v>S13-SCI-02:GROUND</x:v>
      </x:c>
      <x:c r="C1028" s="27" t="str">
        <x:v>G4/G5 — Concrete model linked to coordinated representations</x:v>
      </x:c>
      <x:c r="D1028" s="27" t="str">
        <x:v>GROUNDED_BY</x:v>
      </x:c>
      <x:c r="E1028" s="27" t="str">
        <x:v>S13-SCI-02</x:v>
      </x:c>
      <x:c r="F1028" s="27" t="str">
        <x:v>Structures, functions, and information</x:v>
      </x:c>
      <x:c r="G1028" s="27" t="str">
        <x:v>S13</x:v>
      </x:c>
      <x:c r="H1028" s="27" t="str">
        <x:v>Science &amp; Engineering</x:v>
      </x:c>
      <x:c r="I1028" s="27" t="str">
        <x:v>SRC11</x:v>
      </x:c>
      <x:c r="J1028" s="27" t="str">
        <x:v>Grounding form used to preserve meaning.</x:v>
      </x:c>
    </x:row>
    <x:row r="1029">
      <x:c r="A1029" s="27" t="str">
        <x:v>E01025</x:v>
      </x:c>
      <x:c r="B1029" s="27" t="str">
        <x:v>S13-SCI-02</x:v>
      </x:c>
      <x:c r="C1029" s="27" t="str">
        <x:v>Structures, functions, and information</x:v>
      </x:c>
      <x:c r="D1029" s="27" t="str">
        <x:v>CONNECTS_TO</x:v>
      </x:c>
      <x:c r="E1029" s="27" t="str">
        <x:v>S13-SCI-02:CROSS</x:v>
      </x:c>
      <x:c r="F1029" s="27" t="str">
        <x:v>Sensory observation and action; mathematics/data; reading/writing evidence; computing/models; health and environmental/civic decisions.</x:v>
      </x:c>
      <x:c r="G1029" s="27" t="str">
        <x:v>S13</x:v>
      </x:c>
      <x:c r="H1029" s="27" t="str">
        <x:v>Science &amp; Engineering</x:v>
      </x:c>
      <x:c r="I1029" s="27" t="str">
        <x:v>SRC11</x:v>
      </x:c>
      <x:c r="J1029" s="27" t="str">
        <x:v>Parallel subject and representation links.</x:v>
      </x:c>
    </x:row>
    <x:row r="1030">
      <x:c r="A1030" s="27" t="str">
        <x:v>E01026</x:v>
      </x:c>
      <x:c r="B1030" s="27" t="str">
        <x:v>S13-SCI-02</x:v>
      </x:c>
      <x:c r="C1030" s="27" t="str">
        <x:v>Structures, functions, and information</x:v>
      </x:c>
      <x:c r="D1030" s="27" t="str">
        <x:v>UNLOCKS</x:v>
      </x:c>
      <x:c r="E1030" s="27" t="str">
        <x:v>S13-SCI-02:NEXT</x:v>
      </x:c>
      <x:c r="F1030" s="27" t="str">
        <x:v>Structure–function and information processing recur across biology and engineering.</x:v>
      </x:c>
      <x:c r="G1030" s="27" t="str">
        <x:v>S13</x:v>
      </x:c>
      <x:c r="H1030" s="27" t="str">
        <x:v>Science &amp; Engineering</x:v>
      </x:c>
      <x:c r="I1030" s="27" t="str">
        <x:v>SRC11</x:v>
      </x:c>
      <x:c r="J1030" s="27" t="str">
        <x:v>Outgoing use and placement rationale.</x:v>
      </x:c>
    </x:row>
    <x:row r="1031">
      <x:c r="A1031" s="27" t="str">
        <x:v>E01027</x:v>
      </x:c>
      <x:c r="B1031" s="27" t="str">
        <x:v>S13-SCI-02</x:v>
      </x:c>
      <x:c r="C1031" s="27" t="str">
        <x:v>Structures, functions, and information</x:v>
      </x:c>
      <x:c r="D1031" s="27" t="str">
        <x:v>VERIFIED_BY</x:v>
      </x:c>
      <x:c r="E1031" s="27" t="str">
        <x:v>S13-SCI-02:EVIDENCE</x:v>
      </x:c>
      <x:c r="F1031" s="27" t="str">
        <x:v>Connects an observed structure or signal to a function using evidence.</x:v>
      </x:c>
      <x:c r="G1031" s="27" t="str">
        <x:v>S13</x:v>
      </x:c>
      <x:c r="H1031" s="27" t="str">
        <x:v>Science &amp; Engineering</x:v>
      </x:c>
      <x:c r="I1031" s="27" t="str">
        <x:v>SRC11</x:v>
      </x:c>
      <x:c r="J1031" s="27" t="str">
        <x:v>Observable evidence of usable learning.</x:v>
      </x:c>
    </x:row>
    <x:row r="1032">
      <x:c r="A1032" s="27" t="str">
        <x:v>E01028</x:v>
      </x:c>
      <x:c r="B1032" s="27" t="str">
        <x:v>S13-SCI-02</x:v>
      </x:c>
      <x:c r="C1032" s="27" t="str">
        <x:v>Previous node in domain progression</x:v>
      </x:c>
      <x:c r="D1032" s="27" t="str">
        <x:v>DOMAIN_SEQUENCE</x:v>
      </x:c>
      <x:c r="E1032" s="27" t="str">
        <x:v>S13-SCI-03</x:v>
      </x:c>
      <x:c r="F1032" s="27" t="str">
        <x:v>Sky patterns</x:v>
      </x:c>
      <x:c r="G1032" s="27" t="str">
        <x:v>S13</x:v>
      </x:c>
      <x:c r="H1032" s="27" t="str">
        <x:v>Science &amp; Engineering</x:v>
      </x:c>
      <x:c r="I1032" s="27" t="str">
        <x:v>SRC11</x:v>
      </x:c>
      <x:c r="J1032" s="27" t="str">
        <x:v>Ordered spiral link; consult explicit prerequisites for logical dependency.</x:v>
      </x:c>
    </x:row>
    <x:row r="1033">
      <x:c r="A1033" s="27" t="str">
        <x:v>E01029</x:v>
      </x:c>
      <x:c r="B1033" s="27" t="str">
        <x:v>S13-SCI-03:PREREQ</x:v>
      </x:c>
      <x:c r="C1033" s="27" t="str">
        <x:v>Weather records, event order, and repeated patterns.</x:v>
      </x:c>
      <x:c r="D1033" s="27" t="str">
        <x:v>PREREQUISITE</x:v>
      </x:c>
      <x:c r="E1033" s="27" t="str">
        <x:v>S13-SCI-03</x:v>
      </x:c>
      <x:c r="F1033" s="27" t="str">
        <x:v>Sky patterns</x:v>
      </x:c>
      <x:c r="G1033" s="27" t="str">
        <x:v>S13</x:v>
      </x:c>
      <x:c r="H1033" s="27" t="str">
        <x:v>Science &amp; Engineering</x:v>
      </x:c>
      <x:c r="I1033" s="27" t="str">
        <x:v>SRC11</x:v>
      </x:c>
      <x:c r="J1033" s="27" t="str">
        <x:v>Incoming prerequisite relationship.</x:v>
      </x:c>
    </x:row>
    <x:row r="1034">
      <x:c r="A1034" s="27" t="str">
        <x:v>E01030</x:v>
      </x:c>
      <x:c r="B1034" s="27" t="str">
        <x:v>S13-SCI-03:GROUND</x:v>
      </x:c>
      <x:c r="C1034" s="27" t="str">
        <x:v>G4/G5 — Concrete model linked to coordinated representations</x:v>
      </x:c>
      <x:c r="D1034" s="27" t="str">
        <x:v>GROUNDED_BY</x:v>
      </x:c>
      <x:c r="E1034" s="27" t="str">
        <x:v>S13-SCI-03</x:v>
      </x:c>
      <x:c r="F1034" s="27" t="str">
        <x:v>Sky patterns</x:v>
      </x:c>
      <x:c r="G1034" s="27" t="str">
        <x:v>S13</x:v>
      </x:c>
      <x:c r="H1034" s="27" t="str">
        <x:v>Science &amp; Engineering</x:v>
      </x:c>
      <x:c r="I1034" s="27" t="str">
        <x:v>SRC11</x:v>
      </x:c>
      <x:c r="J1034" s="27" t="str">
        <x:v>Grounding form used to preserve meaning.</x:v>
      </x:c>
    </x:row>
    <x:row r="1035">
      <x:c r="A1035" s="27" t="str">
        <x:v>E01031</x:v>
      </x:c>
      <x:c r="B1035" s="27" t="str">
        <x:v>S13-SCI-03</x:v>
      </x:c>
      <x:c r="C1035" s="27" t="str">
        <x:v>Sky patterns</x:v>
      </x:c>
      <x:c r="D1035" s="27" t="str">
        <x:v>CONNECTS_TO</x:v>
      </x:c>
      <x:c r="E1035" s="27" t="str">
        <x:v>S13-SCI-03:CROSS</x:v>
      </x:c>
      <x:c r="F1035" s="27" t="str">
        <x:v>Sensory observation and action; mathematics/data; reading/writing evidence; computing/models; health and environmental/civic decisions.</x:v>
      </x:c>
      <x:c r="G1035" s="27" t="str">
        <x:v>S13</x:v>
      </x:c>
      <x:c r="H1035" s="27" t="str">
        <x:v>Science &amp; Engineering</x:v>
      </x:c>
      <x:c r="I1035" s="27" t="str">
        <x:v>SRC11</x:v>
      </x:c>
      <x:c r="J1035" s="27" t="str">
        <x:v>Parallel subject and representation links.</x:v>
      </x:c>
    </x:row>
    <x:row r="1036">
      <x:c r="A1036" s="27" t="str">
        <x:v>E01032</x:v>
      </x:c>
      <x:c r="B1036" s="27" t="str">
        <x:v>S13-SCI-03</x:v>
      </x:c>
      <x:c r="C1036" s="27" t="str">
        <x:v>Sky patterns</x:v>
      </x:c>
      <x:c r="D1036" s="27" t="str">
        <x:v>UNLOCKS</x:v>
      </x:c>
      <x:c r="E1036" s="27" t="str">
        <x:v>S13-SCI-03:NEXT</x:v>
      </x:c>
      <x:c r="F1036" s="27" t="str">
        <x:v>Long-term pattern records support astronomical models and prediction.</x:v>
      </x:c>
      <x:c r="G1036" s="27" t="str">
        <x:v>S13</x:v>
      </x:c>
      <x:c r="H1036" s="27" t="str">
        <x:v>Science &amp; Engineering</x:v>
      </x:c>
      <x:c r="I1036" s="27" t="str">
        <x:v>SRC11</x:v>
      </x:c>
      <x:c r="J1036" s="27" t="str">
        <x:v>Outgoing use and placement rationale.</x:v>
      </x:c>
    </x:row>
    <x:row r="1037">
      <x:c r="A1037" s="27" t="str">
        <x:v>E01033</x:v>
      </x:c>
      <x:c r="B1037" s="27" t="str">
        <x:v>S13-SCI-03</x:v>
      </x:c>
      <x:c r="C1037" s="27" t="str">
        <x:v>Sky patterns</x:v>
      </x:c>
      <x:c r="D1037" s="27" t="str">
        <x:v>VERIFIED_BY</x:v>
      </x:c>
      <x:c r="E1037" s="27" t="str">
        <x:v>S13-SCI-03:EVIDENCE</x:v>
      </x:c>
      <x:c r="F1037" s="27" t="str">
        <x:v>Uses a record or model to state a recurring sky pattern.</x:v>
      </x:c>
      <x:c r="G1037" s="27" t="str">
        <x:v>S13</x:v>
      </x:c>
      <x:c r="H1037" s="27" t="str">
        <x:v>Science &amp; Engineering</x:v>
      </x:c>
      <x:c r="I1037" s="27" t="str">
        <x:v>SRC11</x:v>
      </x:c>
      <x:c r="J1037" s="27" t="str">
        <x:v>Observable evidence of usable learning.</x:v>
      </x:c>
    </x:row>
    <x:row r="1038">
      <x:c r="A1038" s="27" t="str">
        <x:v>E01034</x:v>
      </x:c>
      <x:c r="B1038" s="27" t="str">
        <x:v>S12-SST-01</x:v>
      </x:c>
      <x:c r="C1038" s="27" t="str">
        <x:v>Previous node in domain progression</x:v>
      </x:c>
      <x:c r="D1038" s="27" t="str">
        <x:v>DOMAIN_SEQUENCE</x:v>
      </x:c>
      <x:c r="E1038" s="27" t="str">
        <x:v>S13-SST-01</x:v>
      </x:c>
      <x:c r="F1038" s="27" t="str">
        <x:v>Past, place, rules, and exchange</x:v>
      </x:c>
      <x:c r="G1038" s="27" t="str">
        <x:v>S13</x:v>
      </x:c>
      <x:c r="H1038" s="27" t="str">
        <x:v>Social Studies</x:v>
      </x:c>
      <x:c r="I1038" s="27" t="str">
        <x:v>SRC12</x:v>
      </x:c>
      <x:c r="J1038" s="27" t="str">
        <x:v>Ordered spiral link; consult explicit prerequisites for logical dependency.</x:v>
      </x:c>
    </x:row>
    <x:row r="1039">
      <x:c r="A1039" s="27" t="str">
        <x:v>E01035</x:v>
      </x:c>
      <x:c r="B1039" s="27" t="str">
        <x:v>S13-SST-01:PREREQ</x:v>
      </x:c>
      <x:c r="C1039" s="27" t="str">
        <x:v>Kindergarten community inquiry and connected-text comprehension.</x:v>
      </x:c>
      <x:c r="D1039" s="27" t="str">
        <x:v>PREREQUISITE</x:v>
      </x:c>
      <x:c r="E1039" s="27" t="str">
        <x:v>S13-SST-01</x:v>
      </x:c>
      <x:c r="F1039" s="27" t="str">
        <x:v>Past, place, rules, and exchange</x:v>
      </x:c>
      <x:c r="G1039" s="27" t="str">
        <x:v>S13</x:v>
      </x:c>
      <x:c r="H1039" s="27" t="str">
        <x:v>Social Studies</x:v>
      </x:c>
      <x:c r="I1039" s="27" t="str">
        <x:v>SRC12</x:v>
      </x:c>
      <x:c r="J1039" s="27" t="str">
        <x:v>Incoming prerequisite relationship.</x:v>
      </x:c>
    </x:row>
    <x:row r="1040">
      <x:c r="A1040" s="27" t="str">
        <x:v>E01036</x:v>
      </x:c>
      <x:c r="B1040" s="27" t="str">
        <x:v>S13-SST-01:GROUND</x:v>
      </x:c>
      <x:c r="C1040" s="27" t="str">
        <x:v>G4/G5 — Concrete model linked to coordinated representations</x:v>
      </x:c>
      <x:c r="D1040" s="27" t="str">
        <x:v>GROUNDED_BY</x:v>
      </x:c>
      <x:c r="E1040" s="27" t="str">
        <x:v>S13-SST-01</x:v>
      </x:c>
      <x:c r="F1040" s="27" t="str">
        <x:v>Past, place, rules, and exchange</x:v>
      </x:c>
      <x:c r="G1040" s="27" t="str">
        <x:v>S13</x:v>
      </x:c>
      <x:c r="H1040" s="27" t="str">
        <x:v>Social Studies</x:v>
      </x:c>
      <x:c r="I1040" s="27" t="str">
        <x:v>SRC12</x:v>
      </x:c>
      <x:c r="J1040" s="27" t="str">
        <x:v>Grounding form used to preserve meaning.</x:v>
      </x:c>
    </x:row>
    <x:row r="1041">
      <x:c r="A1041" s="27" t="str">
        <x:v>E01037</x:v>
      </x:c>
      <x:c r="B1041" s="27" t="str">
        <x:v>S13-SST-01</x:v>
      </x:c>
      <x:c r="C1041" s="27" t="str">
        <x:v>Past, place, rules, and exchange</x:v>
      </x:c>
      <x:c r="D1041" s="27" t="str">
        <x:v>CONNECTS_TO</x:v>
      </x:c>
      <x:c r="E1041" s="27" t="str">
        <x:v>S13-SST-01:CROSS</x:v>
      </x:c>
      <x:c r="F1041" s="27" t="str">
        <x:v>Language/literacy and source evidence; maps/data/economics; ethics/SEL; media literacy; arts/culture; civic action.</x:v>
      </x:c>
      <x:c r="G1041" s="27" t="str">
        <x:v>S13</x:v>
      </x:c>
      <x:c r="H1041" s="27" t="str">
        <x:v>Social Studies</x:v>
      </x:c>
      <x:c r="I1041" s="27" t="str">
        <x:v>SRC12</x:v>
      </x:c>
      <x:c r="J1041" s="27" t="str">
        <x:v>Parallel subject and representation links.</x:v>
      </x:c>
    </x:row>
    <x:row r="1042">
      <x:c r="A1042" s="27" t="str">
        <x:v>E01038</x:v>
      </x:c>
      <x:c r="B1042" s="27" t="str">
        <x:v>S13-SST-01</x:v>
      </x:c>
      <x:c r="C1042" s="27" t="str">
        <x:v>Past, place, rules, and exchange</x:v>
      </x:c>
      <x:c r="D1042" s="27" t="str">
        <x:v>UNLOCKS</x:v>
      </x:c>
      <x:c r="E1042" s="27" t="str">
        <x:v>S13-SST-01:NEXT</x:v>
      </x:c>
      <x:c r="F1042" s="27" t="str">
        <x:v>Multiple disciplinary lenses deepen the same concrete community context.</x:v>
      </x:c>
      <x:c r="G1042" s="27" t="str">
        <x:v>S13</x:v>
      </x:c>
      <x:c r="H1042" s="27" t="str">
        <x:v>Social Studies</x:v>
      </x:c>
      <x:c r="I1042" s="27" t="str">
        <x:v>SRC12</x:v>
      </x:c>
      <x:c r="J1042" s="27" t="str">
        <x:v>Outgoing use and placement rationale.</x:v>
      </x:c>
    </x:row>
    <x:row r="1043">
      <x:c r="A1043" s="27" t="str">
        <x:v>E01039</x:v>
      </x:c>
      <x:c r="B1043" s="27" t="str">
        <x:v>S13-SST-01</x:v>
      </x:c>
      <x:c r="C1043" s="27" t="str">
        <x:v>Past, place, rules, and exchange</x:v>
      </x:c>
      <x:c r="D1043" s="27" t="str">
        <x:v>VERIFIED_BY</x:v>
      </x:c>
      <x:c r="E1043" s="27" t="str">
        <x:v>S13-SST-01:EVIDENCE</x:v>
      </x:c>
      <x:c r="F1043" s="27" t="str">
        <x:v>Answers a question using a map or timeline plus a relevant source detail.</x:v>
      </x:c>
      <x:c r="G1043" s="27" t="str">
        <x:v>S13</x:v>
      </x:c>
      <x:c r="H1043" s="27" t="str">
        <x:v>Social Studies</x:v>
      </x:c>
      <x:c r="I1043" s="27" t="str">
        <x:v>SRC12</x:v>
      </x:c>
      <x:c r="J1043" s="27" t="str">
        <x:v>Observable evidence of usable learning.</x:v>
      </x:c>
    </x:row>
    <x:row r="1044">
      <x:c r="A1044" s="27" t="str">
        <x:v>E01040</x:v>
      </x:c>
      <x:c r="B1044" s="27" t="str">
        <x:v>S12-ARTS-01</x:v>
      </x:c>
      <x:c r="C1044" s="27" t="str">
        <x:v>Previous node in domain progression</x:v>
      </x:c>
      <x:c r="D1044" s="27" t="str">
        <x:v>DOMAIN_SEQUENCE</x:v>
      </x:c>
      <x:c r="E1044" s="27" t="str">
        <x:v>S13-ARTS-01</x:v>
      </x:c>
      <x:c r="F1044" s="27" t="str">
        <x:v>Rhythm/pitch patterns and performance choices</x:v>
      </x:c>
      <x:c r="G1044" s="27" t="str">
        <x:v>S13</x:v>
      </x:c>
      <x:c r="H1044" s="27" t="str">
        <x:v>Music &amp; Arts</x:v>
      </x:c>
      <x:c r="I1044" s="27" t="str">
        <x:v>SRC13</x:v>
      </x:c>
      <x:c r="J1044" s="27" t="str">
        <x:v>Ordered spiral link; consult explicit prerequisites for logical dependency.</x:v>
      </x:c>
    </x:row>
    <x:row r="1045">
      <x:c r="A1045" s="27" t="str">
        <x:v>E01041</x:v>
      </x:c>
      <x:c r="B1045" s="27" t="str">
        <x:v>S13-ARTS-01:PREREQ</x:v>
      </x:c>
      <x:c r="C1045" s="27" t="str">
        <x:v>Pre-K music symbols and kindergarten artistic processes.</x:v>
      </x:c>
      <x:c r="D1045" s="27" t="str">
        <x:v>PREREQUISITE</x:v>
      </x:c>
      <x:c r="E1045" s="27" t="str">
        <x:v>S13-ARTS-01</x:v>
      </x:c>
      <x:c r="F1045" s="27" t="str">
        <x:v>Rhythm/pitch patterns and performance choices</x:v>
      </x:c>
      <x:c r="G1045" s="27" t="str">
        <x:v>S13</x:v>
      </x:c>
      <x:c r="H1045" s="27" t="str">
        <x:v>Music &amp; Arts</x:v>
      </x:c>
      <x:c r="I1045" s="27" t="str">
        <x:v>SRC13</x:v>
      </x:c>
      <x:c r="J1045" s="27" t="str">
        <x:v>Incoming prerequisite relationship.</x:v>
      </x:c>
    </x:row>
    <x:row r="1046">
      <x:c r="A1046" s="27" t="str">
        <x:v>E01042</x:v>
      </x:c>
      <x:c r="B1046" s="27" t="str">
        <x:v>S13-ARTS-01:GROUND</x:v>
      </x:c>
      <x:c r="C1046" s="27" t="str">
        <x:v>G4/G5 — Concrete model linked to coordinated representations</x:v>
      </x:c>
      <x:c r="D1046" s="27" t="str">
        <x:v>GROUNDED_BY</x:v>
      </x:c>
      <x:c r="E1046" s="27" t="str">
        <x:v>S13-ARTS-01</x:v>
      </x:c>
      <x:c r="F1046" s="27" t="str">
        <x:v>Rhythm/pitch patterns and performance choices</x:v>
      </x:c>
      <x:c r="G1046" s="27" t="str">
        <x:v>S13</x:v>
      </x:c>
      <x:c r="H1046" s="27" t="str">
        <x:v>Music &amp; Arts</x:v>
      </x:c>
      <x:c r="I1046" s="27" t="str">
        <x:v>SRC13</x:v>
      </x:c>
      <x:c r="J1046" s="27" t="str">
        <x:v>Grounding form used to preserve meaning.</x:v>
      </x:c>
    </x:row>
    <x:row r="1047">
      <x:c r="A1047" s="27" t="str">
        <x:v>E01043</x:v>
      </x:c>
      <x:c r="B1047" s="27" t="str">
        <x:v>S13-ARTS-01</x:v>
      </x:c>
      <x:c r="C1047" s="27" t="str">
        <x:v>Rhythm/pitch patterns and performance choices</x:v>
      </x:c>
      <x:c r="D1047" s="27" t="str">
        <x:v>CONNECTS_TO</x:v>
      </x:c>
      <x:c r="E1047" s="27" t="str">
        <x:v>S13-ARTS-01:CROSS</x:v>
      </x:c>
      <x:c r="F1047" s="27" t="str">
        <x:v>Sensory discrimination; motor timing; language/prosody; mathematics/pattern; history/culture; emotion, design, and technology.</x:v>
      </x:c>
      <x:c r="G1047" s="27" t="str">
        <x:v>S13</x:v>
      </x:c>
      <x:c r="H1047" s="27" t="str">
        <x:v>Music &amp; Arts</x:v>
      </x:c>
      <x:c r="I1047" s="27" t="str">
        <x:v>SRC13</x:v>
      </x:c>
      <x:c r="J1047" s="27" t="str">
        <x:v>Parallel subject and representation links.</x:v>
      </x:c>
    </x:row>
    <x:row r="1048">
      <x:c r="A1048" s="27" t="str">
        <x:v>E01044</x:v>
      </x:c>
      <x:c r="B1048" s="27" t="str">
        <x:v>S13-ARTS-01</x:v>
      </x:c>
      <x:c r="C1048" s="27" t="str">
        <x:v>Rhythm/pitch patterns and performance choices</x:v>
      </x:c>
      <x:c r="D1048" s="27" t="str">
        <x:v>UNLOCKS</x:v>
      </x:c>
      <x:c r="E1048" s="27" t="str">
        <x:v>S13-ARTS-01:NEXT</x:v>
      </x:c>
      <x:c r="F1048" s="27" t="str">
        <x:v>Pattern notation and reflection connect aural memory to intentional performance.</x:v>
      </x:c>
      <x:c r="G1048" s="27" t="str">
        <x:v>S13</x:v>
      </x:c>
      <x:c r="H1048" s="27" t="str">
        <x:v>Music &amp; Arts</x:v>
      </x:c>
      <x:c r="I1048" s="27" t="str">
        <x:v>SRC13</x:v>
      </x:c>
      <x:c r="J1048" s="27" t="str">
        <x:v>Outgoing use and placement rationale.</x:v>
      </x:c>
    </x:row>
    <x:row r="1049">
      <x:c r="A1049" s="27" t="str">
        <x:v>E01045</x:v>
      </x:c>
      <x:c r="B1049" s="27" t="str">
        <x:v>S13-ARTS-01</x:v>
      </x:c>
      <x:c r="C1049" s="27" t="str">
        <x:v>Rhythm/pitch patterns and performance choices</x:v>
      </x:c>
      <x:c r="D1049" s="27" t="str">
        <x:v>VERIFIED_BY</x:v>
      </x:c>
      <x:c r="E1049" s="27" t="str">
        <x:v>S13-ARTS-01:EVIDENCE</x:v>
      </x:c>
      <x:c r="F1049" s="27" t="str">
        <x:v>Performs a short pattern accurately and identifies one element changed for expression.</x:v>
      </x:c>
      <x:c r="G1049" s="27" t="str">
        <x:v>S13</x:v>
      </x:c>
      <x:c r="H1049" s="27" t="str">
        <x:v>Music &amp; Arts</x:v>
      </x:c>
      <x:c r="I1049" s="27" t="str">
        <x:v>SRC13</x:v>
      </x:c>
      <x:c r="J1049" s="27" t="str">
        <x:v>Observable evidence of usable learning.</x:v>
      </x:c>
    </x:row>
    <x:row r="1050">
      <x:c r="A1050" s="27" t="str">
        <x:v>E01046</x:v>
      </x:c>
      <x:c r="B1050" s="27" t="str">
        <x:v>S12-HLTH-01</x:v>
      </x:c>
      <x:c r="C1050" s="27" t="str">
        <x:v>Previous node in domain progression</x:v>
      </x:c>
      <x:c r="D1050" s="27" t="str">
        <x:v>DOMAIN_SEQUENCE</x:v>
      </x:c>
      <x:c r="E1050" s="27" t="str">
        <x:v>S13-HLTH-01</x:v>
      </x:c>
      <x:c r="F1050" s="27" t="str">
        <x:v>Skill combinations and healthy routines</x:v>
      </x:c>
      <x:c r="G1050" s="27" t="str">
        <x:v>S13</x:v>
      </x:c>
      <x:c r="H1050" s="27" t="str">
        <x:v>Physical &amp; Health</x:v>
      </x:c>
      <x:c r="I1050" s="27" t="str">
        <x:v>SRC14; SRC15</x:v>
      </x:c>
      <x:c r="J1050" s="27" t="str">
        <x:v>Ordered spiral link; consult explicit prerequisites for logical dependency.</x:v>
      </x:c>
    </x:row>
    <x:row r="1051">
      <x:c r="A1051" s="27" t="str">
        <x:v>E01047</x:v>
      </x:c>
      <x:c r="B1051" s="27" t="str">
        <x:v>S13-HLTH-01:PREREQ</x:v>
      </x:c>
      <x:c r="C1051" s="27" t="str">
        <x:v>Kindergarten movement/wellness and multi-step routines.</x:v>
      </x:c>
      <x:c r="D1051" s="27" t="str">
        <x:v>PREREQUISITE</x:v>
      </x:c>
      <x:c r="E1051" s="27" t="str">
        <x:v>S13-HLTH-01</x:v>
      </x:c>
      <x:c r="F1051" s="27" t="str">
        <x:v>Skill combinations and healthy routines</x:v>
      </x:c>
      <x:c r="G1051" s="27" t="str">
        <x:v>S13</x:v>
      </x:c>
      <x:c r="H1051" s="27" t="str">
        <x:v>Physical &amp; Health</x:v>
      </x:c>
      <x:c r="I1051" s="27" t="str">
        <x:v>SRC14; SRC15</x:v>
      </x:c>
      <x:c r="J1051" s="27" t="str">
        <x:v>Incoming prerequisite relationship.</x:v>
      </x:c>
    </x:row>
    <x:row r="1052">
      <x:c r="A1052" s="27" t="str">
        <x:v>E01048</x:v>
      </x:c>
      <x:c r="B1052" s="27" t="str">
        <x:v>S13-HLTH-01:GROUND</x:v>
      </x:c>
      <x:c r="C1052" s="27" t="str">
        <x:v>G4/G5 — Concrete model linked to coordinated representations</x:v>
      </x:c>
      <x:c r="D1052" s="27" t="str">
        <x:v>GROUNDED_BY</x:v>
      </x:c>
      <x:c r="E1052" s="27" t="str">
        <x:v>S13-HLTH-01</x:v>
      </x:c>
      <x:c r="F1052" s="27" t="str">
        <x:v>Skill combinations and healthy routines</x:v>
      </x:c>
      <x:c r="G1052" s="27" t="str">
        <x:v>S13</x:v>
      </x:c>
      <x:c r="H1052" s="27" t="str">
        <x:v>Physical &amp; Health</x:v>
      </x:c>
      <x:c r="I1052" s="27" t="str">
        <x:v>SRC14; SRC15</x:v>
      </x:c>
      <x:c r="J1052" s="27" t="str">
        <x:v>Grounding form used to preserve meaning.</x:v>
      </x:c>
    </x:row>
    <x:row r="1053">
      <x:c r="A1053" s="27" t="str">
        <x:v>E01049</x:v>
      </x:c>
      <x:c r="B1053" s="27" t="str">
        <x:v>S13-HLTH-01</x:v>
      </x:c>
      <x:c r="C1053" s="27" t="str">
        <x:v>Skill combinations and healthy routines</x:v>
      </x:c>
      <x:c r="D1053" s="27" t="str">
        <x:v>CONNECTS_TO</x:v>
      </x:c>
      <x:c r="E1053" s="27" t="str">
        <x:v>S13-HLTH-01:CROSS</x:v>
      </x:c>
      <x:c r="F1053" s="27" t="str">
        <x:v>Motor/sensory development; life science; measurement/data; SEL/self-management; communication, safety, and decision-making.</x:v>
      </x:c>
      <x:c r="G1053" s="27" t="str">
        <x:v>S13</x:v>
      </x:c>
      <x:c r="H1053" s="27" t="str">
        <x:v>Physical &amp; Health</x:v>
      </x:c>
      <x:c r="I1053" s="27" t="str">
        <x:v>SRC14; SRC15</x:v>
      </x:c>
      <x:c r="J1053" s="27" t="str">
        <x:v>Parallel subject and representation links.</x:v>
      </x:c>
    </x:row>
    <x:row r="1054">
      <x:c r="A1054" s="27" t="str">
        <x:v>E01050</x:v>
      </x:c>
      <x:c r="B1054" s="27" t="str">
        <x:v>S13-HLTH-01</x:v>
      </x:c>
      <x:c r="C1054" s="27" t="str">
        <x:v>Skill combinations and healthy routines</x:v>
      </x:c>
      <x:c r="D1054" s="27" t="str">
        <x:v>UNLOCKS</x:v>
      </x:c>
      <x:c r="E1054" s="27" t="str">
        <x:v>S13-HLTH-01:NEXT</x:v>
      </x:c>
      <x:c r="F1054" s="27" t="str">
        <x:v>Combined skills and reasons for routines support transfer beyond a single drill.</x:v>
      </x:c>
      <x:c r="G1054" s="27" t="str">
        <x:v>S13</x:v>
      </x:c>
      <x:c r="H1054" s="27" t="str">
        <x:v>Physical &amp; Health</x:v>
      </x:c>
      <x:c r="I1054" s="27" t="str">
        <x:v>SRC14; SRC15</x:v>
      </x:c>
      <x:c r="J1054" s="27" t="str">
        <x:v>Outgoing use and placement rationale.</x:v>
      </x:c>
    </x:row>
    <x:row r="1055">
      <x:c r="A1055" s="27" t="str">
        <x:v>E01051</x:v>
      </x:c>
      <x:c r="B1055" s="27" t="str">
        <x:v>S13-HLTH-01</x:v>
      </x:c>
      <x:c r="C1055" s="27" t="str">
        <x:v>Skill combinations and healthy routines</x:v>
      </x:c>
      <x:c r="D1055" s="27" t="str">
        <x:v>VERIFIED_BY</x:v>
      </x:c>
      <x:c r="E1055" s="27" t="str">
        <x:v>S13-HLTH-01:EVIDENCE</x:v>
      </x:c>
      <x:c r="F1055" s="27" t="str">
        <x:v>Performs a simple movement sequence and chooses a health-supporting action for a scenario.</x:v>
      </x:c>
      <x:c r="G1055" s="27" t="str">
        <x:v>S13</x:v>
      </x:c>
      <x:c r="H1055" s="27" t="str">
        <x:v>Physical &amp; Health</x:v>
      </x:c>
      <x:c r="I1055" s="27" t="str">
        <x:v>SRC14; SRC15</x:v>
      </x:c>
      <x:c r="J1055" s="27" t="str">
        <x:v>Observable evidence of usable learning.</x:v>
      </x:c>
    </x:row>
    <x:row r="1056">
      <x:c r="A1056" s="27" t="str">
        <x:v>E01052</x:v>
      </x:c>
      <x:c r="B1056" s="27" t="str">
        <x:v>S12-COMP-01</x:v>
      </x:c>
      <x:c r="C1056" s="27" t="str">
        <x:v>Previous node in domain progression</x:v>
      </x:c>
      <x:c r="D1056" s="27" t="str">
        <x:v>DOMAIN_SEQUENCE</x:v>
      </x:c>
      <x:c r="E1056" s="27" t="str">
        <x:v>S13-COMP-01</x:v>
      </x:c>
      <x:c r="F1056" s="27" t="str">
        <x:v>Sequence, loops, events, and debugging</x:v>
      </x:c>
      <x:c r="G1056" s="27" t="str">
        <x:v>S13</x:v>
      </x:c>
      <x:c r="H1056" s="27" t="str">
        <x:v>Computing &amp; Media</x:v>
      </x:c>
      <x:c r="I1056" s="27" t="str">
        <x:v>SRC16</x:v>
      </x:c>
      <x:c r="J1056" s="27" t="str">
        <x:v>Ordered spiral link; consult explicit prerequisites for logical dependency.</x:v>
      </x:c>
    </x:row>
    <x:row r="1057">
      <x:c r="A1057" s="27" t="str">
        <x:v>E01053</x:v>
      </x:c>
      <x:c r="B1057" s="27" t="str">
        <x:v>S13-COMP-01:PREREQ</x:v>
      </x:c>
      <x:c r="C1057" s="27" t="str">
        <x:v>Kindergarten algorithms, pattern units, and goal reflection.</x:v>
      </x:c>
      <x:c r="D1057" s="27" t="str">
        <x:v>PREREQUISITE</x:v>
      </x:c>
      <x:c r="E1057" s="27" t="str">
        <x:v>S13-COMP-01</x:v>
      </x:c>
      <x:c r="F1057" s="27" t="str">
        <x:v>Sequence, loops, events, and debugging</x:v>
      </x:c>
      <x:c r="G1057" s="27" t="str">
        <x:v>S13</x:v>
      </x:c>
      <x:c r="H1057" s="27" t="str">
        <x:v>Computing &amp; Media</x:v>
      </x:c>
      <x:c r="I1057" s="27" t="str">
        <x:v>SRC16</x:v>
      </x:c>
      <x:c r="J1057" s="27" t="str">
        <x:v>Incoming prerequisite relationship.</x:v>
      </x:c>
    </x:row>
    <x:row r="1058">
      <x:c r="A1058" s="27" t="str">
        <x:v>E01054</x:v>
      </x:c>
      <x:c r="B1058" s="27" t="str">
        <x:v>S13-COMP-01:GROUND</x:v>
      </x:c>
      <x:c r="C1058" s="27" t="str">
        <x:v>G4/G5 — Concrete model linked to coordinated representations</x:v>
      </x:c>
      <x:c r="D1058" s="27" t="str">
        <x:v>GROUNDED_BY</x:v>
      </x:c>
      <x:c r="E1058" s="27" t="str">
        <x:v>S13-COMP-01</x:v>
      </x:c>
      <x:c r="F1058" s="27" t="str">
        <x:v>Sequence, loops, events, and debugging</x:v>
      </x:c>
      <x:c r="G1058" s="27" t="str">
        <x:v>S13</x:v>
      </x:c>
      <x:c r="H1058" s="27" t="str">
        <x:v>Computing &amp; Media</x:v>
      </x:c>
      <x:c r="I1058" s="27" t="str">
        <x:v>SRC16</x:v>
      </x:c>
      <x:c r="J1058" s="27" t="str">
        <x:v>Grounding form used to preserve meaning.</x:v>
      </x:c>
    </x:row>
    <x:row r="1059">
      <x:c r="A1059" s="27" t="str">
        <x:v>E01055</x:v>
      </x:c>
      <x:c r="B1059" s="27" t="str">
        <x:v>S13-COMP-01</x:v>
      </x:c>
      <x:c r="C1059" s="27" t="str">
        <x:v>Sequence, loops, events, and debugging</x:v>
      </x:c>
      <x:c r="D1059" s="27" t="str">
        <x:v>CONNECTS_TO</x:v>
      </x:c>
      <x:c r="E1059" s="27" t="str">
        <x:v>S13-COMP-01:CROSS</x:v>
      </x:c>
      <x:c r="F1059" s="27" t="str">
        <x:v>Mathematics/logic/data; language and media evidence; science/engineering models; art/design; civics, privacy, finance, and ethics.</x:v>
      </x:c>
      <x:c r="G1059" s="27" t="str">
        <x:v>S13</x:v>
      </x:c>
      <x:c r="H1059" s="27" t="str">
        <x:v>Computing &amp; Media</x:v>
      </x:c>
      <x:c r="I1059" s="27" t="str">
        <x:v>SRC16</x:v>
      </x:c>
      <x:c r="J1059" s="27" t="str">
        <x:v>Parallel subject and representation links.</x:v>
      </x:c>
    </x:row>
    <x:row r="1060">
      <x:c r="A1060" s="27" t="str">
        <x:v>E01056</x:v>
      </x:c>
      <x:c r="B1060" s="27" t="str">
        <x:v>S13-COMP-01</x:v>
      </x:c>
      <x:c r="C1060" s="27" t="str">
        <x:v>Sequence, loops, events, and debugging</x:v>
      </x:c>
      <x:c r="D1060" s="27" t="str">
        <x:v>UNLOCKS</x:v>
      </x:c>
      <x:c r="E1060" s="27" t="str">
        <x:v>S13-COMP-01:NEXT</x:v>
      </x:c>
      <x:c r="F1060" s="27" t="str">
        <x:v>Loops express repetition efficiently and debugging develops test-revise reasoning.</x:v>
      </x:c>
      <x:c r="G1060" s="27" t="str">
        <x:v>S13</x:v>
      </x:c>
      <x:c r="H1060" s="27" t="str">
        <x:v>Computing &amp; Media</x:v>
      </x:c>
      <x:c r="I1060" s="27" t="str">
        <x:v>SRC16</x:v>
      </x:c>
      <x:c r="J1060" s="27" t="str">
        <x:v>Outgoing use and placement rationale.</x:v>
      </x:c>
    </x:row>
    <x:row r="1061">
      <x:c r="A1061" s="27" t="str">
        <x:v>E01057</x:v>
      </x:c>
      <x:c r="B1061" s="27" t="str">
        <x:v>S13-COMP-01</x:v>
      </x:c>
      <x:c r="C1061" s="27" t="str">
        <x:v>Sequence, loops, events, and debugging</x:v>
      </x:c>
      <x:c r="D1061" s="27" t="str">
        <x:v>VERIFIED_BY</x:v>
      </x:c>
      <x:c r="E1061" s="27" t="str">
        <x:v>S13-COMP-01:EVIDENCE</x:v>
      </x:c>
      <x:c r="F1061" s="27" t="str">
        <x:v>Builds a working program and explains what the loop/event does and what was fixed.</x:v>
      </x:c>
      <x:c r="G1061" s="27" t="str">
        <x:v>S13</x:v>
      </x:c>
      <x:c r="H1061" s="27" t="str">
        <x:v>Computing &amp; Media</x:v>
      </x:c>
      <x:c r="I1061" s="27" t="str">
        <x:v>SRC16</x:v>
      </x:c>
      <x:c r="J1061" s="27" t="str">
        <x:v>Observable evidence of usable learning.</x:v>
      </x:c>
    </x:row>
    <x:row r="1062">
      <x:c r="A1062" s="27" t="str">
        <x:v>E01058</x:v>
      </x:c>
      <x:c r="B1062" s="27" t="str">
        <x:v>S13-COMP-01</x:v>
      </x:c>
      <x:c r="C1062" s="27" t="str">
        <x:v>Previous node in domain progression</x:v>
      </x:c>
      <x:c r="D1062" s="27" t="str">
        <x:v>DOMAIN_SEQUENCE</x:v>
      </x:c>
      <x:c r="E1062" s="27" t="str">
        <x:v>S13-COMP-02</x:v>
      </x:c>
      <x:c r="F1062" s="27" t="str">
        <x:v>Creator, purpose, and representation</x:v>
      </x:c>
      <x:c r="G1062" s="27" t="str">
        <x:v>S13</x:v>
      </x:c>
      <x:c r="H1062" s="27" t="str">
        <x:v>Computing &amp; Media</x:v>
      </x:c>
      <x:c r="I1062" s="27" t="str">
        <x:v>SRC20</x:v>
      </x:c>
      <x:c r="J1062" s="27" t="str">
        <x:v>Ordered spiral link; consult explicit prerequisites for logical dependency.</x:v>
      </x:c>
    </x:row>
    <x:row r="1063">
      <x:c r="A1063" s="27" t="str">
        <x:v>E01059</x:v>
      </x:c>
      <x:c r="B1063" s="27" t="str">
        <x:v>S13-COMP-02:PREREQ</x:v>
      </x:c>
      <x:c r="C1063" s="27" t="str">
        <x:v>Perspective-taking, text evidence, and artistic response.</x:v>
      </x:c>
      <x:c r="D1063" s="27" t="str">
        <x:v>PREREQUISITE</x:v>
      </x:c>
      <x:c r="E1063" s="27" t="str">
        <x:v>S13-COMP-02</x:v>
      </x:c>
      <x:c r="F1063" s="27" t="str">
        <x:v>Creator, purpose, and representation</x:v>
      </x:c>
      <x:c r="G1063" s="27" t="str">
        <x:v>S13</x:v>
      </x:c>
      <x:c r="H1063" s="27" t="str">
        <x:v>Computing &amp; Media</x:v>
      </x:c>
      <x:c r="I1063" s="27" t="str">
        <x:v>SRC20</x:v>
      </x:c>
      <x:c r="J1063" s="27" t="str">
        <x:v>Incoming prerequisite relationship.</x:v>
      </x:c>
    </x:row>
    <x:row r="1064">
      <x:c r="A1064" s="27" t="str">
        <x:v>E01060</x:v>
      </x:c>
      <x:c r="B1064" s="27" t="str">
        <x:v>S13-COMP-02:GROUND</x:v>
      </x:c>
      <x:c r="C1064" s="27" t="str">
        <x:v>G4/G5 — Concrete model linked to coordinated representations</x:v>
      </x:c>
      <x:c r="D1064" s="27" t="str">
        <x:v>GROUNDED_BY</x:v>
      </x:c>
      <x:c r="E1064" s="27" t="str">
        <x:v>S13-COMP-02</x:v>
      </x:c>
      <x:c r="F1064" s="27" t="str">
        <x:v>Creator, purpose, and representation</x:v>
      </x:c>
      <x:c r="G1064" s="27" t="str">
        <x:v>S13</x:v>
      </x:c>
      <x:c r="H1064" s="27" t="str">
        <x:v>Computing &amp; Media</x:v>
      </x:c>
      <x:c r="I1064" s="27" t="str">
        <x:v>SRC20</x:v>
      </x:c>
      <x:c r="J1064" s="27" t="str">
        <x:v>Grounding form used to preserve meaning.</x:v>
      </x:c>
    </x:row>
    <x:row r="1065">
      <x:c r="A1065" s="27" t="str">
        <x:v>E01061</x:v>
      </x:c>
      <x:c r="B1065" s="27" t="str">
        <x:v>S13-COMP-02</x:v>
      </x:c>
      <x:c r="C1065" s="27" t="str">
        <x:v>Creator, purpose, and representation</x:v>
      </x:c>
      <x:c r="D1065" s="27" t="str">
        <x:v>CONNECTS_TO</x:v>
      </x:c>
      <x:c r="E1065" s="27" t="str">
        <x:v>S13-COMP-02:CROSS</x:v>
      </x:c>
      <x:c r="F1065" s="27" t="str">
        <x:v>Mathematics/logic/data; language and media evidence; science/engineering models; art/design; civics, privacy, finance, and ethics.</x:v>
      </x:c>
      <x:c r="G1065" s="27" t="str">
        <x:v>S13</x:v>
      </x:c>
      <x:c r="H1065" s="27" t="str">
        <x:v>Computing &amp; Media</x:v>
      </x:c>
      <x:c r="I1065" s="27" t="str">
        <x:v>SRC20</x:v>
      </x:c>
      <x:c r="J1065" s="27" t="str">
        <x:v>Parallel subject and representation links.</x:v>
      </x:c>
    </x:row>
    <x:row r="1066">
      <x:c r="A1066" s="27" t="str">
        <x:v>E01062</x:v>
      </x:c>
      <x:c r="B1066" s="27" t="str">
        <x:v>S13-COMP-02</x:v>
      </x:c>
      <x:c r="C1066" s="27" t="str">
        <x:v>Creator, purpose, and representation</x:v>
      </x:c>
      <x:c r="D1066" s="27" t="str">
        <x:v>UNLOCKS</x:v>
      </x:c>
      <x:c r="E1066" s="27" t="str">
        <x:v>S13-COMP-02:NEXT</x:v>
      </x:c>
      <x:c r="F1066" s="27" t="str">
        <x:v>Creator-purpose questions begin critical media interpretation.</x:v>
      </x:c>
      <x:c r="G1066" s="27" t="str">
        <x:v>S13</x:v>
      </x:c>
      <x:c r="H1066" s="27" t="str">
        <x:v>Computing &amp; Media</x:v>
      </x:c>
      <x:c r="I1066" s="27" t="str">
        <x:v>SRC20</x:v>
      </x:c>
      <x:c r="J1066" s="27" t="str">
        <x:v>Outgoing use and placement rationale.</x:v>
      </x:c>
    </x:row>
    <x:row r="1067">
      <x:c r="A1067" s="27" t="str">
        <x:v>E01063</x:v>
      </x:c>
      <x:c r="B1067" s="27" t="str">
        <x:v>S13-COMP-02</x:v>
      </x:c>
      <x:c r="C1067" s="27" t="str">
        <x:v>Creator, purpose, and representation</x:v>
      </x:c>
      <x:c r="D1067" s="27" t="str">
        <x:v>VERIFIED_BY</x:v>
      </x:c>
      <x:c r="E1067" s="27" t="str">
        <x:v>S13-COMP-02:EVIDENCE</x:v>
      </x:c>
      <x:c r="F1067" s="27" t="str">
        <x:v>Compares two simple messages and identifies a meaningful creator or purpose difference.</x:v>
      </x:c>
      <x:c r="G1067" s="27" t="str">
        <x:v>S13</x:v>
      </x:c>
      <x:c r="H1067" s="27" t="str">
        <x:v>Computing &amp; Media</x:v>
      </x:c>
      <x:c r="I1067" s="27" t="str">
        <x:v>SRC20</x:v>
      </x:c>
      <x:c r="J1067" s="27" t="str">
        <x:v>Observable evidence of usable learning.</x:v>
      </x:c>
    </x:row>
    <x:row r="1068">
      <x:c r="A1068" s="27" t="str">
        <x:v>E01064</x:v>
      </x:c>
      <x:c r="B1068" s="27" t="str">
        <x:v>S13-LIFE-01:PREREQ</x:v>
      </x:c>
      <x:c r="C1068" s="27" t="str">
        <x:v>Goods/services, counting, and problem-options-choice.</x:v>
      </x:c>
      <x:c r="D1068" s="27" t="str">
        <x:v>PREREQUISITE</x:v>
      </x:c>
      <x:c r="E1068" s="27" t="str">
        <x:v>S13-LIFE-01</x:v>
      </x:c>
      <x:c r="F1068" s="27" t="str">
        <x:v>Needs, wants, earning, saving, and spending</x:v>
      </x:c>
      <x:c r="G1068" s="27" t="str">
        <x:v>S13</x:v>
      </x:c>
      <x:c r="H1068" s="27" t="str">
        <x:v>Life, Finance &amp; Career</x:v>
      </x:c>
      <x:c r="I1068" s="27" t="str">
        <x:v>SRC12; SRC19</x:v>
      </x:c>
      <x:c r="J1068" s="27" t="str">
        <x:v>Incoming prerequisite relationship.</x:v>
      </x:c>
    </x:row>
    <x:row r="1069">
      <x:c r="A1069" s="27" t="str">
        <x:v>E01065</x:v>
      </x:c>
      <x:c r="B1069" s="27" t="str">
        <x:v>S13-LIFE-01:GROUND</x:v>
      </x:c>
      <x:c r="C1069" s="27" t="str">
        <x:v>G4/G5 — Concrete model linked to coordinated representations</x:v>
      </x:c>
      <x:c r="D1069" s="27" t="str">
        <x:v>GROUNDED_BY</x:v>
      </x:c>
      <x:c r="E1069" s="27" t="str">
        <x:v>S13-LIFE-01</x:v>
      </x:c>
      <x:c r="F1069" s="27" t="str">
        <x:v>Needs, wants, earning, saving, and spending</x:v>
      </x:c>
      <x:c r="G1069" s="27" t="str">
        <x:v>S13</x:v>
      </x:c>
      <x:c r="H1069" s="27" t="str">
        <x:v>Life, Finance &amp; Career</x:v>
      </x:c>
      <x:c r="I1069" s="27" t="str">
        <x:v>SRC12; SRC19</x:v>
      </x:c>
      <x:c r="J1069" s="27" t="str">
        <x:v>Grounding form used to preserve meaning.</x:v>
      </x:c>
    </x:row>
    <x:row r="1070">
      <x:c r="A1070" s="27" t="str">
        <x:v>E01066</x:v>
      </x:c>
      <x:c r="B1070" s="27" t="str">
        <x:v>S13-LIFE-01</x:v>
      </x:c>
      <x:c r="C1070" s="27" t="str">
        <x:v>Needs, wants, earning, saving, and spending</x:v>
      </x:c>
      <x:c r="D1070" s="27" t="str">
        <x:v>CONNECTS_TO</x:v>
      </x:c>
      <x:c r="E1070" s="27" t="str">
        <x:v>S13-LIFE-01:CROSS</x:v>
      </x:c>
      <x:c r="F1070" s="27" t="str">
        <x:v>Mathematics/percent/growth; economics/civics; reading contracts/sources; computing/privacy; SEL, planning, and risk decisions.</x:v>
      </x:c>
      <x:c r="G1070" s="27" t="str">
        <x:v>S13</x:v>
      </x:c>
      <x:c r="H1070" s="27" t="str">
        <x:v>Life, Finance &amp; Career</x:v>
      </x:c>
      <x:c r="I1070" s="27" t="str">
        <x:v>SRC12; SRC19</x:v>
      </x:c>
      <x:c r="J1070" s="27" t="str">
        <x:v>Parallel subject and representation links.</x:v>
      </x:c>
    </x:row>
    <x:row r="1071">
      <x:c r="A1071" s="27" t="str">
        <x:v>E01067</x:v>
      </x:c>
      <x:c r="B1071" s="27" t="str">
        <x:v>S13-LIFE-01</x:v>
      </x:c>
      <x:c r="C1071" s="27" t="str">
        <x:v>Needs, wants, earning, saving, and spending</x:v>
      </x:c>
      <x:c r="D1071" s="27" t="str">
        <x:v>UNLOCKS</x:v>
      </x:c>
      <x:c r="E1071" s="27" t="str">
        <x:v>S13-LIFE-01:NEXT</x:v>
      </x:c>
      <x:c r="F1071" s="27" t="str">
        <x:v>Delayed choice and resource limits are the foundation of personal finance and economics.</x:v>
      </x:c>
      <x:c r="G1071" s="27" t="str">
        <x:v>S13</x:v>
      </x:c>
      <x:c r="H1071" s="27" t="str">
        <x:v>Life, Finance &amp; Career</x:v>
      </x:c>
      <x:c r="I1071" s="27" t="str">
        <x:v>SRC12; SRC19</x:v>
      </x:c>
      <x:c r="J1071" s="27" t="str">
        <x:v>Outgoing use and placement rationale.</x:v>
      </x:c>
    </x:row>
    <x:row r="1072">
      <x:c r="A1072" s="27" t="str">
        <x:v>E01068</x:v>
      </x:c>
      <x:c r="B1072" s="27" t="str">
        <x:v>S13-LIFE-01</x:v>
      </x:c>
      <x:c r="C1072" s="27" t="str">
        <x:v>Needs, wants, earning, saving, and spending</x:v>
      </x:c>
      <x:c r="D1072" s="27" t="str">
        <x:v>VERIFIED_BY</x:v>
      </x:c>
      <x:c r="E1072" s="27" t="str">
        <x:v>S13-LIFE-01:EVIDENCE</x:v>
      </x:c>
      <x:c r="F1072" s="27" t="str">
        <x:v>Makes and explains a simple choice among spending, saving, or waiting.</x:v>
      </x:c>
      <x:c r="G1072" s="27" t="str">
        <x:v>S13</x:v>
      </x:c>
      <x:c r="H1072" s="27" t="str">
        <x:v>Life, Finance &amp; Career</x:v>
      </x:c>
      <x:c r="I1072" s="27" t="str">
        <x:v>SRC12; SRC19</x:v>
      </x:c>
      <x:c r="J1072" s="27" t="str">
        <x:v>Observable evidence of usable learning.</x:v>
      </x:c>
    </x:row>
    <x:row r="1073">
      <x:c r="A1073" s="27" t="str">
        <x:v>E01069</x:v>
      </x:c>
      <x:c r="B1073" s="27" t="str">
        <x:v>S13-LEARN-01</x:v>
      </x:c>
      <x:c r="C1073" s="27" t="str">
        <x:v>Previous node in domain progression</x:v>
      </x:c>
      <x:c r="D1073" s="27" t="str">
        <x:v>DOMAIN_SEQUENCE</x:v>
      </x:c>
      <x:c r="E1073" s="27" t="str">
        <x:v>S14-LEARN-01</x:v>
      </x:c>
      <x:c r="F1073" s="27" t="str">
        <x:v>Worked example comparison</x:v>
      </x:c>
      <x:c r="G1073" s="27" t="str">
        <x:v>S14</x:v>
      </x:c>
      <x:c r="H1073" s="27" t="str">
        <x:v>Learning Foundations</x:v>
      </x:c>
      <x:c r="I1073" s="27" t="str">
        <x:v>SRC23</x:v>
      </x:c>
      <x:c r="J1073" s="27" t="str">
        <x:v>Ordered spiral link; consult explicit prerequisites for logical dependency.</x:v>
      </x:c>
    </x:row>
    <x:row r="1074">
      <x:c r="A1074" s="27" t="str">
        <x:v>E01070</x:v>
      </x:c>
      <x:c r="B1074" s="27" t="str">
        <x:v>S14-LEARN-01:PREREQ</x:v>
      </x:c>
      <x:c r="C1074" s="27" t="str">
        <x:v>Goal reflection, retrieval, and explanation language.</x:v>
      </x:c>
      <x:c r="D1074" s="27" t="str">
        <x:v>PREREQUISITE</x:v>
      </x:c>
      <x:c r="E1074" s="27" t="str">
        <x:v>S14-LEARN-01</x:v>
      </x:c>
      <x:c r="F1074" s="27" t="str">
        <x:v>Worked example comparison</x:v>
      </x:c>
      <x:c r="G1074" s="27" t="str">
        <x:v>S14</x:v>
      </x:c>
      <x:c r="H1074" s="27" t="str">
        <x:v>Learning Foundations</x:v>
      </x:c>
      <x:c r="I1074" s="27" t="str">
        <x:v>SRC23</x:v>
      </x:c>
      <x:c r="J1074" s="27" t="str">
        <x:v>Incoming prerequisite relationship.</x:v>
      </x:c>
    </x:row>
    <x:row r="1075">
      <x:c r="A1075" s="27" t="str">
        <x:v>E01071</x:v>
      </x:c>
      <x:c r="B1075" s="27" t="str">
        <x:v>S14-LEARN-01:GROUND</x:v>
      </x:c>
      <x:c r="C1075" s="27" t="str">
        <x:v>G4/G5 — Concrete model linked to coordinated representations</x:v>
      </x:c>
      <x:c r="D1075" s="27" t="str">
        <x:v>GROUNDED_BY</x:v>
      </x:c>
      <x:c r="E1075" s="27" t="str">
        <x:v>S14-LEARN-01</x:v>
      </x:c>
      <x:c r="F1075" s="27" t="str">
        <x:v>Worked example comparison</x:v>
      </x:c>
      <x:c r="G1075" s="27" t="str">
        <x:v>S14</x:v>
      </x:c>
      <x:c r="H1075" s="27" t="str">
        <x:v>Learning Foundations</x:v>
      </x:c>
      <x:c r="I1075" s="27" t="str">
        <x:v>SRC23</x:v>
      </x:c>
      <x:c r="J1075" s="27" t="str">
        <x:v>Grounding form used to preserve meaning.</x:v>
      </x:c>
    </x:row>
    <x:row r="1076">
      <x:c r="A1076" s="27" t="str">
        <x:v>E01072</x:v>
      </x:c>
      <x:c r="B1076" s="27" t="str">
        <x:v>S14-LEARN-01</x:v>
      </x:c>
      <x:c r="C1076" s="27" t="str">
        <x:v>Worked example comparison</x:v>
      </x:c>
      <x:c r="D1076" s="27" t="str">
        <x:v>CONNECTS_TO</x:v>
      </x:c>
      <x:c r="E1076" s="27" t="str">
        <x:v>S14-LEARN-01:CROSS</x:v>
      </x:c>
      <x:c r="F1076" s="27" t="str">
        <x:v>All domains: attention, memory, strategy choice, monitoring, retrieval, and transfer.</x:v>
      </x:c>
      <x:c r="G1076" s="27" t="str">
        <x:v>S14</x:v>
      </x:c>
      <x:c r="H1076" s="27" t="str">
        <x:v>Learning Foundations</x:v>
      </x:c>
      <x:c r="I1076" s="27" t="str">
        <x:v>SRC23</x:v>
      </x:c>
      <x:c r="J1076" s="27" t="str">
        <x:v>Parallel subject and representation links.</x:v>
      </x:c>
    </x:row>
    <x:row r="1077">
      <x:c r="A1077" s="27" t="str">
        <x:v>E01073</x:v>
      </x:c>
      <x:c r="B1077" s="27" t="str">
        <x:v>S14-LEARN-01</x:v>
      </x:c>
      <x:c r="C1077" s="27" t="str">
        <x:v>Worked example comparison</x:v>
      </x:c>
      <x:c r="D1077" s="27" t="str">
        <x:v>UNLOCKS</x:v>
      </x:c>
      <x:c r="E1077" s="27" t="str">
        <x:v>S14-LEARN-01:NEXT</x:v>
      </x:c>
      <x:c r="F1077" s="27" t="str">
        <x:v>Comparing structure helps learners generalize procedures and diagnose errors.</x:v>
      </x:c>
      <x:c r="G1077" s="27" t="str">
        <x:v>S14</x:v>
      </x:c>
      <x:c r="H1077" s="27" t="str">
        <x:v>Learning Foundations</x:v>
      </x:c>
      <x:c r="I1077" s="27" t="str">
        <x:v>SRC23</x:v>
      </x:c>
      <x:c r="J1077" s="27" t="str">
        <x:v>Outgoing use and placement rationale.</x:v>
      </x:c>
    </x:row>
    <x:row r="1078">
      <x:c r="A1078" s="27" t="str">
        <x:v>E01074</x:v>
      </x:c>
      <x:c r="B1078" s="27" t="str">
        <x:v>S14-LEARN-01</x:v>
      </x:c>
      <x:c r="C1078" s="27" t="str">
        <x:v>Worked example comparison</x:v>
      </x:c>
      <x:c r="D1078" s="27" t="str">
        <x:v>VERIFIED_BY</x:v>
      </x:c>
      <x:c r="E1078" s="27" t="str">
        <x:v>S14-LEARN-01:EVIDENCE</x:v>
      </x:c>
      <x:c r="F1078" s="27" t="str">
        <x:v>Explains a key step and revises a mismatching part of own work.</x:v>
      </x:c>
      <x:c r="G1078" s="27" t="str">
        <x:v>S14</x:v>
      </x:c>
      <x:c r="H1078" s="27" t="str">
        <x:v>Learning Foundations</x:v>
      </x:c>
      <x:c r="I1078" s="27" t="str">
        <x:v>SRC23</x:v>
      </x:c>
      <x:c r="J1078" s="27" t="str">
        <x:v>Observable evidence of usable learning.</x:v>
      </x:c>
    </x:row>
    <x:row r="1079">
      <x:c r="A1079" s="27" t="str">
        <x:v>E01075</x:v>
      </x:c>
      <x:c r="B1079" s="27" t="str">
        <x:v>S13-SEL-01</x:v>
      </x:c>
      <x:c r="C1079" s="27" t="str">
        <x:v>Previous node in domain progression</x:v>
      </x:c>
      <x:c r="D1079" s="27" t="str">
        <x:v>DOMAIN_SEQUENCE</x:v>
      </x:c>
      <x:c r="E1079" s="27" t="str">
        <x:v>S14-SEL-01</x:v>
      </x:c>
      <x:c r="F1079" s="27" t="str">
        <x:v>Shared goal and feedback</x:v>
      </x:c>
      <x:c r="G1079" s="27" t="str">
        <x:v>S14</x:v>
      </x:c>
      <x:c r="H1079" s="27" t="str">
        <x:v>Social-Emotional</x:v>
      </x:c>
      <x:c r="I1079" s="27" t="str">
        <x:v>SRC18</x:v>
      </x:c>
      <x:c r="J1079" s="27" t="str">
        <x:v>Ordered spiral link; consult explicit prerequisites for logical dependency.</x:v>
      </x:c>
    </x:row>
    <x:row r="1080">
      <x:c r="A1080" s="27" t="str">
        <x:v>E01076</x:v>
      </x:c>
      <x:c r="B1080" s="27" t="str">
        <x:v>S14-SEL-01:PREREQ</x:v>
      </x:c>
      <x:c r="C1080" s="27" t="str">
        <x:v>Cooperative play plan, clarification, and regulation.</x:v>
      </x:c>
      <x:c r="D1080" s="27" t="str">
        <x:v>PREREQUISITE</x:v>
      </x:c>
      <x:c r="E1080" s="27" t="str">
        <x:v>S14-SEL-01</x:v>
      </x:c>
      <x:c r="F1080" s="27" t="str">
        <x:v>Shared goal and feedback</x:v>
      </x:c>
      <x:c r="G1080" s="27" t="str">
        <x:v>S14</x:v>
      </x:c>
      <x:c r="H1080" s="27" t="str">
        <x:v>Social-Emotional</x:v>
      </x:c>
      <x:c r="I1080" s="27" t="str">
        <x:v>SRC18</x:v>
      </x:c>
      <x:c r="J1080" s="27" t="str">
        <x:v>Incoming prerequisite relationship.</x:v>
      </x:c>
    </x:row>
    <x:row r="1081">
      <x:c r="A1081" s="27" t="str">
        <x:v>E01077</x:v>
      </x:c>
      <x:c r="B1081" s="27" t="str">
        <x:v>S14-SEL-01:GROUND</x:v>
      </x:c>
      <x:c r="C1081" s="27" t="str">
        <x:v>G4/G5 — Concrete model linked to coordinated representations</x:v>
      </x:c>
      <x:c r="D1081" s="27" t="str">
        <x:v>GROUNDED_BY</x:v>
      </x:c>
      <x:c r="E1081" s="27" t="str">
        <x:v>S14-SEL-01</x:v>
      </x:c>
      <x:c r="F1081" s="27" t="str">
        <x:v>Shared goal and feedback</x:v>
      </x:c>
      <x:c r="G1081" s="27" t="str">
        <x:v>S14</x:v>
      </x:c>
      <x:c r="H1081" s="27" t="str">
        <x:v>Social-Emotional</x:v>
      </x:c>
      <x:c r="I1081" s="27" t="str">
        <x:v>SRC18</x:v>
      </x:c>
      <x:c r="J1081" s="27" t="str">
        <x:v>Grounding form used to preserve meaning.</x:v>
      </x:c>
    </x:row>
    <x:row r="1082">
      <x:c r="A1082" s="27" t="str">
        <x:v>E01078</x:v>
      </x:c>
      <x:c r="B1082" s="27" t="str">
        <x:v>S14-SEL-01</x:v>
      </x:c>
      <x:c r="C1082" s="27" t="str">
        <x:v>Shared goal and feedback</x:v>
      </x:c>
      <x:c r="D1082" s="27" t="str">
        <x:v>CONNECTS_TO</x:v>
      </x:c>
      <x:c r="E1082" s="27" t="str">
        <x:v>S14-SEL-01:CROSS</x:v>
      </x:c>
      <x:c r="F1082" s="27" t="str">
        <x:v>Language and communication; health; collaboration in science, arts, civics, and projects; responsible digital/financial decisions.</x:v>
      </x:c>
      <x:c r="G1082" s="27" t="str">
        <x:v>S14</x:v>
      </x:c>
      <x:c r="H1082" s="27" t="str">
        <x:v>Social-Emotional</x:v>
      </x:c>
      <x:c r="I1082" s="27" t="str">
        <x:v>SRC18</x:v>
      </x:c>
      <x:c r="J1082" s="27" t="str">
        <x:v>Parallel subject and representation links.</x:v>
      </x:c>
    </x:row>
    <x:row r="1083">
      <x:c r="A1083" s="27" t="str">
        <x:v>E01079</x:v>
      </x:c>
      <x:c r="B1083" s="27" t="str">
        <x:v>S14-SEL-01</x:v>
      </x:c>
      <x:c r="C1083" s="27" t="str">
        <x:v>Shared goal and feedback</x:v>
      </x:c>
      <x:c r="D1083" s="27" t="str">
        <x:v>UNLOCKS</x:v>
      </x:c>
      <x:c r="E1083" s="27" t="str">
        <x:v>S14-SEL-01:NEXT</x:v>
      </x:c>
      <x:c r="F1083" s="27" t="str">
        <x:v>Structured collaboration prepares group investigations and peer revision.</x:v>
      </x:c>
      <x:c r="G1083" s="27" t="str">
        <x:v>S14</x:v>
      </x:c>
      <x:c r="H1083" s="27" t="str">
        <x:v>Social-Emotional</x:v>
      </x:c>
      <x:c r="I1083" s="27" t="str">
        <x:v>SRC18</x:v>
      </x:c>
      <x:c r="J1083" s="27" t="str">
        <x:v>Outgoing use and placement rationale.</x:v>
      </x:c>
    </x:row>
    <x:row r="1084">
      <x:c r="A1084" s="27" t="str">
        <x:v>E01080</x:v>
      </x:c>
      <x:c r="B1084" s="27" t="str">
        <x:v>S14-SEL-01</x:v>
      </x:c>
      <x:c r="C1084" s="27" t="str">
        <x:v>Shared goal and feedback</x:v>
      </x:c>
      <x:c r="D1084" s="27" t="str">
        <x:v>VERIFIED_BY</x:v>
      </x:c>
      <x:c r="E1084" s="27" t="str">
        <x:v>S14-SEL-01:EVIDENCE</x:v>
      </x:c>
      <x:c r="F1084" s="27" t="str">
        <x:v>Completes an agreed role and uses feedback tied to the shared criteria.</x:v>
      </x:c>
      <x:c r="G1084" s="27" t="str">
        <x:v>S14</x:v>
      </x:c>
      <x:c r="H1084" s="27" t="str">
        <x:v>Social-Emotional</x:v>
      </x:c>
      <x:c r="I1084" s="27" t="str">
        <x:v>SRC18</x:v>
      </x:c>
      <x:c r="J1084" s="27" t="str">
        <x:v>Observable evidence of usable learning.</x:v>
      </x:c>
    </x:row>
    <x:row r="1085">
      <x:c r="A1085" s="27" t="str">
        <x:v>E01081</x:v>
      </x:c>
      <x:c r="B1085" s="27" t="str">
        <x:v>S13-LANG-01</x:v>
      </x:c>
      <x:c r="C1085" s="27" t="str">
        <x:v>Previous node in domain progression</x:v>
      </x:c>
      <x:c r="D1085" s="27" t="str">
        <x:v>DOMAIN_SEQUENCE</x:v>
      </x:c>
      <x:c r="E1085" s="27" t="str">
        <x:v>S14-LANG-01</x:v>
      </x:c>
      <x:c r="F1085" s="27" t="str">
        <x:v>Morphology and context introduction</x:v>
      </x:c>
      <x:c r="G1085" s="27" t="str">
        <x:v>S14</x:v>
      </x:c>
      <x:c r="H1085" s="27" t="str">
        <x:v>Language &amp; Communication</x:v>
      </x:c>
      <x:c r="I1085" s="27" t="str">
        <x:v>SRC10</x:v>
      </x:c>
      <x:c r="J1085" s="27" t="str">
        <x:v>Ordered spiral link; consult explicit prerequisites for logical dependency.</x:v>
      </x:c>
    </x:row>
    <x:row r="1086">
      <x:c r="A1086" s="27" t="str">
        <x:v>E01082</x:v>
      </x:c>
      <x:c r="B1086" s="27" t="str">
        <x:v>S14-LANG-01:PREREQ</x:v>
      </x:c>
      <x:c r="C1086" s="27" t="str">
        <x:v>Category/relationship vocabulary and inflection awareness.</x:v>
      </x:c>
      <x:c r="D1086" s="27" t="str">
        <x:v>PREREQUISITE</x:v>
      </x:c>
      <x:c r="E1086" s="27" t="str">
        <x:v>S14-LANG-01</x:v>
      </x:c>
      <x:c r="F1086" s="27" t="str">
        <x:v>Morphology and context introduction</x:v>
      </x:c>
      <x:c r="G1086" s="27" t="str">
        <x:v>S14</x:v>
      </x:c>
      <x:c r="H1086" s="27" t="str">
        <x:v>Language &amp; Communication</x:v>
      </x:c>
      <x:c r="I1086" s="27" t="str">
        <x:v>SRC10</x:v>
      </x:c>
      <x:c r="J1086" s="27" t="str">
        <x:v>Incoming prerequisite relationship.</x:v>
      </x:c>
    </x:row>
    <x:row r="1087">
      <x:c r="A1087" s="27" t="str">
        <x:v>E01083</x:v>
      </x:c>
      <x:c r="B1087" s="27" t="str">
        <x:v>S14-LANG-01:GROUND</x:v>
      </x:c>
      <x:c r="C1087" s="27" t="str">
        <x:v>G4/G5 — Concrete model linked to coordinated representations</x:v>
      </x:c>
      <x:c r="D1087" s="27" t="str">
        <x:v>GROUNDED_BY</x:v>
      </x:c>
      <x:c r="E1087" s="27" t="str">
        <x:v>S14-LANG-01</x:v>
      </x:c>
      <x:c r="F1087" s="27" t="str">
        <x:v>Morphology and context introduction</x:v>
      </x:c>
      <x:c r="G1087" s="27" t="str">
        <x:v>S14</x:v>
      </x:c>
      <x:c r="H1087" s="27" t="str">
        <x:v>Language &amp; Communication</x:v>
      </x:c>
      <x:c r="I1087" s="27" t="str">
        <x:v>SRC10</x:v>
      </x:c>
      <x:c r="J1087" s="27" t="str">
        <x:v>Grounding form used to preserve meaning.</x:v>
      </x:c>
    </x:row>
    <x:row r="1088">
      <x:c r="A1088" s="27" t="str">
        <x:v>E01084</x:v>
      </x:c>
      <x:c r="B1088" s="27" t="str">
        <x:v>S14-LANG-01</x:v>
      </x:c>
      <x:c r="C1088" s="27" t="str">
        <x:v>Morphology and context introduction</x:v>
      </x:c>
      <x:c r="D1088" s="27" t="str">
        <x:v>CONNECTS_TO</x:v>
      </x:c>
      <x:c r="E1088" s="27" t="str">
        <x:v>S14-LANG-01:CROSS</x:v>
      </x:c>
      <x:c r="F1088" s="27" t="str">
        <x:v>Reading and writing; vocabulary for math/science/social studies; discussion, music prosody, and world-language learning.</x:v>
      </x:c>
      <x:c r="G1088" s="27" t="str">
        <x:v>S14</x:v>
      </x:c>
      <x:c r="H1088" s="27" t="str">
        <x:v>Language &amp; Communication</x:v>
      </x:c>
      <x:c r="I1088" s="27" t="str">
        <x:v>SRC10</x:v>
      </x:c>
      <x:c r="J1088" s="27" t="str">
        <x:v>Parallel subject and representation links.</x:v>
      </x:c>
    </x:row>
    <x:row r="1089">
      <x:c r="A1089" s="27" t="str">
        <x:v>E01085</x:v>
      </x:c>
      <x:c r="B1089" s="27" t="str">
        <x:v>S14-LANG-01</x:v>
      </x:c>
      <x:c r="C1089" s="27" t="str">
        <x:v>Morphology and context introduction</x:v>
      </x:c>
      <x:c r="D1089" s="27" t="str">
        <x:v>UNLOCKS</x:v>
      </x:c>
      <x:c r="E1089" s="27" t="str">
        <x:v>S14-LANG-01:NEXT</x:v>
      </x:c>
      <x:c r="F1089" s="27" t="str">
        <x:v>Word parts and context make vocabulary learning generative.</x:v>
      </x:c>
      <x:c r="G1089" s="27" t="str">
        <x:v>S14</x:v>
      </x:c>
      <x:c r="H1089" s="27" t="str">
        <x:v>Language &amp; Communication</x:v>
      </x:c>
      <x:c r="I1089" s="27" t="str">
        <x:v>SRC10</x:v>
      </x:c>
      <x:c r="J1089" s="27" t="str">
        <x:v>Outgoing use and placement rationale.</x:v>
      </x:c>
    </x:row>
    <x:row r="1090">
      <x:c r="A1090" s="27" t="str">
        <x:v>E01086</x:v>
      </x:c>
      <x:c r="B1090" s="27" t="str">
        <x:v>S14-LANG-01</x:v>
      </x:c>
      <x:c r="C1090" s="27" t="str">
        <x:v>Morphology and context introduction</x:v>
      </x:c>
      <x:c r="D1090" s="27" t="str">
        <x:v>VERIFIED_BY</x:v>
      </x:c>
      <x:c r="E1090" s="27" t="str">
        <x:v>S14-LANG-01:EVIDENCE</x:v>
      </x:c>
      <x:c r="F1090" s="27" t="str">
        <x:v>Explains a plausible word meaning using a context clue or meaningful word part.</x:v>
      </x:c>
      <x:c r="G1090" s="27" t="str">
        <x:v>S14</x:v>
      </x:c>
      <x:c r="H1090" s="27" t="str">
        <x:v>Language &amp; Communication</x:v>
      </x:c>
      <x:c r="I1090" s="27" t="str">
        <x:v>SRC10</x:v>
      </x:c>
      <x:c r="J1090" s="27" t="str">
        <x:v>Observable evidence of usable learning.</x:v>
      </x:c>
    </x:row>
    <x:row r="1091">
      <x:c r="A1091" s="27" t="str">
        <x:v>E01087</x:v>
      </x:c>
      <x:c r="B1091" s="27" t="str">
        <x:v>S13-READ-04</x:v>
      </x:c>
      <x:c r="C1091" s="27" t="str">
        <x:v>Previous node in domain progression</x:v>
      </x:c>
      <x:c r="D1091" s="27" t="str">
        <x:v>DOMAIN_SEQUENCE</x:v>
      </x:c>
      <x:c r="E1091" s="27" t="str">
        <x:v>S14-READ-01</x:v>
      </x:c>
      <x:c r="F1091" s="27" t="str">
        <x:v>Vowel patterns and two-syllable decoding</x:v>
      </x:c>
      <x:c r="G1091" s="27" t="str">
        <x:v>S14</x:v>
      </x:c>
      <x:c r="H1091" s="27" t="str">
        <x:v>Reading</x:v>
      </x:c>
      <x:c r="I1091" s="27" t="str">
        <x:v>SRC08; SRC10</x:v>
      </x:c>
      <x:c r="J1091" s="27" t="str">
        <x:v>Ordered spiral link; consult explicit prerequisites for logical dependency.</x:v>
      </x:c>
    </x:row>
    <x:row r="1092">
      <x:c r="A1092" s="27" t="str">
        <x:v>E01088</x:v>
      </x:c>
      <x:c r="B1092" s="27" t="str">
        <x:v>S14-READ-01:PREREQ</x:v>
      </x:c>
      <x:c r="C1092" s="27" t="str">
        <x:v>Grade 1 vowel patterns, syllable awareness, and morphology introduction.</x:v>
      </x:c>
      <x:c r="D1092" s="27" t="str">
        <x:v>PREREQUISITE</x:v>
      </x:c>
      <x:c r="E1092" s="27" t="str">
        <x:v>S14-READ-01</x:v>
      </x:c>
      <x:c r="F1092" s="27" t="str">
        <x:v>Vowel patterns and two-syllable decoding</x:v>
      </x:c>
      <x:c r="G1092" s="27" t="str">
        <x:v>S14</x:v>
      </x:c>
      <x:c r="H1092" s="27" t="str">
        <x:v>Reading</x:v>
      </x:c>
      <x:c r="I1092" s="27" t="str">
        <x:v>SRC08; SRC10</x:v>
      </x:c>
      <x:c r="J1092" s="27" t="str">
        <x:v>Incoming prerequisite relationship.</x:v>
      </x:c>
    </x:row>
    <x:row r="1093">
      <x:c r="A1093" s="27" t="str">
        <x:v>E01089</x:v>
      </x:c>
      <x:c r="B1093" s="27" t="str">
        <x:v>S14-READ-01:GROUND</x:v>
      </x:c>
      <x:c r="C1093" s="27" t="str">
        <x:v>G4/G5 — Concrete model linked to coordinated representations</x:v>
      </x:c>
      <x:c r="D1093" s="27" t="str">
        <x:v>GROUNDED_BY</x:v>
      </x:c>
      <x:c r="E1093" s="27" t="str">
        <x:v>S14-READ-01</x:v>
      </x:c>
      <x:c r="F1093" s="27" t="str">
        <x:v>Vowel patterns and two-syllable decoding</x:v>
      </x:c>
      <x:c r="G1093" s="27" t="str">
        <x:v>S14</x:v>
      </x:c>
      <x:c r="H1093" s="27" t="str">
        <x:v>Reading</x:v>
      </x:c>
      <x:c r="I1093" s="27" t="str">
        <x:v>SRC08; SRC10</x:v>
      </x:c>
      <x:c r="J1093" s="27" t="str">
        <x:v>Grounding form used to preserve meaning.</x:v>
      </x:c>
    </x:row>
    <x:row r="1094">
      <x:c r="A1094" s="27" t="str">
        <x:v>E01090</x:v>
      </x:c>
      <x:c r="B1094" s="27" t="str">
        <x:v>S14-READ-01</x:v>
      </x:c>
      <x:c r="C1094" s="27" t="str">
        <x:v>Vowel patterns and two-syllable decoding</x:v>
      </x:c>
      <x:c r="D1094" s="27" t="str">
        <x:v>CONNECTS_TO</x:v>
      </x:c>
      <x:c r="E1094" s="27" t="str">
        <x:v>S14-READ-01:CROSS</x:v>
      </x:c>
      <x:c r="F1094" s="27" t="str">
        <x:v>Oral language and writing; evidence in science/social studies; mathematical and technical problem interpretation; media verification.</x:v>
      </x:c>
      <x:c r="G1094" s="27" t="str">
        <x:v>S14</x:v>
      </x:c>
      <x:c r="H1094" s="27" t="str">
        <x:v>Reading</x:v>
      </x:c>
      <x:c r="I1094" s="27" t="str">
        <x:v>SRC08; SRC10</x:v>
      </x:c>
      <x:c r="J1094" s="27" t="str">
        <x:v>Parallel subject and representation links.</x:v>
      </x:c>
    </x:row>
    <x:row r="1095">
      <x:c r="A1095" s="27" t="str">
        <x:v>E01091</x:v>
      </x:c>
      <x:c r="B1095" s="27" t="str">
        <x:v>S14-READ-01</x:v>
      </x:c>
      <x:c r="C1095" s="27" t="str">
        <x:v>Vowel patterns and two-syllable decoding</x:v>
      </x:c>
      <x:c r="D1095" s="27" t="str">
        <x:v>UNLOCKS</x:v>
      </x:c>
      <x:c r="E1095" s="27" t="str">
        <x:v>S14-READ-01:NEXT</x:v>
      </x:c>
      <x:c r="F1095" s="27" t="str">
        <x:v>Syllable-pattern coordination expands independent access to text.</x:v>
      </x:c>
      <x:c r="G1095" s="27" t="str">
        <x:v>S14</x:v>
      </x:c>
      <x:c r="H1095" s="27" t="str">
        <x:v>Reading</x:v>
      </x:c>
      <x:c r="I1095" s="27" t="str">
        <x:v>SRC08; SRC10</x:v>
      </x:c>
      <x:c r="J1095" s="27" t="str">
        <x:v>Outgoing use and placement rationale.</x:v>
      </x:c>
    </x:row>
    <x:row r="1096">
      <x:c r="A1096" s="27" t="str">
        <x:v>E01092</x:v>
      </x:c>
      <x:c r="B1096" s="27" t="str">
        <x:v>S14-READ-01</x:v>
      </x:c>
      <x:c r="C1096" s="27" t="str">
        <x:v>Vowel patterns and two-syllable decoding</x:v>
      </x:c>
      <x:c r="D1096" s="27" t="str">
        <x:v>VERIFIED_BY</x:v>
      </x:c>
      <x:c r="E1096" s="27" t="str">
        <x:v>S14-READ-01:EVIDENCE</x:v>
      </x:c>
      <x:c r="F1096" s="27" t="str">
        <x:v>Divides, decodes, and recombines an unfamiliar taught-pattern word accurately.</x:v>
      </x:c>
      <x:c r="G1096" s="27" t="str">
        <x:v>S14</x:v>
      </x:c>
      <x:c r="H1096" s="27" t="str">
        <x:v>Reading</x:v>
      </x:c>
      <x:c r="I1096" s="27" t="str">
        <x:v>SRC08; SRC10</x:v>
      </x:c>
      <x:c r="J1096" s="27" t="str">
        <x:v>Observable evidence of usable learning.</x:v>
      </x:c>
    </x:row>
    <x:row r="1097">
      <x:c r="A1097" s="27" t="str">
        <x:v>E01093</x:v>
      </x:c>
      <x:c r="B1097" s="27" t="str">
        <x:v>S14-READ-01</x:v>
      </x:c>
      <x:c r="C1097" s="27" t="str">
        <x:v>Previous node in domain progression</x:v>
      </x:c>
      <x:c r="D1097" s="27" t="str">
        <x:v>DOMAIN_SEQUENCE</x:v>
      </x:c>
      <x:c r="E1097" s="27" t="str">
        <x:v>S14-READ-02</x:v>
      </x:c>
      <x:c r="F1097" s="27" t="str">
        <x:v>Accuracy, rate, and prosody</x:v>
      </x:c>
      <x:c r="G1097" s="27" t="str">
        <x:v>S14</x:v>
      </x:c>
      <x:c r="H1097" s="27" t="str">
        <x:v>Reading</x:v>
      </x:c>
      <x:c r="I1097" s="27" t="str">
        <x:v>SRC08; SRC10</x:v>
      </x:c>
      <x:c r="J1097" s="27" t="str">
        <x:v>Ordered spiral link; consult explicit prerequisites for logical dependency.</x:v>
      </x:c>
    </x:row>
    <x:row r="1098">
      <x:c r="A1098" s="27" t="str">
        <x:v>E01094</x:v>
      </x:c>
      <x:c r="B1098" s="27" t="str">
        <x:v>S14-READ-02:PREREQ</x:v>
      </x:c>
      <x:c r="C1098" s="27" t="str">
        <x:v>Automatic word recognition and connected-text self-correction.</x:v>
      </x:c>
      <x:c r="D1098" s="27" t="str">
        <x:v>PREREQUISITE</x:v>
      </x:c>
      <x:c r="E1098" s="27" t="str">
        <x:v>S14-READ-02</x:v>
      </x:c>
      <x:c r="F1098" s="27" t="str">
        <x:v>Accuracy, rate, and prosody</x:v>
      </x:c>
      <x:c r="G1098" s="27" t="str">
        <x:v>S14</x:v>
      </x:c>
      <x:c r="H1098" s="27" t="str">
        <x:v>Reading</x:v>
      </x:c>
      <x:c r="I1098" s="27" t="str">
        <x:v>SRC08; SRC10</x:v>
      </x:c>
      <x:c r="J1098" s="27" t="str">
        <x:v>Incoming prerequisite relationship.</x:v>
      </x:c>
    </x:row>
    <x:row r="1099">
      <x:c r="A1099" s="27" t="str">
        <x:v>E01095</x:v>
      </x:c>
      <x:c r="B1099" s="27" t="str">
        <x:v>S14-READ-02:GROUND</x:v>
      </x:c>
      <x:c r="C1099" s="27" t="str">
        <x:v>G4/G5 — Concrete model linked to coordinated representations</x:v>
      </x:c>
      <x:c r="D1099" s="27" t="str">
        <x:v>GROUNDED_BY</x:v>
      </x:c>
      <x:c r="E1099" s="27" t="str">
        <x:v>S14-READ-02</x:v>
      </x:c>
      <x:c r="F1099" s="27" t="str">
        <x:v>Accuracy, rate, and prosody</x:v>
      </x:c>
      <x:c r="G1099" s="27" t="str">
        <x:v>S14</x:v>
      </x:c>
      <x:c r="H1099" s="27" t="str">
        <x:v>Reading</x:v>
      </x:c>
      <x:c r="I1099" s="27" t="str">
        <x:v>SRC08; SRC10</x:v>
      </x:c>
      <x:c r="J1099" s="27" t="str">
        <x:v>Grounding form used to preserve meaning.</x:v>
      </x:c>
    </x:row>
    <x:row r="1100">
      <x:c r="A1100" s="27" t="str">
        <x:v>E01096</x:v>
      </x:c>
      <x:c r="B1100" s="27" t="str">
        <x:v>S14-READ-02</x:v>
      </x:c>
      <x:c r="C1100" s="27" t="str">
        <x:v>Accuracy, rate, and prosody</x:v>
      </x:c>
      <x:c r="D1100" s="27" t="str">
        <x:v>CONNECTS_TO</x:v>
      </x:c>
      <x:c r="E1100" s="27" t="str">
        <x:v>S14-READ-02:CROSS</x:v>
      </x:c>
      <x:c r="F1100" s="27" t="str">
        <x:v>Oral language and writing; evidence in science/social studies; mathematical and technical problem interpretation; media verification.</x:v>
      </x:c>
      <x:c r="G1100" s="27" t="str">
        <x:v>S14</x:v>
      </x:c>
      <x:c r="H1100" s="27" t="str">
        <x:v>Reading</x:v>
      </x:c>
      <x:c r="I1100" s="27" t="str">
        <x:v>SRC08; SRC10</x:v>
      </x:c>
      <x:c r="J1100" s="27" t="str">
        <x:v>Parallel subject and representation links.</x:v>
      </x:c>
    </x:row>
    <x:row r="1101">
      <x:c r="A1101" s="27" t="str">
        <x:v>E01097</x:v>
      </x:c>
      <x:c r="B1101" s="27" t="str">
        <x:v>S14-READ-02</x:v>
      </x:c>
      <x:c r="C1101" s="27" t="str">
        <x:v>Accuracy, rate, and prosody</x:v>
      </x:c>
      <x:c r="D1101" s="27" t="str">
        <x:v>UNLOCKS</x:v>
      </x:c>
      <x:c r="E1101" s="27" t="str">
        <x:v>S14-READ-02:NEXT</x:v>
      </x:c>
      <x:c r="F1101" s="27" t="str">
        <x:v>Prosody reflects syntax and comprehension while fluent access supports longer text.</x:v>
      </x:c>
      <x:c r="G1101" s="27" t="str">
        <x:v>S14</x:v>
      </x:c>
      <x:c r="H1101" s="27" t="str">
        <x:v>Reading</x:v>
      </x:c>
      <x:c r="I1101" s="27" t="str">
        <x:v>SRC08; SRC10</x:v>
      </x:c>
      <x:c r="J1101" s="27" t="str">
        <x:v>Outgoing use and placement rationale.</x:v>
      </x:c>
    </x:row>
    <x:row r="1102">
      <x:c r="A1102" s="27" t="str">
        <x:v>E01098</x:v>
      </x:c>
      <x:c r="B1102" s="27" t="str">
        <x:v>S14-READ-02</x:v>
      </x:c>
      <x:c r="C1102" s="27" t="str">
        <x:v>Accuracy, rate, and prosody</x:v>
      </x:c>
      <x:c r="D1102" s="27" t="str">
        <x:v>VERIFIED_BY</x:v>
      </x:c>
      <x:c r="E1102" s="27" t="str">
        <x:v>S14-READ-02:EVIDENCE</x:v>
      </x:c>
      <x:c r="F1102" s="27" t="str">
        <x:v>Reads a new passage smoothly and explains how punctuation or meaning guided phrasing.</x:v>
      </x:c>
      <x:c r="G1102" s="27" t="str">
        <x:v>S14</x:v>
      </x:c>
      <x:c r="H1102" s="27" t="str">
        <x:v>Reading</x:v>
      </x:c>
      <x:c r="I1102" s="27" t="str">
        <x:v>SRC08; SRC10</x:v>
      </x:c>
      <x:c r="J1102" s="27" t="str">
        <x:v>Observable evidence of usable learning.</x:v>
      </x:c>
    </x:row>
    <x:row r="1103">
      <x:c r="A1103" s="27" t="str">
        <x:v>E01099</x:v>
      </x:c>
      <x:c r="B1103" s="27" t="str">
        <x:v>S14-READ-02</x:v>
      </x:c>
      <x:c r="C1103" s="27" t="str">
        <x:v>Previous node in domain progression</x:v>
      </x:c>
      <x:c r="D1103" s="27" t="str">
        <x:v>DOMAIN_SEQUENCE</x:v>
      </x:c>
      <x:c r="E1103" s="27" t="str">
        <x:v>S14-READ-03</x:v>
      </x:c>
      <x:c r="F1103" s="27" t="str">
        <x:v>Main idea, structure, and inference</x:v>
      </x:c>
      <x:c r="G1103" s="27" t="str">
        <x:v>S14</x:v>
      </x:c>
      <x:c r="H1103" s="27" t="str">
        <x:v>Reading</x:v>
      </x:c>
      <x:c r="I1103" s="27" t="str">
        <x:v>SRC10</x:v>
      </x:c>
      <x:c r="J1103" s="27" t="str">
        <x:v>Ordered spiral link; consult explicit prerequisites for logical dependency.</x:v>
      </x:c>
    </x:row>
    <x:row r="1104">
      <x:c r="A1104" s="27" t="str">
        <x:v>E01100</x:v>
      </x:c>
      <x:c r="B1104" s="27" t="str">
        <x:v>S14-READ-03:PREREQ</x:v>
      </x:c>
      <x:c r="C1104" s="27" t="str">
        <x:v>Grade 1 evidence-based retell, vocabulary, and fluency.</x:v>
      </x:c>
      <x:c r="D1104" s="27" t="str">
        <x:v>PREREQUISITE</x:v>
      </x:c>
      <x:c r="E1104" s="27" t="str">
        <x:v>S14-READ-03</x:v>
      </x:c>
      <x:c r="F1104" s="27" t="str">
        <x:v>Main idea, structure, and inference</x:v>
      </x:c>
      <x:c r="G1104" s="27" t="str">
        <x:v>S14</x:v>
      </x:c>
      <x:c r="H1104" s="27" t="str">
        <x:v>Reading</x:v>
      </x:c>
      <x:c r="I1104" s="27" t="str">
        <x:v>SRC10</x:v>
      </x:c>
      <x:c r="J1104" s="27" t="str">
        <x:v>Incoming prerequisite relationship.</x:v>
      </x:c>
    </x:row>
    <x:row r="1105">
      <x:c r="A1105" s="27" t="str">
        <x:v>E01101</x:v>
      </x:c>
      <x:c r="B1105" s="27" t="str">
        <x:v>S14-READ-03:GROUND</x:v>
      </x:c>
      <x:c r="C1105" s="27" t="str">
        <x:v>G4/G5 — Concrete model linked to coordinated representations</x:v>
      </x:c>
      <x:c r="D1105" s="27" t="str">
        <x:v>GROUNDED_BY</x:v>
      </x:c>
      <x:c r="E1105" s="27" t="str">
        <x:v>S14-READ-03</x:v>
      </x:c>
      <x:c r="F1105" s="27" t="str">
        <x:v>Main idea, structure, and inference</x:v>
      </x:c>
      <x:c r="G1105" s="27" t="str">
        <x:v>S14</x:v>
      </x:c>
      <x:c r="H1105" s="27" t="str">
        <x:v>Reading</x:v>
      </x:c>
      <x:c r="I1105" s="27" t="str">
        <x:v>SRC10</x:v>
      </x:c>
      <x:c r="J1105" s="27" t="str">
        <x:v>Grounding form used to preserve meaning.</x:v>
      </x:c>
    </x:row>
    <x:row r="1106">
      <x:c r="A1106" s="27" t="str">
        <x:v>E01102</x:v>
      </x:c>
      <x:c r="B1106" s="27" t="str">
        <x:v>S14-READ-03</x:v>
      </x:c>
      <x:c r="C1106" s="27" t="str">
        <x:v>Main idea, structure, and inference</x:v>
      </x:c>
      <x:c r="D1106" s="27" t="str">
        <x:v>CONNECTS_TO</x:v>
      </x:c>
      <x:c r="E1106" s="27" t="str">
        <x:v>S14-READ-03:CROSS</x:v>
      </x:c>
      <x:c r="F1106" s="27" t="str">
        <x:v>Oral language and writing; evidence in science/social studies; mathematical and technical problem interpretation; media verification.</x:v>
      </x:c>
      <x:c r="G1106" s="27" t="str">
        <x:v>S14</x:v>
      </x:c>
      <x:c r="H1106" s="27" t="str">
        <x:v>Reading</x:v>
      </x:c>
      <x:c r="I1106" s="27" t="str">
        <x:v>SRC10</x:v>
      </x:c>
      <x:c r="J1106" s="27" t="str">
        <x:v>Parallel subject and representation links.</x:v>
      </x:c>
    </x:row>
    <x:row r="1107">
      <x:c r="A1107" s="27" t="str">
        <x:v>E01103</x:v>
      </x:c>
      <x:c r="B1107" s="27" t="str">
        <x:v>S14-READ-03</x:v>
      </x:c>
      <x:c r="C1107" s="27" t="str">
        <x:v>Main idea, structure, and inference</x:v>
      </x:c>
      <x:c r="D1107" s="27" t="str">
        <x:v>UNLOCKS</x:v>
      </x:c>
      <x:c r="E1107" s="27" t="str">
        <x:v>S14-READ-03:NEXT</x:v>
      </x:c>
      <x:c r="F1107" s="27" t="str">
        <x:v>Structure and inference move comprehension beyond recall.</x:v>
      </x:c>
      <x:c r="G1107" s="27" t="str">
        <x:v>S14</x:v>
      </x:c>
      <x:c r="H1107" s="27" t="str">
        <x:v>Reading</x:v>
      </x:c>
      <x:c r="I1107" s="27" t="str">
        <x:v>SRC10</x:v>
      </x:c>
      <x:c r="J1107" s="27" t="str">
        <x:v>Outgoing use and placement rationale.</x:v>
      </x:c>
    </x:row>
    <x:row r="1108">
      <x:c r="A1108" s="27" t="str">
        <x:v>E01104</x:v>
      </x:c>
      <x:c r="B1108" s="27" t="str">
        <x:v>S14-READ-03</x:v>
      </x:c>
      <x:c r="C1108" s="27" t="str">
        <x:v>Main idea, structure, and inference</x:v>
      </x:c>
      <x:c r="D1108" s="27" t="str">
        <x:v>VERIFIED_BY</x:v>
      </x:c>
      <x:c r="E1108" s="27" t="str">
        <x:v>S14-READ-03:EVIDENCE</x:v>
      </x:c>
      <x:c r="F1108" s="27" t="str">
        <x:v>States an inference and points to details that make it reasonable.</x:v>
      </x:c>
      <x:c r="G1108" s="27" t="str">
        <x:v>S14</x:v>
      </x:c>
      <x:c r="H1108" s="27" t="str">
        <x:v>Reading</x:v>
      </x:c>
      <x:c r="I1108" s="27" t="str">
        <x:v>SRC10</x:v>
      </x:c>
      <x:c r="J1108" s="27" t="str">
        <x:v>Observable evidence of usable learning.</x:v>
      </x:c>
    </x:row>
    <x:row r="1109">
      <x:c r="A1109" s="27" t="str">
        <x:v>E01105</x:v>
      </x:c>
      <x:c r="B1109" s="27" t="str">
        <x:v>S14-READ-03</x:v>
      </x:c>
      <x:c r="C1109" s="27" t="str">
        <x:v>Previous node in domain progression</x:v>
      </x:c>
      <x:c r="D1109" s="27" t="str">
        <x:v>DOMAIN_SEQUENCE</x:v>
      </x:c>
      <x:c r="E1109" s="27" t="str">
        <x:v>S14-READ-04</x:v>
      </x:c>
      <x:c r="F1109" s="27" t="str">
        <x:v>Compare two texts on one topic</x:v>
      </x:c>
      <x:c r="G1109" s="27" t="str">
        <x:v>S14</x:v>
      </x:c>
      <x:c r="H1109" s="27" t="str">
        <x:v>Reading</x:v>
      </x:c>
      <x:c r="I1109" s="27" t="str">
        <x:v>SRC10; SRC20</x:v>
      </x:c>
      <x:c r="J1109" s="27" t="str">
        <x:v>Ordered spiral link; consult explicit prerequisites for logical dependency.</x:v>
      </x:c>
    </x:row>
    <x:row r="1110">
      <x:c r="A1110" s="27" t="str">
        <x:v>E01106</x:v>
      </x:c>
      <x:c r="B1110" s="27" t="str">
        <x:v>S14-READ-04:PREREQ</x:v>
      </x:c>
      <x:c r="C1110" s="27" t="str">
        <x:v>Main idea, evidence, and creator/purpose awareness.</x:v>
      </x:c>
      <x:c r="D1110" s="27" t="str">
        <x:v>PREREQUISITE</x:v>
      </x:c>
      <x:c r="E1110" s="27" t="str">
        <x:v>S14-READ-04</x:v>
      </x:c>
      <x:c r="F1110" s="27" t="str">
        <x:v>Compare two texts on one topic</x:v>
      </x:c>
      <x:c r="G1110" s="27" t="str">
        <x:v>S14</x:v>
      </x:c>
      <x:c r="H1110" s="27" t="str">
        <x:v>Reading</x:v>
      </x:c>
      <x:c r="I1110" s="27" t="str">
        <x:v>SRC10; SRC20</x:v>
      </x:c>
      <x:c r="J1110" s="27" t="str">
        <x:v>Incoming prerequisite relationship.</x:v>
      </x:c>
    </x:row>
    <x:row r="1111">
      <x:c r="A1111" s="27" t="str">
        <x:v>E01107</x:v>
      </x:c>
      <x:c r="B1111" s="27" t="str">
        <x:v>S14-READ-04:GROUND</x:v>
      </x:c>
      <x:c r="C1111" s="27" t="str">
        <x:v>G4/G5 — Concrete model linked to coordinated representations</x:v>
      </x:c>
      <x:c r="D1111" s="27" t="str">
        <x:v>GROUNDED_BY</x:v>
      </x:c>
      <x:c r="E1111" s="27" t="str">
        <x:v>S14-READ-04</x:v>
      </x:c>
      <x:c r="F1111" s="27" t="str">
        <x:v>Compare two texts on one topic</x:v>
      </x:c>
      <x:c r="G1111" s="27" t="str">
        <x:v>S14</x:v>
      </x:c>
      <x:c r="H1111" s="27" t="str">
        <x:v>Reading</x:v>
      </x:c>
      <x:c r="I1111" s="27" t="str">
        <x:v>SRC10; SRC20</x:v>
      </x:c>
      <x:c r="J1111" s="27" t="str">
        <x:v>Grounding form used to preserve meaning.</x:v>
      </x:c>
    </x:row>
    <x:row r="1112">
      <x:c r="A1112" s="27" t="str">
        <x:v>E01108</x:v>
      </x:c>
      <x:c r="B1112" s="27" t="str">
        <x:v>S14-READ-04</x:v>
      </x:c>
      <x:c r="C1112" s="27" t="str">
        <x:v>Compare two texts on one topic</x:v>
      </x:c>
      <x:c r="D1112" s="27" t="str">
        <x:v>CONNECTS_TO</x:v>
      </x:c>
      <x:c r="E1112" s="27" t="str">
        <x:v>S14-READ-04:CROSS</x:v>
      </x:c>
      <x:c r="F1112" s="27" t="str">
        <x:v>Oral language and writing; evidence in science/social studies; mathematical and technical problem interpretation; media verification.</x:v>
      </x:c>
      <x:c r="G1112" s="27" t="str">
        <x:v>S14</x:v>
      </x:c>
      <x:c r="H1112" s="27" t="str">
        <x:v>Reading</x:v>
      </x:c>
      <x:c r="I1112" s="27" t="str">
        <x:v>SRC10; SRC20</x:v>
      </x:c>
      <x:c r="J1112" s="27" t="str">
        <x:v>Parallel subject and representation links.</x:v>
      </x:c>
    </x:row>
    <x:row r="1113">
      <x:c r="A1113" s="27" t="str">
        <x:v>E01109</x:v>
      </x:c>
      <x:c r="B1113" s="27" t="str">
        <x:v>S14-READ-04</x:v>
      </x:c>
      <x:c r="C1113" s="27" t="str">
        <x:v>Compare two texts on one topic</x:v>
      </x:c>
      <x:c r="D1113" s="27" t="str">
        <x:v>UNLOCKS</x:v>
      </x:c>
      <x:c r="E1113" s="27" t="str">
        <x:v>S14-READ-04:NEXT</x:v>
      </x:c>
      <x:c r="F1113" s="27" t="str">
        <x:v>Cross-text comparison is the base for research synthesis and source evaluation.</x:v>
      </x:c>
      <x:c r="G1113" s="27" t="str">
        <x:v>S14</x:v>
      </x:c>
      <x:c r="H1113" s="27" t="str">
        <x:v>Reading</x:v>
      </x:c>
      <x:c r="I1113" s="27" t="str">
        <x:v>SRC10; SRC20</x:v>
      </x:c>
      <x:c r="J1113" s="27" t="str">
        <x:v>Outgoing use and placement rationale.</x:v>
      </x:c>
    </x:row>
    <x:row r="1114">
      <x:c r="A1114" s="27" t="str">
        <x:v>E01110</x:v>
      </x:c>
      <x:c r="B1114" s="27" t="str">
        <x:v>S14-READ-04</x:v>
      </x:c>
      <x:c r="C1114" s="27" t="str">
        <x:v>Compare two texts on one topic</x:v>
      </x:c>
      <x:c r="D1114" s="27" t="str">
        <x:v>VERIFIED_BY</x:v>
      </x:c>
      <x:c r="E1114" s="27" t="str">
        <x:v>S14-READ-04:EVIDENCE</x:v>
      </x:c>
      <x:c r="F1114" s="27" t="str">
        <x:v>Completes a comparison using details from both texts.</x:v>
      </x:c>
      <x:c r="G1114" s="27" t="str">
        <x:v>S14</x:v>
      </x:c>
      <x:c r="H1114" s="27" t="str">
        <x:v>Reading</x:v>
      </x:c>
      <x:c r="I1114" s="27" t="str">
        <x:v>SRC10; SRC20</x:v>
      </x:c>
      <x:c r="J1114" s="27" t="str">
        <x:v>Observable evidence of usable learning.</x:v>
      </x:c>
    </x:row>
    <x:row r="1115">
      <x:c r="A1115" s="27" t="str">
        <x:v>E01111</x:v>
      </x:c>
      <x:c r="B1115" s="27" t="str">
        <x:v>S13-WRITE-03</x:v>
      </x:c>
      <x:c r="C1115" s="27" t="str">
        <x:v>Previous node in domain progression</x:v>
      </x:c>
      <x:c r="D1115" s="27" t="str">
        <x:v>DOMAIN_SEQUENCE</x:v>
      </x:c>
      <x:c r="E1115" s="27" t="str">
        <x:v>S14-WRITE-01</x:v>
      </x:c>
      <x:c r="F1115" s="27" t="str">
        <x:v>Topic, details, and closure</x:v>
      </x:c>
      <x:c r="G1115" s="27" t="str">
        <x:v>S14</x:v>
      </x:c>
      <x:c r="H1115" s="27" t="str">
        <x:v>Writing &amp; Language</x:v>
      </x:c>
      <x:c r="I1115" s="27" t="str">
        <x:v>SRC10; SRC21</x:v>
      </x:c>
      <x:c r="J1115" s="27" t="str">
        <x:v>Ordered spiral link; consult explicit prerequisites for logical dependency.</x:v>
      </x:c>
    </x:row>
    <x:row r="1116">
      <x:c r="A1116" s="27" t="str">
        <x:v>E01112</x:v>
      </x:c>
      <x:c r="B1116" s="27" t="str">
        <x:v>S14-WRITE-01:PREREQ</x:v>
      </x:c>
      <x:c r="C1116" s="27" t="str">
        <x:v>Connected genre writing and sentence conjunctions.</x:v>
      </x:c>
      <x:c r="D1116" s="27" t="str">
        <x:v>PREREQUISITE</x:v>
      </x:c>
      <x:c r="E1116" s="27" t="str">
        <x:v>S14-WRITE-01</x:v>
      </x:c>
      <x:c r="F1116" s="27" t="str">
        <x:v>Topic, details, and closure</x:v>
      </x:c>
      <x:c r="G1116" s="27" t="str">
        <x:v>S14</x:v>
      </x:c>
      <x:c r="H1116" s="27" t="str">
        <x:v>Writing &amp; Language</x:v>
      </x:c>
      <x:c r="I1116" s="27" t="str">
        <x:v>SRC10; SRC21</x:v>
      </x:c>
      <x:c r="J1116" s="27" t="str">
        <x:v>Incoming prerequisite relationship.</x:v>
      </x:c>
    </x:row>
    <x:row r="1117">
      <x:c r="A1117" s="27" t="str">
        <x:v>E01113</x:v>
      </x:c>
      <x:c r="B1117" s="27" t="str">
        <x:v>S14-WRITE-01:GROUND</x:v>
      </x:c>
      <x:c r="C1117" s="27" t="str">
        <x:v>G4/G5 — Concrete model linked to coordinated representations</x:v>
      </x:c>
      <x:c r="D1117" s="27" t="str">
        <x:v>GROUNDED_BY</x:v>
      </x:c>
      <x:c r="E1117" s="27" t="str">
        <x:v>S14-WRITE-01</x:v>
      </x:c>
      <x:c r="F1117" s="27" t="str">
        <x:v>Topic, details, and closure</x:v>
      </x:c>
      <x:c r="G1117" s="27" t="str">
        <x:v>S14</x:v>
      </x:c>
      <x:c r="H1117" s="27" t="str">
        <x:v>Writing &amp; Language</x:v>
      </x:c>
      <x:c r="I1117" s="27" t="str">
        <x:v>SRC10; SRC21</x:v>
      </x:c>
      <x:c r="J1117" s="27" t="str">
        <x:v>Grounding form used to preserve meaning.</x:v>
      </x:c>
    </x:row>
    <x:row r="1118">
      <x:c r="A1118" s="27" t="str">
        <x:v>E01114</x:v>
      </x:c>
      <x:c r="B1118" s="27" t="str">
        <x:v>S14-WRITE-01</x:v>
      </x:c>
      <x:c r="C1118" s="27" t="str">
        <x:v>Topic, details, and closure</x:v>
      </x:c>
      <x:c r="D1118" s="27" t="str">
        <x:v>CONNECTS_TO</x:v>
      </x:c>
      <x:c r="E1118" s="27" t="str">
        <x:v>S14-WRITE-01:CROSS</x:v>
      </x:c>
      <x:c r="F1118" s="27" t="str">
        <x:v>Reading models; evidence from science/social studies; mathematical explanation; research, media, and presentation.</x:v>
      </x:c>
      <x:c r="G1118" s="27" t="str">
        <x:v>S14</x:v>
      </x:c>
      <x:c r="H1118" s="27" t="str">
        <x:v>Writing &amp; Language</x:v>
      </x:c>
      <x:c r="I1118" s="27" t="str">
        <x:v>SRC10; SRC21</x:v>
      </x:c>
      <x:c r="J1118" s="27" t="str">
        <x:v>Parallel subject and representation links.</x:v>
      </x:c>
    </x:row>
    <x:row r="1119">
      <x:c r="A1119" s="27" t="str">
        <x:v>E01115</x:v>
      </x:c>
      <x:c r="B1119" s="27" t="str">
        <x:v>S14-WRITE-01</x:v>
      </x:c>
      <x:c r="C1119" s="27" t="str">
        <x:v>Topic, details, and closure</x:v>
      </x:c>
      <x:c r="D1119" s="27" t="str">
        <x:v>UNLOCKS</x:v>
      </x:c>
      <x:c r="E1119" s="27" t="str">
        <x:v>S14-WRITE-01:NEXT</x:v>
      </x:c>
      <x:c r="F1119" s="27" t="str">
        <x:v>A paragraph packages one idea for longer composition.</x:v>
      </x:c>
      <x:c r="G1119" s="27" t="str">
        <x:v>S14</x:v>
      </x:c>
      <x:c r="H1119" s="27" t="str">
        <x:v>Writing &amp; Language</x:v>
      </x:c>
      <x:c r="I1119" s="27" t="str">
        <x:v>SRC10; SRC21</x:v>
      </x:c>
      <x:c r="J1119" s="27" t="str">
        <x:v>Outgoing use and placement rationale.</x:v>
      </x:c>
    </x:row>
    <x:row r="1120">
      <x:c r="A1120" s="27" t="str">
        <x:v>E01116</x:v>
      </x:c>
      <x:c r="B1120" s="27" t="str">
        <x:v>S14-WRITE-01</x:v>
      </x:c>
      <x:c r="C1120" s="27" t="str">
        <x:v>Topic, details, and closure</x:v>
      </x:c>
      <x:c r="D1120" s="27" t="str">
        <x:v>VERIFIED_BY</x:v>
      </x:c>
      <x:c r="E1120" s="27" t="str">
        <x:v>S14-WRITE-01:EVIDENCE</x:v>
      </x:c>
      <x:c r="F1120" s="27" t="str">
        <x:v>Writes a focused paragraph in which every detail supports the topic.</x:v>
      </x:c>
      <x:c r="G1120" s="27" t="str">
        <x:v>S14</x:v>
      </x:c>
      <x:c r="H1120" s="27" t="str">
        <x:v>Writing &amp; Language</x:v>
      </x:c>
      <x:c r="I1120" s="27" t="str">
        <x:v>SRC10; SRC21</x:v>
      </x:c>
      <x:c r="J1120" s="27" t="str">
        <x:v>Observable evidence of usable learning.</x:v>
      </x:c>
    </x:row>
    <x:row r="1121">
      <x:c r="A1121" s="27" t="str">
        <x:v>E01117</x:v>
      </x:c>
      <x:c r="B1121" s="27" t="str">
        <x:v>S14-WRITE-01</x:v>
      </x:c>
      <x:c r="C1121" s="27" t="str">
        <x:v>Previous node in domain progression</x:v>
      </x:c>
      <x:c r="D1121" s="27" t="str">
        <x:v>DOMAIN_SEQUENCE</x:v>
      </x:c>
      <x:c r="E1121" s="27" t="str">
        <x:v>S14-WRITE-02</x:v>
      </x:c>
      <x:c r="F1121" s="27" t="str">
        <x:v>Add, remove, reorder, and correct</x:v>
      </x:c>
      <x:c r="G1121" s="27" t="str">
        <x:v>S14</x:v>
      </x:c>
      <x:c r="H1121" s="27" t="str">
        <x:v>Writing &amp; Language</x:v>
      </x:c>
      <x:c r="I1121" s="27" t="str">
        <x:v>SRC10; SRC21</x:v>
      </x:c>
      <x:c r="J1121" s="27" t="str">
        <x:v>Ordered spiral link; consult explicit prerequisites for logical dependency.</x:v>
      </x:c>
    </x:row>
    <x:row r="1122">
      <x:c r="A1122" s="27" t="str">
        <x:v>E01118</x:v>
      </x:c>
      <x:c r="B1122" s="27" t="str">
        <x:v>S14-WRITE-02:PREREQ</x:v>
      </x:c>
      <x:c r="C1122" s="27" t="str">
        <x:v>Paragraph structure, audience clarification, and worked-example comparison.</x:v>
      </x:c>
      <x:c r="D1122" s="27" t="str">
        <x:v>PREREQUISITE</x:v>
      </x:c>
      <x:c r="E1122" s="27" t="str">
        <x:v>S14-WRITE-02</x:v>
      </x:c>
      <x:c r="F1122" s="27" t="str">
        <x:v>Add, remove, reorder, and correct</x:v>
      </x:c>
      <x:c r="G1122" s="27" t="str">
        <x:v>S14</x:v>
      </x:c>
      <x:c r="H1122" s="27" t="str">
        <x:v>Writing &amp; Language</x:v>
      </x:c>
      <x:c r="I1122" s="27" t="str">
        <x:v>SRC10; SRC21</x:v>
      </x:c>
      <x:c r="J1122" s="27" t="str">
        <x:v>Incoming prerequisite relationship.</x:v>
      </x:c>
    </x:row>
    <x:row r="1123">
      <x:c r="A1123" s="27" t="str">
        <x:v>E01119</x:v>
      </x:c>
      <x:c r="B1123" s="27" t="str">
        <x:v>S14-WRITE-02:GROUND</x:v>
      </x:c>
      <x:c r="C1123" s="27" t="str">
        <x:v>G4/G5 — Concrete model linked to coordinated representations</x:v>
      </x:c>
      <x:c r="D1123" s="27" t="str">
        <x:v>GROUNDED_BY</x:v>
      </x:c>
      <x:c r="E1123" s="27" t="str">
        <x:v>S14-WRITE-02</x:v>
      </x:c>
      <x:c r="F1123" s="27" t="str">
        <x:v>Add, remove, reorder, and correct</x:v>
      </x:c>
      <x:c r="G1123" s="27" t="str">
        <x:v>S14</x:v>
      </x:c>
      <x:c r="H1123" s="27" t="str">
        <x:v>Writing &amp; Language</x:v>
      </x:c>
      <x:c r="I1123" s="27" t="str">
        <x:v>SRC10; SRC21</x:v>
      </x:c>
      <x:c r="J1123" s="27" t="str">
        <x:v>Grounding form used to preserve meaning.</x:v>
      </x:c>
    </x:row>
    <x:row r="1124">
      <x:c r="A1124" s="27" t="str">
        <x:v>E01120</x:v>
      </x:c>
      <x:c r="B1124" s="27" t="str">
        <x:v>S14-WRITE-02</x:v>
      </x:c>
      <x:c r="C1124" s="27" t="str">
        <x:v>Add, remove, reorder, and correct</x:v>
      </x:c>
      <x:c r="D1124" s="27" t="str">
        <x:v>CONNECTS_TO</x:v>
      </x:c>
      <x:c r="E1124" s="27" t="str">
        <x:v>S14-WRITE-02:CROSS</x:v>
      </x:c>
      <x:c r="F1124" s="27" t="str">
        <x:v>Reading models; evidence from science/social studies; mathematical explanation; research, media, and presentation.</x:v>
      </x:c>
      <x:c r="G1124" s="27" t="str">
        <x:v>S14</x:v>
      </x:c>
      <x:c r="H1124" s="27" t="str">
        <x:v>Writing &amp; Language</x:v>
      </x:c>
      <x:c r="I1124" s="27" t="str">
        <x:v>SRC10; SRC21</x:v>
      </x:c>
      <x:c r="J1124" s="27" t="str">
        <x:v>Parallel subject and representation links.</x:v>
      </x:c>
    </x:row>
    <x:row r="1125">
      <x:c r="A1125" s="27" t="str">
        <x:v>E01121</x:v>
      </x:c>
      <x:c r="B1125" s="27" t="str">
        <x:v>S14-WRITE-02</x:v>
      </x:c>
      <x:c r="C1125" s="27" t="str">
        <x:v>Add, remove, reorder, and correct</x:v>
      </x:c>
      <x:c r="D1125" s="27" t="str">
        <x:v>UNLOCKS</x:v>
      </x:c>
      <x:c r="E1125" s="27" t="str">
        <x:v>S14-WRITE-02:NEXT</x:v>
      </x:c>
      <x:c r="F1125" s="27" t="str">
        <x:v>Separating revision from editing establishes a repeatable writing process.</x:v>
      </x:c>
      <x:c r="G1125" s="27" t="str">
        <x:v>S14</x:v>
      </x:c>
      <x:c r="H1125" s="27" t="str">
        <x:v>Writing &amp; Language</x:v>
      </x:c>
      <x:c r="I1125" s="27" t="str">
        <x:v>SRC10; SRC21</x:v>
      </x:c>
      <x:c r="J1125" s="27" t="str">
        <x:v>Outgoing use and placement rationale.</x:v>
      </x:c>
    </x:row>
    <x:row r="1126">
      <x:c r="A1126" s="27" t="str">
        <x:v>E01122</x:v>
      </x:c>
      <x:c r="B1126" s="27" t="str">
        <x:v>S14-WRITE-02</x:v>
      </x:c>
      <x:c r="C1126" s="27" t="str">
        <x:v>Add, remove, reorder, and correct</x:v>
      </x:c>
      <x:c r="D1126" s="27" t="str">
        <x:v>VERIFIED_BY</x:v>
      </x:c>
      <x:c r="E1126" s="27" t="str">
        <x:v>S14-WRITE-02:EVIDENCE</x:v>
      </x:c>
      <x:c r="F1126" s="27" t="str">
        <x:v>Makes at least one meaning-level revision and one convention correction and explains each.</x:v>
      </x:c>
      <x:c r="G1126" s="27" t="str">
        <x:v>S14</x:v>
      </x:c>
      <x:c r="H1126" s="27" t="str">
        <x:v>Writing &amp; Language</x:v>
      </x:c>
      <x:c r="I1126" s="27" t="str">
        <x:v>SRC10; SRC21</x:v>
      </x:c>
      <x:c r="J1126" s="27" t="str">
        <x:v>Observable evidence of usable learning.</x:v>
      </x:c>
    </x:row>
    <x:row r="1127">
      <x:c r="A1127" s="27" t="str">
        <x:v>E01123</x:v>
      </x:c>
      <x:c r="B1127" s="27" t="str">
        <x:v>S14-WRITE-02</x:v>
      </x:c>
      <x:c r="C1127" s="27" t="str">
        <x:v>Previous node in domain progression</x:v>
      </x:c>
      <x:c r="D1127" s="27" t="str">
        <x:v>DOMAIN_SEQUENCE</x:v>
      </x:c>
      <x:c r="E1127" s="27" t="str">
        <x:v>S14-WRITE-03</x:v>
      </x:c>
      <x:c r="F1127" s="27" t="str">
        <x:v>Shared short research project</x:v>
      </x:c>
      <x:c r="G1127" s="27" t="str">
        <x:v>S14</x:v>
      </x:c>
      <x:c r="H1127" s="27" t="str">
        <x:v>Writing &amp; Language</x:v>
      </x:c>
      <x:c r="I1127" s="27" t="str">
        <x:v>SRC10; SRC21</x:v>
      </x:c>
      <x:c r="J1127" s="27" t="str">
        <x:v>Ordered spiral link; consult explicit prerequisites for logical dependency.</x:v>
      </x:c>
    </x:row>
    <x:row r="1128">
      <x:c r="A1128" s="27" t="str">
        <x:v>E01124</x:v>
      </x:c>
      <x:c r="B1128" s="27" t="str">
        <x:v>S14-WRITE-03:PREREQ</x:v>
      </x:c>
      <x:c r="C1128" s="27" t="str">
        <x:v>Text comparison, paragraph writing, and collaboration.</x:v>
      </x:c>
      <x:c r="D1128" s="27" t="str">
        <x:v>PREREQUISITE</x:v>
      </x:c>
      <x:c r="E1128" s="27" t="str">
        <x:v>S14-WRITE-03</x:v>
      </x:c>
      <x:c r="F1128" s="27" t="str">
        <x:v>Shared short research project</x:v>
      </x:c>
      <x:c r="G1128" s="27" t="str">
        <x:v>S14</x:v>
      </x:c>
      <x:c r="H1128" s="27" t="str">
        <x:v>Writing &amp; Language</x:v>
      </x:c>
      <x:c r="I1128" s="27" t="str">
        <x:v>SRC10; SRC21</x:v>
      </x:c>
      <x:c r="J1128" s="27" t="str">
        <x:v>Incoming prerequisite relationship.</x:v>
      </x:c>
    </x:row>
    <x:row r="1129">
      <x:c r="A1129" s="27" t="str">
        <x:v>E01125</x:v>
      </x:c>
      <x:c r="B1129" s="27" t="str">
        <x:v>S14-WRITE-03:GROUND</x:v>
      </x:c>
      <x:c r="C1129" s="27" t="str">
        <x:v>G4/G5 — Concrete model linked to coordinated representations</x:v>
      </x:c>
      <x:c r="D1129" s="27" t="str">
        <x:v>GROUNDED_BY</x:v>
      </x:c>
      <x:c r="E1129" s="27" t="str">
        <x:v>S14-WRITE-03</x:v>
      </x:c>
      <x:c r="F1129" s="27" t="str">
        <x:v>Shared short research project</x:v>
      </x:c>
      <x:c r="G1129" s="27" t="str">
        <x:v>S14</x:v>
      </x:c>
      <x:c r="H1129" s="27" t="str">
        <x:v>Writing &amp; Language</x:v>
      </x:c>
      <x:c r="I1129" s="27" t="str">
        <x:v>SRC10; SRC21</x:v>
      </x:c>
      <x:c r="J1129" s="27" t="str">
        <x:v>Grounding form used to preserve meaning.</x:v>
      </x:c>
    </x:row>
    <x:row r="1130">
      <x:c r="A1130" s="27" t="str">
        <x:v>E01126</x:v>
      </x:c>
      <x:c r="B1130" s="27" t="str">
        <x:v>S14-WRITE-03</x:v>
      </x:c>
      <x:c r="C1130" s="27" t="str">
        <x:v>Shared short research project</x:v>
      </x:c>
      <x:c r="D1130" s="27" t="str">
        <x:v>CONNECTS_TO</x:v>
      </x:c>
      <x:c r="E1130" s="27" t="str">
        <x:v>S14-WRITE-03:CROSS</x:v>
      </x:c>
      <x:c r="F1130" s="27" t="str">
        <x:v>Reading models; evidence from science/social studies; mathematical explanation; research, media, and presentation.</x:v>
      </x:c>
      <x:c r="G1130" s="27" t="str">
        <x:v>S14</x:v>
      </x:c>
      <x:c r="H1130" s="27" t="str">
        <x:v>Writing &amp; Language</x:v>
      </x:c>
      <x:c r="I1130" s="27" t="str">
        <x:v>SRC10; SRC21</x:v>
      </x:c>
      <x:c r="J1130" s="27" t="str">
        <x:v>Parallel subject and representation links.</x:v>
      </x:c>
    </x:row>
    <x:row r="1131">
      <x:c r="A1131" s="27" t="str">
        <x:v>E01127</x:v>
      </x:c>
      <x:c r="B1131" s="27" t="str">
        <x:v>S14-WRITE-03</x:v>
      </x:c>
      <x:c r="C1131" s="27" t="str">
        <x:v>Shared short research project</x:v>
      </x:c>
      <x:c r="D1131" s="27" t="str">
        <x:v>UNLOCKS</x:v>
      </x:c>
      <x:c r="E1131" s="27" t="str">
        <x:v>S14-WRITE-03:NEXT</x:v>
      </x:c>
      <x:c r="F1131" s="27" t="str">
        <x:v>Research integrates reading, source tracking, note organization, and composition.</x:v>
      </x:c>
      <x:c r="G1131" s="27" t="str">
        <x:v>S14</x:v>
      </x:c>
      <x:c r="H1131" s="27" t="str">
        <x:v>Writing &amp; Language</x:v>
      </x:c>
      <x:c r="I1131" s="27" t="str">
        <x:v>SRC10; SRC21</x:v>
      </x:c>
      <x:c r="J1131" s="27" t="str">
        <x:v>Outgoing use and placement rationale.</x:v>
      </x:c>
    </x:row>
    <x:row r="1132">
      <x:c r="A1132" s="27" t="str">
        <x:v>E01128</x:v>
      </x:c>
      <x:c r="B1132" s="27" t="str">
        <x:v>S14-WRITE-03</x:v>
      </x:c>
      <x:c r="C1132" s="27" t="str">
        <x:v>Shared short research project</x:v>
      </x:c>
      <x:c r="D1132" s="27" t="str">
        <x:v>VERIFIED_BY</x:v>
      </x:c>
      <x:c r="E1132" s="27" t="str">
        <x:v>S14-WRITE-03:EVIDENCE</x:v>
      </x:c>
      <x:c r="F1132" s="27" t="str">
        <x:v>Answers the question with grouped facts traceable to the supplied sources.</x:v>
      </x:c>
      <x:c r="G1132" s="27" t="str">
        <x:v>S14</x:v>
      </x:c>
      <x:c r="H1132" s="27" t="str">
        <x:v>Writing &amp; Language</x:v>
      </x:c>
      <x:c r="I1132" s="27" t="str">
        <x:v>SRC10; SRC21</x:v>
      </x:c>
      <x:c r="J1132" s="27" t="str">
        <x:v>Observable evidence of usable learning.</x:v>
      </x:c>
    </x:row>
    <x:row r="1133">
      <x:c r="A1133" s="27" t="str">
        <x:v>E01129</x:v>
      </x:c>
      <x:c r="B1133" s="27" t="str">
        <x:v>S13-MATH-06</x:v>
      </x:c>
      <x:c r="C1133" s="27" t="str">
        <x:v>Previous node in domain progression</x:v>
      </x:c>
      <x:c r="D1133" s="27" t="str">
        <x:v>DOMAIN_SEQUENCE</x:v>
      </x:c>
      <x:c r="E1133" s="27" t="str">
        <x:v>S14-MATH-01</x:v>
      </x:c>
      <x:c r="F1133" s="27" t="str">
        <x:v>Numbers to 1,000</x:v>
      </x:c>
      <x:c r="G1133" s="27" t="str">
        <x:v>S14</x:v>
      </x:c>
      <x:c r="H1133" s="27" t="str">
        <x:v>Mathematics</x:v>
      </x:c>
      <x:c r="I1133" s="27" t="str">
        <x:v>SRC09</x:v>
      </x:c>
      <x:c r="J1133" s="27" t="str">
        <x:v>Ordered spiral link; consult explicit prerequisites for logical dependency.</x:v>
      </x:c>
    </x:row>
    <x:row r="1134">
      <x:c r="A1134" s="27" t="str">
        <x:v>E01130</x:v>
      </x:c>
      <x:c r="B1134" s="27" t="str">
        <x:v>S14-MATH-01:PREREQ</x:v>
      </x:c>
      <x:c r="C1134" s="27" t="str">
        <x:v>Tens/ones to 120 and unitizing ten.</x:v>
      </x:c>
      <x:c r="D1134" s="27" t="str">
        <x:v>PREREQUISITE</x:v>
      </x:c>
      <x:c r="E1134" s="27" t="str">
        <x:v>S14-MATH-01</x:v>
      </x:c>
      <x:c r="F1134" s="27" t="str">
        <x:v>Numbers to 1,000</x:v>
      </x:c>
      <x:c r="G1134" s="27" t="str">
        <x:v>S14</x:v>
      </x:c>
      <x:c r="H1134" s="27" t="str">
        <x:v>Mathematics</x:v>
      </x:c>
      <x:c r="I1134" s="27" t="str">
        <x:v>SRC09</x:v>
      </x:c>
      <x:c r="J1134" s="27" t="str">
        <x:v>Incoming prerequisite relationship.</x:v>
      </x:c>
    </x:row>
    <x:row r="1135">
      <x:c r="A1135" s="27" t="str">
        <x:v>E01131</x:v>
      </x:c>
      <x:c r="B1135" s="27" t="str">
        <x:v>S14-MATH-01:GROUND</x:v>
      </x:c>
      <x:c r="C1135" s="27" t="str">
        <x:v>G4/G5 — Concrete model linked to coordinated representations</x:v>
      </x:c>
      <x:c r="D1135" s="27" t="str">
        <x:v>GROUNDED_BY</x:v>
      </x:c>
      <x:c r="E1135" s="27" t="str">
        <x:v>S14-MATH-01</x:v>
      </x:c>
      <x:c r="F1135" s="27" t="str">
        <x:v>Numbers to 1,000</x:v>
      </x:c>
      <x:c r="G1135" s="27" t="str">
        <x:v>S14</x:v>
      </x:c>
      <x:c r="H1135" s="27" t="str">
        <x:v>Mathematics</x:v>
      </x:c>
      <x:c r="I1135" s="27" t="str">
        <x:v>SRC09</x:v>
      </x:c>
      <x:c r="J1135" s="27" t="str">
        <x:v>Grounding form used to preserve meaning.</x:v>
      </x:c>
    </x:row>
    <x:row r="1136">
      <x:c r="A1136" s="27" t="str">
        <x:v>E01132</x:v>
      </x:c>
      <x:c r="B1136" s="27" t="str">
        <x:v>S14-MATH-01</x:v>
      </x:c>
      <x:c r="C1136" s="27" t="str">
        <x:v>Numbers to 1,000</x:v>
      </x:c>
      <x:c r="D1136" s="27" t="str">
        <x:v>CONNECTS_TO</x:v>
      </x:c>
      <x:c r="E1136" s="27" t="str">
        <x:v>S14-MATH-01:CROSS</x:v>
      </x:c>
      <x:c r="F1136" s="27" t="str">
        <x:v>Physical quantity and spatial action; science measurement/models; computing/algorithms; finance; music rhythm/pattern; geographic data.</x:v>
      </x:c>
      <x:c r="G1136" s="27" t="str">
        <x:v>S14</x:v>
      </x:c>
      <x:c r="H1136" s="27" t="str">
        <x:v>Mathematics</x:v>
      </x:c>
      <x:c r="I1136" s="27" t="str">
        <x:v>SRC09</x:v>
      </x:c>
      <x:c r="J1136" s="27" t="str">
        <x:v>Parallel subject and representation links.</x:v>
      </x:c>
    </x:row>
    <x:row r="1137">
      <x:c r="A1137" s="27" t="str">
        <x:v>E01133</x:v>
      </x:c>
      <x:c r="B1137" s="27" t="str">
        <x:v>S14-MATH-01</x:v>
      </x:c>
      <x:c r="C1137" s="27" t="str">
        <x:v>Numbers to 1,000</x:v>
      </x:c>
      <x:c r="D1137" s="27" t="str">
        <x:v>UNLOCKS</x:v>
      </x:c>
      <x:c r="E1137" s="27" t="str">
        <x:v>S14-MATH-01:NEXT</x:v>
      </x:c>
      <x:c r="F1137" s="27" t="str">
        <x:v>A nested base-ten system supports three-digit operations, estimation, and rounding.</x:v>
      </x:c>
      <x:c r="G1137" s="27" t="str">
        <x:v>S14</x:v>
      </x:c>
      <x:c r="H1137" s="27" t="str">
        <x:v>Mathematics</x:v>
      </x:c>
      <x:c r="I1137" s="27" t="str">
        <x:v>SRC09</x:v>
      </x:c>
      <x:c r="J1137" s="27" t="str">
        <x:v>Outgoing use and placement rationale.</x:v>
      </x:c>
    </x:row>
    <x:row r="1138">
      <x:c r="A1138" s="27" t="str">
        <x:v>E01134</x:v>
      </x:c>
      <x:c r="B1138" s="27" t="str">
        <x:v>S14-MATH-01</x:v>
      </x:c>
      <x:c r="C1138" s="27" t="str">
        <x:v>Numbers to 1,000</x:v>
      </x:c>
      <x:c r="D1138" s="27" t="str">
        <x:v>VERIFIED_BY</x:v>
      </x:c>
      <x:c r="E1138" s="27" t="str">
        <x:v>S14-MATH-01:EVIDENCE</x:v>
      </x:c>
      <x:c r="F1138" s="27" t="str">
        <x:v>Explains the value of each digit and compares two numbers using place-value reasoning.</x:v>
      </x:c>
      <x:c r="G1138" s="27" t="str">
        <x:v>S14</x:v>
      </x:c>
      <x:c r="H1138" s="27" t="str">
        <x:v>Mathematics</x:v>
      </x:c>
      <x:c r="I1138" s="27" t="str">
        <x:v>SRC09</x:v>
      </x:c>
      <x:c r="J1138" s="27" t="str">
        <x:v>Observable evidence of usable learning.</x:v>
      </x:c>
    </x:row>
    <x:row r="1139">
      <x:c r="A1139" s="27" t="str">
        <x:v>E01135</x:v>
      </x:c>
      <x:c r="B1139" s="27" t="str">
        <x:v>S14-MATH-01</x:v>
      </x:c>
      <x:c r="C1139" s="27" t="str">
        <x:v>Previous node in domain progression</x:v>
      </x:c>
      <x:c r="D1139" s="27" t="str">
        <x:v>DOMAIN_SEQUENCE</x:v>
      </x:c>
      <x:c r="E1139" s="27" t="str">
        <x:v>S14-MATH-02</x:v>
      </x:c>
      <x:c r="F1139" s="27" t="str">
        <x:v>Add/subtract within 1,000</x:v>
      </x:c>
      <x:c r="G1139" s="27" t="str">
        <x:v>S14</x:v>
      </x:c>
      <x:c r="H1139" s="27" t="str">
        <x:v>Mathematics</x:v>
      </x:c>
      <x:c r="I1139" s="27" t="str">
        <x:v>SRC09</x:v>
      </x:c>
      <x:c r="J1139" s="27" t="str">
        <x:v>Ordered spiral link; consult explicit prerequisites for logical dependency.</x:v>
      </x:c>
    </x:row>
    <x:row r="1140">
      <x:c r="A1140" s="27" t="str">
        <x:v>E01136</x:v>
      </x:c>
      <x:c r="B1140" s="27" t="str">
        <x:v>S14-MATH-02:PREREQ</x:v>
      </x:c>
      <x:c r="C1140" s="27" t="str">
        <x:v>Place value to 1,000 and facts within 20.</x:v>
      </x:c>
      <x:c r="D1140" s="27" t="str">
        <x:v>PREREQUISITE</x:v>
      </x:c>
      <x:c r="E1140" s="27" t="str">
        <x:v>S14-MATH-02</x:v>
      </x:c>
      <x:c r="F1140" s="27" t="str">
        <x:v>Add/subtract within 1,000</x:v>
      </x:c>
      <x:c r="G1140" s="27" t="str">
        <x:v>S14</x:v>
      </x:c>
      <x:c r="H1140" s="27" t="str">
        <x:v>Mathematics</x:v>
      </x:c>
      <x:c r="I1140" s="27" t="str">
        <x:v>SRC09</x:v>
      </x:c>
      <x:c r="J1140" s="27" t="str">
        <x:v>Incoming prerequisite relationship.</x:v>
      </x:c>
    </x:row>
    <x:row r="1141">
      <x:c r="A1141" s="27" t="str">
        <x:v>E01137</x:v>
      </x:c>
      <x:c r="B1141" s="27" t="str">
        <x:v>S14-MATH-02:GROUND</x:v>
      </x:c>
      <x:c r="C1141" s="27" t="str">
        <x:v>G4/G5 — Concrete model linked to coordinated representations</x:v>
      </x:c>
      <x:c r="D1141" s="27" t="str">
        <x:v>GROUNDED_BY</x:v>
      </x:c>
      <x:c r="E1141" s="27" t="str">
        <x:v>S14-MATH-02</x:v>
      </x:c>
      <x:c r="F1141" s="27" t="str">
        <x:v>Add/subtract within 1,000</x:v>
      </x:c>
      <x:c r="G1141" s="27" t="str">
        <x:v>S14</x:v>
      </x:c>
      <x:c r="H1141" s="27" t="str">
        <x:v>Mathematics</x:v>
      </x:c>
      <x:c r="I1141" s="27" t="str">
        <x:v>SRC09</x:v>
      </x:c>
      <x:c r="J1141" s="27" t="str">
        <x:v>Grounding form used to preserve meaning.</x:v>
      </x:c>
    </x:row>
    <x:row r="1142">
      <x:c r="A1142" s="27" t="str">
        <x:v>E01138</x:v>
      </x:c>
      <x:c r="B1142" s="27" t="str">
        <x:v>S14-MATH-02</x:v>
      </x:c>
      <x:c r="C1142" s="27" t="str">
        <x:v>Add/subtract within 1,000</x:v>
      </x:c>
      <x:c r="D1142" s="27" t="str">
        <x:v>CONNECTS_TO</x:v>
      </x:c>
      <x:c r="E1142" s="27" t="str">
        <x:v>S14-MATH-02:CROSS</x:v>
      </x:c>
      <x:c r="F1142" s="27" t="str">
        <x:v>Physical quantity and spatial action; science measurement/models; computing/algorithms; finance; music rhythm/pattern; geographic data.</x:v>
      </x:c>
      <x:c r="G1142" s="27" t="str">
        <x:v>S14</x:v>
      </x:c>
      <x:c r="H1142" s="27" t="str">
        <x:v>Mathematics</x:v>
      </x:c>
      <x:c r="I1142" s="27" t="str">
        <x:v>SRC09</x:v>
      </x:c>
      <x:c r="J1142" s="27" t="str">
        <x:v>Parallel subject and representation links.</x:v>
      </x:c>
    </x:row>
    <x:row r="1143">
      <x:c r="A1143" s="27" t="str">
        <x:v>E01139</x:v>
      </x:c>
      <x:c r="B1143" s="27" t="str">
        <x:v>S14-MATH-02</x:v>
      </x:c>
      <x:c r="C1143" s="27" t="str">
        <x:v>Add/subtract within 1,000</x:v>
      </x:c>
      <x:c r="D1143" s="27" t="str">
        <x:v>UNLOCKS</x:v>
      </x:c>
      <x:c r="E1143" s="27" t="str">
        <x:v>S14-MATH-02:NEXT</x:v>
      </x:c>
      <x:c r="F1143" s="27" t="str">
        <x:v>Regrouping across hundreds generalizes the base-ten algorithm.</x:v>
      </x:c>
      <x:c r="G1143" s="27" t="str">
        <x:v>S14</x:v>
      </x:c>
      <x:c r="H1143" s="27" t="str">
        <x:v>Mathematics</x:v>
      </x:c>
      <x:c r="I1143" s="27" t="str">
        <x:v>SRC09</x:v>
      </x:c>
      <x:c r="J1143" s="27" t="str">
        <x:v>Outgoing use and placement rationale.</x:v>
      </x:c>
    </x:row>
    <x:row r="1144">
      <x:c r="A1144" s="27" t="str">
        <x:v>E01140</x:v>
      </x:c>
      <x:c r="B1144" s="27" t="str">
        <x:v>S14-MATH-02</x:v>
      </x:c>
      <x:c r="C1144" s="27" t="str">
        <x:v>Add/subtract within 1,000</x:v>
      </x:c>
      <x:c r="D1144" s="27" t="str">
        <x:v>VERIFIED_BY</x:v>
      </x:c>
      <x:c r="E1144" s="27" t="str">
        <x:v>S14-MATH-02:EVIDENCE</x:v>
      </x:c>
      <x:c r="F1144" s="27" t="str">
        <x:v>Solves and checks a multi-digit problem and explains each regrouped unit.</x:v>
      </x:c>
      <x:c r="G1144" s="27" t="str">
        <x:v>S14</x:v>
      </x:c>
      <x:c r="H1144" s="27" t="str">
        <x:v>Mathematics</x:v>
      </x:c>
      <x:c r="I1144" s="27" t="str">
        <x:v>SRC09</x:v>
      </x:c>
      <x:c r="J1144" s="27" t="str">
        <x:v>Observable evidence of usable learning.</x:v>
      </x:c>
    </x:row>
    <x:row r="1145">
      <x:c r="A1145" s="27" t="str">
        <x:v>E01141</x:v>
      </x:c>
      <x:c r="B1145" s="27" t="str">
        <x:v>S14-MATH-02</x:v>
      </x:c>
      <x:c r="C1145" s="27" t="str">
        <x:v>Previous node in domain progression</x:v>
      </x:c>
      <x:c r="D1145" s="27" t="str">
        <x:v>DOMAIN_SEQUENCE</x:v>
      </x:c>
      <x:c r="E1145" s="27" t="str">
        <x:v>S14-MATH-03</x:v>
      </x:c>
      <x:c r="F1145" s="27" t="str">
        <x:v>Equal groups, arrays, and repeated addition</x:v>
      </x:c>
      <x:c r="G1145" s="27" t="str">
        <x:v>S14</x:v>
      </x:c>
      <x:c r="H1145" s="27" t="str">
        <x:v>Mathematics</x:v>
      </x:c>
      <x:c r="I1145" s="27" t="str">
        <x:v>SRC09</x:v>
      </x:c>
      <x:c r="J1145" s="27" t="str">
        <x:v>Ordered spiral link; consult explicit prerequisites for logical dependency.</x:v>
      </x:c>
    </x:row>
    <x:row r="1146">
      <x:c r="A1146" s="27" t="str">
        <x:v>E01142</x:v>
      </x:c>
      <x:c r="B1146" s="27" t="str">
        <x:v>S14-MATH-03:PREREQ</x:v>
      </x:c>
      <x:c r="C1146" s="27" t="str">
        <x:v>Addition fluency, one-to-one counting, and rows/columns.</x:v>
      </x:c>
      <x:c r="D1146" s="27" t="str">
        <x:v>PREREQUISITE</x:v>
      </x:c>
      <x:c r="E1146" s="27" t="str">
        <x:v>S14-MATH-03</x:v>
      </x:c>
      <x:c r="F1146" s="27" t="str">
        <x:v>Equal groups, arrays, and repeated addition</x:v>
      </x:c>
      <x:c r="G1146" s="27" t="str">
        <x:v>S14</x:v>
      </x:c>
      <x:c r="H1146" s="27" t="str">
        <x:v>Mathematics</x:v>
      </x:c>
      <x:c r="I1146" s="27" t="str">
        <x:v>SRC09</x:v>
      </x:c>
      <x:c r="J1146" s="27" t="str">
        <x:v>Incoming prerequisite relationship.</x:v>
      </x:c>
    </x:row>
    <x:row r="1147">
      <x:c r="A1147" s="27" t="str">
        <x:v>E01143</x:v>
      </x:c>
      <x:c r="B1147" s="27" t="str">
        <x:v>S14-MATH-03:GROUND</x:v>
      </x:c>
      <x:c r="C1147" s="27" t="str">
        <x:v>G4/G5 — Concrete model linked to coordinated representations</x:v>
      </x:c>
      <x:c r="D1147" s="27" t="str">
        <x:v>GROUNDED_BY</x:v>
      </x:c>
      <x:c r="E1147" s="27" t="str">
        <x:v>S14-MATH-03</x:v>
      </x:c>
      <x:c r="F1147" s="27" t="str">
        <x:v>Equal groups, arrays, and repeated addition</x:v>
      </x:c>
      <x:c r="G1147" s="27" t="str">
        <x:v>S14</x:v>
      </x:c>
      <x:c r="H1147" s="27" t="str">
        <x:v>Mathematics</x:v>
      </x:c>
      <x:c r="I1147" s="27" t="str">
        <x:v>SRC09</x:v>
      </x:c>
      <x:c r="J1147" s="27" t="str">
        <x:v>Grounding form used to preserve meaning.</x:v>
      </x:c>
    </x:row>
    <x:row r="1148">
      <x:c r="A1148" s="27" t="str">
        <x:v>E01144</x:v>
      </x:c>
      <x:c r="B1148" s="27" t="str">
        <x:v>S14-MATH-03</x:v>
      </x:c>
      <x:c r="C1148" s="27" t="str">
        <x:v>Equal groups, arrays, and repeated addition</x:v>
      </x:c>
      <x:c r="D1148" s="27" t="str">
        <x:v>CONNECTS_TO</x:v>
      </x:c>
      <x:c r="E1148" s="27" t="str">
        <x:v>S14-MATH-03:CROSS</x:v>
      </x:c>
      <x:c r="F1148" s="27" t="str">
        <x:v>Physical quantity and spatial action; science measurement/models; computing/algorithms; finance; music rhythm/pattern; geographic data.</x:v>
      </x:c>
      <x:c r="G1148" s="27" t="str">
        <x:v>S14</x:v>
      </x:c>
      <x:c r="H1148" s="27" t="str">
        <x:v>Mathematics</x:v>
      </x:c>
      <x:c r="I1148" s="27" t="str">
        <x:v>SRC09</x:v>
      </x:c>
      <x:c r="J1148" s="27" t="str">
        <x:v>Parallel subject and representation links.</x:v>
      </x:c>
    </x:row>
    <x:row r="1149">
      <x:c r="A1149" s="27" t="str">
        <x:v>E01145</x:v>
      </x:c>
      <x:c r="B1149" s="27" t="str">
        <x:v>S14-MATH-03</x:v>
      </x:c>
      <x:c r="C1149" s="27" t="str">
        <x:v>Equal groups, arrays, and repeated addition</x:v>
      </x:c>
      <x:c r="D1149" s="27" t="str">
        <x:v>UNLOCKS</x:v>
      </x:c>
      <x:c r="E1149" s="27" t="str">
        <x:v>S14-MATH-03:NEXT</x:v>
      </x:c>
      <x:c r="F1149" s="27" t="str">
        <x:v>Equal-group and array structures become multiplication, division, area, and factors.</x:v>
      </x:c>
      <x:c r="G1149" s="27" t="str">
        <x:v>S14</x:v>
      </x:c>
      <x:c r="H1149" s="27" t="str">
        <x:v>Mathematics</x:v>
      </x:c>
      <x:c r="I1149" s="27" t="str">
        <x:v>SRC09</x:v>
      </x:c>
      <x:c r="J1149" s="27" t="str">
        <x:v>Outgoing use and placement rationale.</x:v>
      </x:c>
    </x:row>
    <x:row r="1150">
      <x:c r="A1150" s="27" t="str">
        <x:v>E01146</x:v>
      </x:c>
      <x:c r="B1150" s="27" t="str">
        <x:v>S14-MATH-03</x:v>
      </x:c>
      <x:c r="C1150" s="27" t="str">
        <x:v>Equal groups, arrays, and repeated addition</x:v>
      </x:c>
      <x:c r="D1150" s="27" t="str">
        <x:v>VERIFIED_BY</x:v>
      </x:c>
      <x:c r="E1150" s="27" t="str">
        <x:v>S14-MATH-03:EVIDENCE</x:v>
      </x:c>
      <x:c r="F1150" s="27" t="str">
        <x:v>Builds an array for a situation and writes a matching repeated-addition expression.</x:v>
      </x:c>
      <x:c r="G1150" s="27" t="str">
        <x:v>S14</x:v>
      </x:c>
      <x:c r="H1150" s="27" t="str">
        <x:v>Mathematics</x:v>
      </x:c>
      <x:c r="I1150" s="27" t="str">
        <x:v>SRC09</x:v>
      </x:c>
      <x:c r="J1150" s="27" t="str">
        <x:v>Observable evidence of usable learning.</x:v>
      </x:c>
    </x:row>
    <x:row r="1151">
      <x:c r="A1151" s="27" t="str">
        <x:v>E01147</x:v>
      </x:c>
      <x:c r="B1151" s="27" t="str">
        <x:v>S14-MATH-03</x:v>
      </x:c>
      <x:c r="C1151" s="27" t="str">
        <x:v>Previous node in domain progression</x:v>
      </x:c>
      <x:c r="D1151" s="27" t="str">
        <x:v>DOMAIN_SEQUENCE</x:v>
      </x:c>
      <x:c r="E1151" s="27" t="str">
        <x:v>S14-MATH-04</x:v>
      </x:c>
      <x:c r="F1151" s="27" t="str">
        <x:v>Standard units, time, and money</x:v>
      </x:c>
      <x:c r="G1151" s="27" t="str">
        <x:v>S14</x:v>
      </x:c>
      <x:c r="H1151" s="27" t="str">
        <x:v>Mathematics</x:v>
      </x:c>
      <x:c r="I1151" s="27" t="str">
        <x:v>SRC09</x:v>
      </x:c>
      <x:c r="J1151" s="27" t="str">
        <x:v>Ordered spiral link; consult explicit prerequisites for logical dependency.</x:v>
      </x:c>
    </x:row>
    <x:row r="1152">
      <x:c r="A1152" s="27" t="str">
        <x:v>E01148</x:v>
      </x:c>
      <x:c r="B1152" s="27" t="str">
        <x:v>S14-MATH-04:PREREQ</x:v>
      </x:c>
      <x:c r="C1152" s="27" t="str">
        <x:v>Equal-unit iteration, place value, and addition/subtraction.</x:v>
      </x:c>
      <x:c r="D1152" s="27" t="str">
        <x:v>PREREQUISITE</x:v>
      </x:c>
      <x:c r="E1152" s="27" t="str">
        <x:v>S14-MATH-04</x:v>
      </x:c>
      <x:c r="F1152" s="27" t="str">
        <x:v>Standard units, time, and money</x:v>
      </x:c>
      <x:c r="G1152" s="27" t="str">
        <x:v>S14</x:v>
      </x:c>
      <x:c r="H1152" s="27" t="str">
        <x:v>Mathematics</x:v>
      </x:c>
      <x:c r="I1152" s="27" t="str">
        <x:v>SRC09</x:v>
      </x:c>
      <x:c r="J1152" s="27" t="str">
        <x:v>Incoming prerequisite relationship.</x:v>
      </x:c>
    </x:row>
    <x:row r="1153">
      <x:c r="A1153" s="27" t="str">
        <x:v>E01149</x:v>
      </x:c>
      <x:c r="B1153" s="27" t="str">
        <x:v>S14-MATH-04:GROUND</x:v>
      </x:c>
      <x:c r="C1153" s="27" t="str">
        <x:v>G4/G5 — Concrete model linked to coordinated representations</x:v>
      </x:c>
      <x:c r="D1153" s="27" t="str">
        <x:v>GROUNDED_BY</x:v>
      </x:c>
      <x:c r="E1153" s="27" t="str">
        <x:v>S14-MATH-04</x:v>
      </x:c>
      <x:c r="F1153" s="27" t="str">
        <x:v>Standard units, time, and money</x:v>
      </x:c>
      <x:c r="G1153" s="27" t="str">
        <x:v>S14</x:v>
      </x:c>
      <x:c r="H1153" s="27" t="str">
        <x:v>Mathematics</x:v>
      </x:c>
      <x:c r="I1153" s="27" t="str">
        <x:v>SRC09</x:v>
      </x:c>
      <x:c r="J1153" s="27" t="str">
        <x:v>Grounding form used to preserve meaning.</x:v>
      </x:c>
    </x:row>
    <x:row r="1154">
      <x:c r="A1154" s="27" t="str">
        <x:v>E01150</x:v>
      </x:c>
      <x:c r="B1154" s="27" t="str">
        <x:v>S14-MATH-04</x:v>
      </x:c>
      <x:c r="C1154" s="27" t="str">
        <x:v>Standard units, time, and money</x:v>
      </x:c>
      <x:c r="D1154" s="27" t="str">
        <x:v>CONNECTS_TO</x:v>
      </x:c>
      <x:c r="E1154" s="27" t="str">
        <x:v>S14-MATH-04:CROSS</x:v>
      </x:c>
      <x:c r="F1154" s="27" t="str">
        <x:v>Physical quantity and spatial action; science measurement/models; computing/algorithms; finance; music rhythm/pattern; geographic data.</x:v>
      </x:c>
      <x:c r="G1154" s="27" t="str">
        <x:v>S14</x:v>
      </x:c>
      <x:c r="H1154" s="27" t="str">
        <x:v>Mathematics</x:v>
      </x:c>
      <x:c r="I1154" s="27" t="str">
        <x:v>SRC09</x:v>
      </x:c>
      <x:c r="J1154" s="27" t="str">
        <x:v>Parallel subject and representation links.</x:v>
      </x:c>
    </x:row>
    <x:row r="1155">
      <x:c r="A1155" s="27" t="str">
        <x:v>E01151</x:v>
      </x:c>
      <x:c r="B1155" s="27" t="str">
        <x:v>S14-MATH-04</x:v>
      </x:c>
      <x:c r="C1155" s="27" t="str">
        <x:v>Standard units, time, and money</x:v>
      </x:c>
      <x:c r="D1155" s="27" t="str">
        <x:v>UNLOCKS</x:v>
      </x:c>
      <x:c r="E1155" s="27" t="str">
        <x:v>S14-MATH-04:NEXT</x:v>
      </x:c>
      <x:c r="F1155" s="27" t="str">
        <x:v>Standard units make measurements communicable and connect arithmetic to real quantities.</x:v>
      </x:c>
      <x:c r="G1155" s="27" t="str">
        <x:v>S14</x:v>
      </x:c>
      <x:c r="H1155" s="27" t="str">
        <x:v>Mathematics</x:v>
      </x:c>
      <x:c r="I1155" s="27" t="str">
        <x:v>SRC09</x:v>
      </x:c>
      <x:c r="J1155" s="27" t="str">
        <x:v>Outgoing use and placement rationale.</x:v>
      </x:c>
    </x:row>
    <x:row r="1156">
      <x:c r="A1156" s="27" t="str">
        <x:v>E01152</x:v>
      </x:c>
      <x:c r="B1156" s="27" t="str">
        <x:v>S14-MATH-04</x:v>
      </x:c>
      <x:c r="C1156" s="27" t="str">
        <x:v>Standard units, time, and money</x:v>
      </x:c>
      <x:c r="D1156" s="27" t="str">
        <x:v>VERIFIED_BY</x:v>
      </x:c>
      <x:c r="E1156" s="27" t="str">
        <x:v>S14-MATH-04:EVIDENCE</x:v>
      </x:c>
      <x:c r="F1156" s="27" t="str">
        <x:v>Measures accurately, reads a time, or solves a money situation and labels units.</x:v>
      </x:c>
      <x:c r="G1156" s="27" t="str">
        <x:v>S14</x:v>
      </x:c>
      <x:c r="H1156" s="27" t="str">
        <x:v>Mathematics</x:v>
      </x:c>
      <x:c r="I1156" s="27" t="str">
        <x:v>SRC09</x:v>
      </x:c>
      <x:c r="J1156" s="27" t="str">
        <x:v>Observable evidence of usable learning.</x:v>
      </x:c>
    </x:row>
    <x:row r="1157">
      <x:c r="A1157" s="27" t="str">
        <x:v>E01153</x:v>
      </x:c>
      <x:c r="B1157" s="27" t="str">
        <x:v>S14-MATH-04</x:v>
      </x:c>
      <x:c r="C1157" s="27" t="str">
        <x:v>Previous node in domain progression</x:v>
      </x:c>
      <x:c r="D1157" s="27" t="str">
        <x:v>DOMAIN_SEQUENCE</x:v>
      </x:c>
      <x:c r="E1157" s="27" t="str">
        <x:v>S14-MATH-05</x:v>
      </x:c>
      <x:c r="F1157" s="27" t="str">
        <x:v>Picture and bar graphs</x:v>
      </x:c>
      <x:c r="G1157" s="27" t="str">
        <x:v>S14</x:v>
      </x:c>
      <x:c r="H1157" s="27" t="str">
        <x:v>Mathematics</x:v>
      </x:c>
      <x:c r="I1157" s="27" t="str">
        <x:v>SRC09</x:v>
      </x:c>
      <x:c r="J1157" s="27" t="str">
        <x:v>Ordered spiral link; consult explicit prerequisites for logical dependency.</x:v>
      </x:c>
    </x:row>
    <x:row r="1158">
      <x:c r="A1158" s="27" t="str">
        <x:v>E01154</x:v>
      </x:c>
      <x:c r="B1158" s="27" t="str">
        <x:v>S14-MATH-05:PREREQ</x:v>
      </x:c>
      <x:c r="C1158" s="27" t="str">
        <x:v>Grade 1 category data, place value, and subtraction.</x:v>
      </x:c>
      <x:c r="D1158" s="27" t="str">
        <x:v>PREREQUISITE</x:v>
      </x:c>
      <x:c r="E1158" s="27" t="str">
        <x:v>S14-MATH-05</x:v>
      </x:c>
      <x:c r="F1158" s="27" t="str">
        <x:v>Picture and bar graphs</x:v>
      </x:c>
      <x:c r="G1158" s="27" t="str">
        <x:v>S14</x:v>
      </x:c>
      <x:c r="H1158" s="27" t="str">
        <x:v>Mathematics</x:v>
      </x:c>
      <x:c r="I1158" s="27" t="str">
        <x:v>SRC09</x:v>
      </x:c>
      <x:c r="J1158" s="27" t="str">
        <x:v>Incoming prerequisite relationship.</x:v>
      </x:c>
    </x:row>
    <x:row r="1159">
      <x:c r="A1159" s="27" t="str">
        <x:v>E01155</x:v>
      </x:c>
      <x:c r="B1159" s="27" t="str">
        <x:v>S14-MATH-05:GROUND</x:v>
      </x:c>
      <x:c r="C1159" s="27" t="str">
        <x:v>G4/G5 — Concrete model linked to coordinated representations</x:v>
      </x:c>
      <x:c r="D1159" s="27" t="str">
        <x:v>GROUNDED_BY</x:v>
      </x:c>
      <x:c r="E1159" s="27" t="str">
        <x:v>S14-MATH-05</x:v>
      </x:c>
      <x:c r="F1159" s="27" t="str">
        <x:v>Picture and bar graphs</x:v>
      </x:c>
      <x:c r="G1159" s="27" t="str">
        <x:v>S14</x:v>
      </x:c>
      <x:c r="H1159" s="27" t="str">
        <x:v>Mathematics</x:v>
      </x:c>
      <x:c r="I1159" s="27" t="str">
        <x:v>SRC09</x:v>
      </x:c>
      <x:c r="J1159" s="27" t="str">
        <x:v>Grounding form used to preserve meaning.</x:v>
      </x:c>
    </x:row>
    <x:row r="1160">
      <x:c r="A1160" s="27" t="str">
        <x:v>E01156</x:v>
      </x:c>
      <x:c r="B1160" s="27" t="str">
        <x:v>S14-MATH-05</x:v>
      </x:c>
      <x:c r="C1160" s="27" t="str">
        <x:v>Picture and bar graphs</x:v>
      </x:c>
      <x:c r="D1160" s="27" t="str">
        <x:v>CONNECTS_TO</x:v>
      </x:c>
      <x:c r="E1160" s="27" t="str">
        <x:v>S14-MATH-05:CROSS</x:v>
      </x:c>
      <x:c r="F1160" s="27" t="str">
        <x:v>Physical quantity and spatial action; science measurement/models; computing/algorithms; finance; music rhythm/pattern; geographic data.</x:v>
      </x:c>
      <x:c r="G1160" s="27" t="str">
        <x:v>S14</x:v>
      </x:c>
      <x:c r="H1160" s="27" t="str">
        <x:v>Mathematics</x:v>
      </x:c>
      <x:c r="I1160" s="27" t="str">
        <x:v>SRC09</x:v>
      </x:c>
      <x:c r="J1160" s="27" t="str">
        <x:v>Parallel subject and representation links.</x:v>
      </x:c>
    </x:row>
    <x:row r="1161">
      <x:c r="A1161" s="27" t="str">
        <x:v>E01157</x:v>
      </x:c>
      <x:c r="B1161" s="27" t="str">
        <x:v>S14-MATH-05</x:v>
      </x:c>
      <x:c r="C1161" s="27" t="str">
        <x:v>Picture and bar graphs</x:v>
      </x:c>
      <x:c r="D1161" s="27" t="str">
        <x:v>UNLOCKS</x:v>
      </x:c>
      <x:c r="E1161" s="27" t="str">
        <x:v>S14-MATH-05:NEXT</x:v>
      </x:c>
      <x:c r="F1161" s="27" t="str">
        <x:v>Graphs externalize distribution and support multi-step quantitative reasoning.</x:v>
      </x:c>
      <x:c r="G1161" s="27" t="str">
        <x:v>S14</x:v>
      </x:c>
      <x:c r="H1161" s="27" t="str">
        <x:v>Mathematics</x:v>
      </x:c>
      <x:c r="I1161" s="27" t="str">
        <x:v>SRC09</x:v>
      </x:c>
      <x:c r="J1161" s="27" t="str">
        <x:v>Outgoing use and placement rationale.</x:v>
      </x:c>
    </x:row>
    <x:row r="1162">
      <x:c r="A1162" s="27" t="str">
        <x:v>E01158</x:v>
      </x:c>
      <x:c r="B1162" s="27" t="str">
        <x:v>S14-MATH-05</x:v>
      </x:c>
      <x:c r="C1162" s="27" t="str">
        <x:v>Picture and bar graphs</x:v>
      </x:c>
      <x:c r="D1162" s="27" t="str">
        <x:v>VERIFIED_BY</x:v>
      </x:c>
      <x:c r="E1162" s="27" t="str">
        <x:v>S14-MATH-05:EVIDENCE</x:v>
      </x:c>
      <x:c r="F1162" s="27" t="str">
        <x:v>Builds a correct display and answers how-many-more/less questions from it.</x:v>
      </x:c>
      <x:c r="G1162" s="27" t="str">
        <x:v>S14</x:v>
      </x:c>
      <x:c r="H1162" s="27" t="str">
        <x:v>Mathematics</x:v>
      </x:c>
      <x:c r="I1162" s="27" t="str">
        <x:v>SRC09</x:v>
      </x:c>
      <x:c r="J1162" s="27" t="str">
        <x:v>Observable evidence of usable learning.</x:v>
      </x:c>
    </x:row>
    <x:row r="1163">
      <x:c r="A1163" s="27" t="str">
        <x:v>E01159</x:v>
      </x:c>
      <x:c r="B1163" s="27" t="str">
        <x:v>S14-MATH-05</x:v>
      </x:c>
      <x:c r="C1163" s="27" t="str">
        <x:v>Previous node in domain progression</x:v>
      </x:c>
      <x:c r="D1163" s="27" t="str">
        <x:v>DOMAIN_SEQUENCE</x:v>
      </x:c>
      <x:c r="E1163" s="27" t="str">
        <x:v>S14-MATH-06</x:v>
      </x:c>
      <x:c r="F1163" s="27" t="str">
        <x:v>Attributes and halves/thirds/fourths</x:v>
      </x:c>
      <x:c r="G1163" s="27" t="str">
        <x:v>S14</x:v>
      </x:c>
      <x:c r="H1163" s="27" t="str">
        <x:v>Mathematics</x:v>
      </x:c>
      <x:c r="I1163" s="27" t="str">
        <x:v>SRC09</x:v>
      </x:c>
      <x:c r="J1163" s="27" t="str">
        <x:v>Ordered spiral link; consult explicit prerequisites for logical dependency.</x:v>
      </x:c>
    </x:row>
    <x:row r="1164">
      <x:c r="A1164" s="27" t="str">
        <x:v>E01160</x:v>
      </x:c>
      <x:c r="B1164" s="27" t="str">
        <x:v>S14-MATH-06:PREREQ</x:v>
      </x:c>
      <x:c r="C1164" s="27" t="str">
        <x:v>Equal shares, shape attributes, and part–whole reasoning.</x:v>
      </x:c>
      <x:c r="D1164" s="27" t="str">
        <x:v>PREREQUISITE</x:v>
      </x:c>
      <x:c r="E1164" s="27" t="str">
        <x:v>S14-MATH-06</x:v>
      </x:c>
      <x:c r="F1164" s="27" t="str">
        <x:v>Attributes and halves/thirds/fourths</x:v>
      </x:c>
      <x:c r="G1164" s="27" t="str">
        <x:v>S14</x:v>
      </x:c>
      <x:c r="H1164" s="27" t="str">
        <x:v>Mathematics</x:v>
      </x:c>
      <x:c r="I1164" s="27" t="str">
        <x:v>SRC09</x:v>
      </x:c>
      <x:c r="J1164" s="27" t="str">
        <x:v>Incoming prerequisite relationship.</x:v>
      </x:c>
    </x:row>
    <x:row r="1165">
      <x:c r="A1165" s="27" t="str">
        <x:v>E01161</x:v>
      </x:c>
      <x:c r="B1165" s="27" t="str">
        <x:v>S14-MATH-06:GROUND</x:v>
      </x:c>
      <x:c r="C1165" s="27" t="str">
        <x:v>G4/G5 — Concrete model linked to coordinated representations</x:v>
      </x:c>
      <x:c r="D1165" s="27" t="str">
        <x:v>GROUNDED_BY</x:v>
      </x:c>
      <x:c r="E1165" s="27" t="str">
        <x:v>S14-MATH-06</x:v>
      </x:c>
      <x:c r="F1165" s="27" t="str">
        <x:v>Attributes and halves/thirds/fourths</x:v>
      </x:c>
      <x:c r="G1165" s="27" t="str">
        <x:v>S14</x:v>
      </x:c>
      <x:c r="H1165" s="27" t="str">
        <x:v>Mathematics</x:v>
      </x:c>
      <x:c r="I1165" s="27" t="str">
        <x:v>SRC09</x:v>
      </x:c>
      <x:c r="J1165" s="27" t="str">
        <x:v>Grounding form used to preserve meaning.</x:v>
      </x:c>
    </x:row>
    <x:row r="1166">
      <x:c r="A1166" s="27" t="str">
        <x:v>E01162</x:v>
      </x:c>
      <x:c r="B1166" s="27" t="str">
        <x:v>S14-MATH-06</x:v>
      </x:c>
      <x:c r="C1166" s="27" t="str">
        <x:v>Attributes and halves/thirds/fourths</x:v>
      </x:c>
      <x:c r="D1166" s="27" t="str">
        <x:v>CONNECTS_TO</x:v>
      </x:c>
      <x:c r="E1166" s="27" t="str">
        <x:v>S14-MATH-06:CROSS</x:v>
      </x:c>
      <x:c r="F1166" s="27" t="str">
        <x:v>Physical quantity and spatial action; science measurement/models; computing/algorithms; finance; music rhythm/pattern; geographic data.</x:v>
      </x:c>
      <x:c r="G1166" s="27" t="str">
        <x:v>S14</x:v>
      </x:c>
      <x:c r="H1166" s="27" t="str">
        <x:v>Mathematics</x:v>
      </x:c>
      <x:c r="I1166" s="27" t="str">
        <x:v>SRC09</x:v>
      </x:c>
      <x:c r="J1166" s="27" t="str">
        <x:v>Parallel subject and representation links.</x:v>
      </x:c>
    </x:row>
    <x:row r="1167">
      <x:c r="A1167" s="27" t="str">
        <x:v>E01163</x:v>
      </x:c>
      <x:c r="B1167" s="27" t="str">
        <x:v>S14-MATH-06</x:v>
      </x:c>
      <x:c r="C1167" s="27" t="str">
        <x:v>Attributes and halves/thirds/fourths</x:v>
      </x:c>
      <x:c r="D1167" s="27" t="str">
        <x:v>UNLOCKS</x:v>
      </x:c>
      <x:c r="E1167" s="27" t="str">
        <x:v>S14-MATH-06:NEXT</x:v>
      </x:c>
      <x:c r="F1167" s="27" t="str">
        <x:v>Fraction names attach a denominator to the number of equal parts.</x:v>
      </x:c>
      <x:c r="G1167" s="27" t="str">
        <x:v>S14</x:v>
      </x:c>
      <x:c r="H1167" s="27" t="str">
        <x:v>Mathematics</x:v>
      </x:c>
      <x:c r="I1167" s="27" t="str">
        <x:v>SRC09</x:v>
      </x:c>
      <x:c r="J1167" s="27" t="str">
        <x:v>Outgoing use and placement rationale.</x:v>
      </x:c>
    </x:row>
    <x:row r="1168">
      <x:c r="A1168" s="27" t="str">
        <x:v>E01164</x:v>
      </x:c>
      <x:c r="B1168" s="27" t="str">
        <x:v>S14-MATH-06</x:v>
      </x:c>
      <x:c r="C1168" s="27" t="str">
        <x:v>Attributes and halves/thirds/fourths</x:v>
      </x:c>
      <x:c r="D1168" s="27" t="str">
        <x:v>VERIFIED_BY</x:v>
      </x:c>
      <x:c r="E1168" s="27" t="str">
        <x:v>S14-MATH-06:EVIDENCE</x:v>
      </x:c>
      <x:c r="F1168" s="27" t="str">
        <x:v>Explains why equal-looking count alone is insufficient when the shares have unequal size.</x:v>
      </x:c>
      <x:c r="G1168" s="27" t="str">
        <x:v>S14</x:v>
      </x:c>
      <x:c r="H1168" s="27" t="str">
        <x:v>Mathematics</x:v>
      </x:c>
      <x:c r="I1168" s="27" t="str">
        <x:v>SRC09</x:v>
      </x:c>
      <x:c r="J1168" s="27" t="str">
        <x:v>Observable evidence of usable learning.</x:v>
      </x:c>
    </x:row>
    <x:row r="1169">
      <x:c r="A1169" s="27" t="str">
        <x:v>E01165</x:v>
      </x:c>
      <x:c r="B1169" s="27" t="str">
        <x:v>S13-SCI-03</x:v>
      </x:c>
      <x:c r="C1169" s="27" t="str">
        <x:v>Previous node in domain progression</x:v>
      </x:c>
      <x:c r="D1169" s="27" t="str">
        <x:v>DOMAIN_SEQUENCE</x:v>
      </x:c>
      <x:c r="E1169" s="27" t="str">
        <x:v>S14-SCI-01</x:v>
      </x:c>
      <x:c r="F1169" s="27" t="str">
        <x:v>Matter and properties</x:v>
      </x:c>
      <x:c r="G1169" s="27" t="str">
        <x:v>S14</x:v>
      </x:c>
      <x:c r="H1169" s="27" t="str">
        <x:v>Science &amp; Engineering</x:v>
      </x:c>
      <x:c r="I1169" s="27" t="str">
        <x:v>SRC11</x:v>
      </x:c>
      <x:c r="J1169" s="27" t="str">
        <x:v>Ordered spiral link; consult explicit prerequisites for logical dependency.</x:v>
      </x:c>
    </x:row>
    <x:row r="1170">
      <x:c r="A1170" s="27" t="str">
        <x:v>E01166</x:v>
      </x:c>
      <x:c r="B1170" s="27" t="str">
        <x:v>S14-SCI-01:PREREQ</x:v>
      </x:c>
      <x:c r="C1170" s="27" t="str">
        <x:v>Kindergarten/Grade 1 properties and investigation cycle.</x:v>
      </x:c>
      <x:c r="D1170" s="27" t="str">
        <x:v>PREREQUISITE</x:v>
      </x:c>
      <x:c r="E1170" s="27" t="str">
        <x:v>S14-SCI-01</x:v>
      </x:c>
      <x:c r="F1170" s="27" t="str">
        <x:v>Matter and properties</x:v>
      </x:c>
      <x:c r="G1170" s="27" t="str">
        <x:v>S14</x:v>
      </x:c>
      <x:c r="H1170" s="27" t="str">
        <x:v>Science &amp; Engineering</x:v>
      </x:c>
      <x:c r="I1170" s="27" t="str">
        <x:v>SRC11</x:v>
      </x:c>
      <x:c r="J1170" s="27" t="str">
        <x:v>Incoming prerequisite relationship.</x:v>
      </x:c>
    </x:row>
    <x:row r="1171">
      <x:c r="A1171" s="27" t="str">
        <x:v>E01167</x:v>
      </x:c>
      <x:c r="B1171" s="27" t="str">
        <x:v>S14-SCI-01:GROUND</x:v>
      </x:c>
      <x:c r="C1171" s="27" t="str">
        <x:v>G4/G5 — Concrete model linked to coordinated representations</x:v>
      </x:c>
      <x:c r="D1171" s="27" t="str">
        <x:v>GROUNDED_BY</x:v>
      </x:c>
      <x:c r="E1171" s="27" t="str">
        <x:v>S14-SCI-01</x:v>
      </x:c>
      <x:c r="F1171" s="27" t="str">
        <x:v>Matter and properties</x:v>
      </x:c>
      <x:c r="G1171" s="27" t="str">
        <x:v>S14</x:v>
      </x:c>
      <x:c r="H1171" s="27" t="str">
        <x:v>Science &amp; Engineering</x:v>
      </x:c>
      <x:c r="I1171" s="27" t="str">
        <x:v>SRC11</x:v>
      </x:c>
      <x:c r="J1171" s="27" t="str">
        <x:v>Grounding form used to preserve meaning.</x:v>
      </x:c>
    </x:row>
    <x:row r="1172">
      <x:c r="A1172" s="27" t="str">
        <x:v>E01168</x:v>
      </x:c>
      <x:c r="B1172" s="27" t="str">
        <x:v>S14-SCI-01</x:v>
      </x:c>
      <x:c r="C1172" s="27" t="str">
        <x:v>Matter and properties</x:v>
      </x:c>
      <x:c r="D1172" s="27" t="str">
        <x:v>CONNECTS_TO</x:v>
      </x:c>
      <x:c r="E1172" s="27" t="str">
        <x:v>S14-SCI-01:CROSS</x:v>
      </x:c>
      <x:c r="F1172" s="27" t="str">
        <x:v>Sensory observation and action; mathematics/data; reading/writing evidence; computing/models; health and environmental/civic decisions.</x:v>
      </x:c>
      <x:c r="G1172" s="27" t="str">
        <x:v>S14</x:v>
      </x:c>
      <x:c r="H1172" s="27" t="str">
        <x:v>Science &amp; Engineering</x:v>
      </x:c>
      <x:c r="I1172" s="27" t="str">
        <x:v>SRC11</x:v>
      </x:c>
      <x:c r="J1172" s="27" t="str">
        <x:v>Parallel subject and representation links.</x:v>
      </x:c>
    </x:row>
    <x:row r="1173">
      <x:c r="A1173" s="27" t="str">
        <x:v>E01169</x:v>
      </x:c>
      <x:c r="B1173" s="27" t="str">
        <x:v>S14-SCI-01</x:v>
      </x:c>
      <x:c r="C1173" s="27" t="str">
        <x:v>Matter and properties</x:v>
      </x:c>
      <x:c r="D1173" s="27" t="str">
        <x:v>UNLOCKS</x:v>
      </x:c>
      <x:c r="E1173" s="27" t="str">
        <x:v>S14-SCI-01:NEXT</x:v>
      </x:c>
      <x:c r="F1173" s="27" t="str">
        <x:v>Property-based classification links matter to engineering choices.</x:v>
      </x:c>
      <x:c r="G1173" s="27" t="str">
        <x:v>S14</x:v>
      </x:c>
      <x:c r="H1173" s="27" t="str">
        <x:v>Science &amp; Engineering</x:v>
      </x:c>
      <x:c r="I1173" s="27" t="str">
        <x:v>SRC11</x:v>
      </x:c>
      <x:c r="J1173" s="27" t="str">
        <x:v>Outgoing use and placement rationale.</x:v>
      </x:c>
    </x:row>
    <x:row r="1174">
      <x:c r="A1174" s="27" t="str">
        <x:v>E01170</x:v>
      </x:c>
      <x:c r="B1174" s="27" t="str">
        <x:v>S14-SCI-01</x:v>
      </x:c>
      <x:c r="C1174" s="27" t="str">
        <x:v>Matter and properties</x:v>
      </x:c>
      <x:c r="D1174" s="27" t="str">
        <x:v>VERIFIED_BY</x:v>
      </x:c>
      <x:c r="E1174" s="27" t="str">
        <x:v>S14-SCI-01:EVIDENCE</x:v>
      </x:c>
      <x:c r="F1174" s="27" t="str">
        <x:v>Uses test results to choose a material for a stated function.</x:v>
      </x:c>
      <x:c r="G1174" s="27" t="str">
        <x:v>S14</x:v>
      </x:c>
      <x:c r="H1174" s="27" t="str">
        <x:v>Science &amp; Engineering</x:v>
      </x:c>
      <x:c r="I1174" s="27" t="str">
        <x:v>SRC11</x:v>
      </x:c>
      <x:c r="J1174" s="27" t="str">
        <x:v>Observable evidence of usable learning.</x:v>
      </x:c>
    </x:row>
    <x:row r="1175">
      <x:c r="A1175" s="27" t="str">
        <x:v>E01171</x:v>
      </x:c>
      <x:c r="B1175" s="27" t="str">
        <x:v>S14-SCI-01</x:v>
      </x:c>
      <x:c r="C1175" s="27" t="str">
        <x:v>Previous node in domain progression</x:v>
      </x:c>
      <x:c r="D1175" s="27" t="str">
        <x:v>DOMAIN_SEQUENCE</x:v>
      </x:c>
      <x:c r="E1175" s="27" t="str">
        <x:v>S14-SCI-02</x:v>
      </x:c>
      <x:c r="F1175" s="27" t="str">
        <x:v>Biodiversity, pollination, and dispersal</x:v>
      </x:c>
      <x:c r="G1175" s="27" t="str">
        <x:v>S14</x:v>
      </x:c>
      <x:c r="H1175" s="27" t="str">
        <x:v>Science &amp; Engineering</x:v>
      </x:c>
      <x:c r="I1175" s="27" t="str">
        <x:v>SRC11</x:v>
      </x:c>
      <x:c r="J1175" s="27" t="str">
        <x:v>Ordered spiral link; consult explicit prerequisites for logical dependency.</x:v>
      </x:c>
    </x:row>
    <x:row r="1176">
      <x:c r="A1176" s="27" t="str">
        <x:v>E01172</x:v>
      </x:c>
      <x:c r="B1176" s="27" t="str">
        <x:v>S14-SCI-02:PREREQ</x:v>
      </x:c>
      <x:c r="C1176" s="27" t="str">
        <x:v>Needs/relationships and structure-function.</x:v>
      </x:c>
      <x:c r="D1176" s="27" t="str">
        <x:v>PREREQUISITE</x:v>
      </x:c>
      <x:c r="E1176" s="27" t="str">
        <x:v>S14-SCI-02</x:v>
      </x:c>
      <x:c r="F1176" s="27" t="str">
        <x:v>Biodiversity, pollination, and dispersal</x:v>
      </x:c>
      <x:c r="G1176" s="27" t="str">
        <x:v>S14</x:v>
      </x:c>
      <x:c r="H1176" s="27" t="str">
        <x:v>Science &amp; Engineering</x:v>
      </x:c>
      <x:c r="I1176" s="27" t="str">
        <x:v>SRC11</x:v>
      </x:c>
      <x:c r="J1176" s="27" t="str">
        <x:v>Incoming prerequisite relationship.</x:v>
      </x:c>
    </x:row>
    <x:row r="1177">
      <x:c r="A1177" s="27" t="str">
        <x:v>E01173</x:v>
      </x:c>
      <x:c r="B1177" s="27" t="str">
        <x:v>S14-SCI-02:GROUND</x:v>
      </x:c>
      <x:c r="C1177" s="27" t="str">
        <x:v>G4/G5 — Concrete model linked to coordinated representations</x:v>
      </x:c>
      <x:c r="D1177" s="27" t="str">
        <x:v>GROUNDED_BY</x:v>
      </x:c>
      <x:c r="E1177" s="27" t="str">
        <x:v>S14-SCI-02</x:v>
      </x:c>
      <x:c r="F1177" s="27" t="str">
        <x:v>Biodiversity, pollination, and dispersal</x:v>
      </x:c>
      <x:c r="G1177" s="27" t="str">
        <x:v>S14</x:v>
      </x:c>
      <x:c r="H1177" s="27" t="str">
        <x:v>Science &amp; Engineering</x:v>
      </x:c>
      <x:c r="I1177" s="27" t="str">
        <x:v>SRC11</x:v>
      </x:c>
      <x:c r="J1177" s="27" t="str">
        <x:v>Grounding form used to preserve meaning.</x:v>
      </x:c>
    </x:row>
    <x:row r="1178">
      <x:c r="A1178" s="27" t="str">
        <x:v>E01174</x:v>
      </x:c>
      <x:c r="B1178" s="27" t="str">
        <x:v>S14-SCI-02</x:v>
      </x:c>
      <x:c r="C1178" s="27" t="str">
        <x:v>Biodiversity, pollination, and dispersal</x:v>
      </x:c>
      <x:c r="D1178" s="27" t="str">
        <x:v>CONNECTS_TO</x:v>
      </x:c>
      <x:c r="E1178" s="27" t="str">
        <x:v>S14-SCI-02:CROSS</x:v>
      </x:c>
      <x:c r="F1178" s="27" t="str">
        <x:v>Sensory observation and action; mathematics/data; reading/writing evidence; computing/models; health and environmental/civic decisions.</x:v>
      </x:c>
      <x:c r="G1178" s="27" t="str">
        <x:v>S14</x:v>
      </x:c>
      <x:c r="H1178" s="27" t="str">
        <x:v>Science &amp; Engineering</x:v>
      </x:c>
      <x:c r="I1178" s="27" t="str">
        <x:v>SRC11</x:v>
      </x:c>
      <x:c r="J1178" s="27" t="str">
        <x:v>Parallel subject and representation links.</x:v>
      </x:c>
    </x:row>
    <x:row r="1179">
      <x:c r="A1179" s="27" t="str">
        <x:v>E01175</x:v>
      </x:c>
      <x:c r="B1179" s="27" t="str">
        <x:v>S14-SCI-02</x:v>
      </x:c>
      <x:c r="C1179" s="27" t="str">
        <x:v>Biodiversity, pollination, and dispersal</x:v>
      </x:c>
      <x:c r="D1179" s="27" t="str">
        <x:v>UNLOCKS</x:v>
      </x:c>
      <x:c r="E1179" s="27" t="str">
        <x:v>S14-SCI-02:NEXT</x:v>
      </x:c>
      <x:c r="F1179" s="27" t="str">
        <x:v>Organism diversity and interdependence deepen the ecosystem model.</x:v>
      </x:c>
      <x:c r="G1179" s="27" t="str">
        <x:v>S14</x:v>
      </x:c>
      <x:c r="H1179" s="27" t="str">
        <x:v>Science &amp; Engineering</x:v>
      </x:c>
      <x:c r="I1179" s="27" t="str">
        <x:v>SRC11</x:v>
      </x:c>
      <x:c r="J1179" s="27" t="str">
        <x:v>Outgoing use and placement rationale.</x:v>
      </x:c>
    </x:row>
    <x:row r="1180">
      <x:c r="A1180" s="27" t="str">
        <x:v>E01176</x:v>
      </x:c>
      <x:c r="B1180" s="27" t="str">
        <x:v>S14-SCI-02</x:v>
      </x:c>
      <x:c r="C1180" s="27" t="str">
        <x:v>Biodiversity, pollination, and dispersal</x:v>
      </x:c>
      <x:c r="D1180" s="27" t="str">
        <x:v>VERIFIED_BY</x:v>
      </x:c>
      <x:c r="E1180" s="27" t="str">
        <x:v>S14-SCI-02:EVIDENCE</x:v>
      </x:c>
      <x:c r="F1180" s="27" t="str">
        <x:v>Uses observations or a model to explain one plant-animal relationship.</x:v>
      </x:c>
      <x:c r="G1180" s="27" t="str">
        <x:v>S14</x:v>
      </x:c>
      <x:c r="H1180" s="27" t="str">
        <x:v>Science &amp; Engineering</x:v>
      </x:c>
      <x:c r="I1180" s="27" t="str">
        <x:v>SRC11</x:v>
      </x:c>
      <x:c r="J1180" s="27" t="str">
        <x:v>Observable evidence of usable learning.</x:v>
      </x:c>
    </x:row>
    <x:row r="1181">
      <x:c r="A1181" s="27" t="str">
        <x:v>E01177</x:v>
      </x:c>
      <x:c r="B1181" s="27" t="str">
        <x:v>S14-SCI-02</x:v>
      </x:c>
      <x:c r="C1181" s="27" t="str">
        <x:v>Previous node in domain progression</x:v>
      </x:c>
      <x:c r="D1181" s="27" t="str">
        <x:v>DOMAIN_SEQUENCE</x:v>
      </x:c>
      <x:c r="E1181" s="27" t="str">
        <x:v>S14-SCI-03</x:v>
      </x:c>
      <x:c r="F1181" s="27" t="str">
        <x:v>Slow and rapid Earth changes</x:v>
      </x:c>
      <x:c r="G1181" s="27" t="str">
        <x:v>S14</x:v>
      </x:c>
      <x:c r="H1181" s="27" t="str">
        <x:v>Science &amp; Engineering</x:v>
      </x:c>
      <x:c r="I1181" s="27" t="str">
        <x:v>SRC11</x:v>
      </x:c>
      <x:c r="J1181" s="27" t="str">
        <x:v>Ordered spiral link; consult explicit prerequisites for logical dependency.</x:v>
      </x:c>
    </x:row>
    <x:row r="1182">
      <x:c r="A1182" s="27" t="str">
        <x:v>E01178</x:v>
      </x:c>
      <x:c r="B1182" s="27" t="str">
        <x:v>S14-SCI-03:PREREQ</x:v>
      </x:c>
      <x:c r="C1182" s="27" t="str">
        <x:v>Weather patterns, observable change, and simple maps.</x:v>
      </x:c>
      <x:c r="D1182" s="27" t="str">
        <x:v>PREREQUISITE</x:v>
      </x:c>
      <x:c r="E1182" s="27" t="str">
        <x:v>S14-SCI-03</x:v>
      </x:c>
      <x:c r="F1182" s="27" t="str">
        <x:v>Slow and rapid Earth changes</x:v>
      </x:c>
      <x:c r="G1182" s="27" t="str">
        <x:v>S14</x:v>
      </x:c>
      <x:c r="H1182" s="27" t="str">
        <x:v>Science &amp; Engineering</x:v>
      </x:c>
      <x:c r="I1182" s="27" t="str">
        <x:v>SRC11</x:v>
      </x:c>
      <x:c r="J1182" s="27" t="str">
        <x:v>Incoming prerequisite relationship.</x:v>
      </x:c>
    </x:row>
    <x:row r="1183">
      <x:c r="A1183" s="27" t="str">
        <x:v>E01179</x:v>
      </x:c>
      <x:c r="B1183" s="27" t="str">
        <x:v>S14-SCI-03:GROUND</x:v>
      </x:c>
      <x:c r="C1183" s="27" t="str">
        <x:v>G4/G5 — Concrete model linked to coordinated representations</x:v>
      </x:c>
      <x:c r="D1183" s="27" t="str">
        <x:v>GROUNDED_BY</x:v>
      </x:c>
      <x:c r="E1183" s="27" t="str">
        <x:v>S14-SCI-03</x:v>
      </x:c>
      <x:c r="F1183" s="27" t="str">
        <x:v>Slow and rapid Earth changes</x:v>
      </x:c>
      <x:c r="G1183" s="27" t="str">
        <x:v>S14</x:v>
      </x:c>
      <x:c r="H1183" s="27" t="str">
        <x:v>Science &amp; Engineering</x:v>
      </x:c>
      <x:c r="I1183" s="27" t="str">
        <x:v>SRC11</x:v>
      </x:c>
      <x:c r="J1183" s="27" t="str">
        <x:v>Grounding form used to preserve meaning.</x:v>
      </x:c>
    </x:row>
    <x:row r="1184">
      <x:c r="A1184" s="27" t="str">
        <x:v>E01180</x:v>
      </x:c>
      <x:c r="B1184" s="27" t="str">
        <x:v>S14-SCI-03</x:v>
      </x:c>
      <x:c r="C1184" s="27" t="str">
        <x:v>Slow and rapid Earth changes</x:v>
      </x:c>
      <x:c r="D1184" s="27" t="str">
        <x:v>CONNECTS_TO</x:v>
      </x:c>
      <x:c r="E1184" s="27" t="str">
        <x:v>S14-SCI-03:CROSS</x:v>
      </x:c>
      <x:c r="F1184" s="27" t="str">
        <x:v>Sensory observation and action; mathematics/data; reading/writing evidence; computing/models; health and environmental/civic decisions.</x:v>
      </x:c>
      <x:c r="G1184" s="27" t="str">
        <x:v>S14</x:v>
      </x:c>
      <x:c r="H1184" s="27" t="str">
        <x:v>Science &amp; Engineering</x:v>
      </x:c>
      <x:c r="I1184" s="27" t="str">
        <x:v>SRC11</x:v>
      </x:c>
      <x:c r="J1184" s="27" t="str">
        <x:v>Parallel subject and representation links.</x:v>
      </x:c>
    </x:row>
    <x:row r="1185">
      <x:c r="A1185" s="27" t="str">
        <x:v>E01181</x:v>
      </x:c>
      <x:c r="B1185" s="27" t="str">
        <x:v>S14-SCI-03</x:v>
      </x:c>
      <x:c r="C1185" s="27" t="str">
        <x:v>Slow and rapid Earth changes</x:v>
      </x:c>
      <x:c r="D1185" s="27" t="str">
        <x:v>UNLOCKS</x:v>
      </x:c>
      <x:c r="E1185" s="27" t="str">
        <x:v>S14-SCI-03:NEXT</x:v>
      </x:c>
      <x:c r="F1185" s="27" t="str">
        <x:v>Rate of change and spatial models prepare geology and hazard reasoning.</x:v>
      </x:c>
      <x:c r="G1185" s="27" t="str">
        <x:v>S14</x:v>
      </x:c>
      <x:c r="H1185" s="27" t="str">
        <x:v>Science &amp; Engineering</x:v>
      </x:c>
      <x:c r="I1185" s="27" t="str">
        <x:v>SRC11</x:v>
      </x:c>
      <x:c r="J1185" s="27" t="str">
        <x:v>Outgoing use and placement rationale.</x:v>
      </x:c>
    </x:row>
    <x:row r="1186">
      <x:c r="A1186" s="27" t="str">
        <x:v>E01182</x:v>
      </x:c>
      <x:c r="B1186" s="27" t="str">
        <x:v>S14-SCI-03</x:v>
      </x:c>
      <x:c r="C1186" s="27" t="str">
        <x:v>Slow and rapid Earth changes</x:v>
      </x:c>
      <x:c r="D1186" s="27" t="str">
        <x:v>VERIFIED_BY</x:v>
      </x:c>
      <x:c r="E1186" s="27" t="str">
        <x:v>S14-SCI-03:EVIDENCE</x:v>
      </x:c>
      <x:c r="F1186" s="27" t="str">
        <x:v>Classifies a change by evidence about process/rate and interprets a land-water model.</x:v>
      </x:c>
      <x:c r="G1186" s="27" t="str">
        <x:v>S14</x:v>
      </x:c>
      <x:c r="H1186" s="27" t="str">
        <x:v>Science &amp; Engineering</x:v>
      </x:c>
      <x:c r="I1186" s="27" t="str">
        <x:v>SRC11</x:v>
      </x:c>
      <x:c r="J1186" s="27" t="str">
        <x:v>Observable evidence of usable learning.</x:v>
      </x:c>
    </x:row>
    <x:row r="1187">
      <x:c r="A1187" s="27" t="str">
        <x:v>E01183</x:v>
      </x:c>
      <x:c r="B1187" s="27" t="str">
        <x:v>S13-SST-01</x:v>
      </x:c>
      <x:c r="C1187" s="27" t="str">
        <x:v>Previous node in domain progression</x:v>
      </x:c>
      <x:c r="D1187" s="27" t="str">
        <x:v>DOMAIN_SEQUENCE</x:v>
      </x:c>
      <x:c r="E1187" s="27" t="str">
        <x:v>S14-SST-01</x:v>
      </x:c>
      <x:c r="F1187" s="27" t="str">
        <x:v>Local history, geography, civics, and markets</x:v>
      </x:c>
      <x:c r="G1187" s="27" t="str">
        <x:v>S14</x:v>
      </x:c>
      <x:c r="H1187" s="27" t="str">
        <x:v>Social Studies</x:v>
      </x:c>
      <x:c r="I1187" s="27" t="str">
        <x:v>SRC12</x:v>
      </x:c>
      <x:c r="J1187" s="27" t="str">
        <x:v>Ordered spiral link; consult explicit prerequisites for logical dependency.</x:v>
      </x:c>
    </x:row>
    <x:row r="1188">
      <x:c r="A1188" s="27" t="str">
        <x:v>E01184</x:v>
      </x:c>
      <x:c r="B1188" s="27" t="str">
        <x:v>S14-SST-01:PREREQ</x:v>
      </x:c>
      <x:c r="C1188" s="27" t="str">
        <x:v>Grade 1 source/map/timeline work and text comparison.</x:v>
      </x:c>
      <x:c r="D1188" s="27" t="str">
        <x:v>PREREQUISITE</x:v>
      </x:c>
      <x:c r="E1188" s="27" t="str">
        <x:v>S14-SST-01</x:v>
      </x:c>
      <x:c r="F1188" s="27" t="str">
        <x:v>Local history, geography, civics, and markets</x:v>
      </x:c>
      <x:c r="G1188" s="27" t="str">
        <x:v>S14</x:v>
      </x:c>
      <x:c r="H1188" s="27" t="str">
        <x:v>Social Studies</x:v>
      </x:c>
      <x:c r="I1188" s="27" t="str">
        <x:v>SRC12</x:v>
      </x:c>
      <x:c r="J1188" s="27" t="str">
        <x:v>Incoming prerequisite relationship.</x:v>
      </x:c>
    </x:row>
    <x:row r="1189">
      <x:c r="A1189" s="27" t="str">
        <x:v>E01185</x:v>
      </x:c>
      <x:c r="B1189" s="27" t="str">
        <x:v>S14-SST-01:GROUND</x:v>
      </x:c>
      <x:c r="C1189" s="27" t="str">
        <x:v>G4/G5 — Concrete model linked to coordinated representations</x:v>
      </x:c>
      <x:c r="D1189" s="27" t="str">
        <x:v>GROUNDED_BY</x:v>
      </x:c>
      <x:c r="E1189" s="27" t="str">
        <x:v>S14-SST-01</x:v>
      </x:c>
      <x:c r="F1189" s="27" t="str">
        <x:v>Local history, geography, civics, and markets</x:v>
      </x:c>
      <x:c r="G1189" s="27" t="str">
        <x:v>S14</x:v>
      </x:c>
      <x:c r="H1189" s="27" t="str">
        <x:v>Social Studies</x:v>
      </x:c>
      <x:c r="I1189" s="27" t="str">
        <x:v>SRC12</x:v>
      </x:c>
      <x:c r="J1189" s="27" t="str">
        <x:v>Grounding form used to preserve meaning.</x:v>
      </x:c>
    </x:row>
    <x:row r="1190">
      <x:c r="A1190" s="27" t="str">
        <x:v>E01186</x:v>
      </x:c>
      <x:c r="B1190" s="27" t="str">
        <x:v>S14-SST-01</x:v>
      </x:c>
      <x:c r="C1190" s="27" t="str">
        <x:v>Local history, geography, civics, and markets</x:v>
      </x:c>
      <x:c r="D1190" s="27" t="str">
        <x:v>CONNECTS_TO</x:v>
      </x:c>
      <x:c r="E1190" s="27" t="str">
        <x:v>S14-SST-01:CROSS</x:v>
      </x:c>
      <x:c r="F1190" s="27" t="str">
        <x:v>Language/literacy and source evidence; maps/data/economics; ethics/SEL; media literacy; arts/culture; civic action.</x:v>
      </x:c>
      <x:c r="G1190" s="27" t="str">
        <x:v>S14</x:v>
      </x:c>
      <x:c r="H1190" s="27" t="str">
        <x:v>Social Studies</x:v>
      </x:c>
      <x:c r="I1190" s="27" t="str">
        <x:v>SRC12</x:v>
      </x:c>
      <x:c r="J1190" s="27" t="str">
        <x:v>Parallel subject and representation links.</x:v>
      </x:c>
    </x:row>
    <x:row r="1191">
      <x:c r="A1191" s="27" t="str">
        <x:v>E01187</x:v>
      </x:c>
      <x:c r="B1191" s="27" t="str">
        <x:v>S14-SST-01</x:v>
      </x:c>
      <x:c r="C1191" s="27" t="str">
        <x:v>Local history, geography, civics, and markets</x:v>
      </x:c>
      <x:c r="D1191" s="27" t="str">
        <x:v>UNLOCKS</x:v>
      </x:c>
      <x:c r="E1191" s="27" t="str">
        <x:v>S14-SST-01:NEXT</x:v>
      </x:c>
      <x:c r="F1191" s="27" t="str">
        <x:v>Local evidence provides a manageable setting for evaluating perspectives and economic choices.</x:v>
      </x:c>
      <x:c r="G1191" s="27" t="str">
        <x:v>S14</x:v>
      </x:c>
      <x:c r="H1191" s="27" t="str">
        <x:v>Social Studies</x:v>
      </x:c>
      <x:c r="I1191" s="27" t="str">
        <x:v>SRC12</x:v>
      </x:c>
      <x:c r="J1191" s="27" t="str">
        <x:v>Outgoing use and placement rationale.</x:v>
      </x:c>
    </x:row>
    <x:row r="1192">
      <x:c r="A1192" s="27" t="str">
        <x:v>E01188</x:v>
      </x:c>
      <x:c r="B1192" s="27" t="str">
        <x:v>S14-SST-01</x:v>
      </x:c>
      <x:c r="C1192" s="27" t="str">
        <x:v>Local history, geography, civics, and markets</x:v>
      </x:c>
      <x:c r="D1192" s="27" t="str">
        <x:v>VERIFIED_BY</x:v>
      </x:c>
      <x:c r="E1192" s="27" t="str">
        <x:v>S14-SST-01:EVIDENCE</x:v>
      </x:c>
      <x:c r="F1192" s="27" t="str">
        <x:v>Builds a claim about local life using two sources or disciplinary tools.</x:v>
      </x:c>
      <x:c r="G1192" s="27" t="str">
        <x:v>S14</x:v>
      </x:c>
      <x:c r="H1192" s="27" t="str">
        <x:v>Social Studies</x:v>
      </x:c>
      <x:c r="I1192" s="27" t="str">
        <x:v>SRC12</x:v>
      </x:c>
      <x:c r="J1192" s="27" t="str">
        <x:v>Observable evidence of usable learning.</x:v>
      </x:c>
    </x:row>
    <x:row r="1193">
      <x:c r="A1193" s="27" t="str">
        <x:v>E01189</x:v>
      </x:c>
      <x:c r="B1193" s="27" t="str">
        <x:v>S13-ARTS-01</x:v>
      </x:c>
      <x:c r="C1193" s="27" t="str">
        <x:v>Previous node in domain progression</x:v>
      </x:c>
      <x:c r="D1193" s="27" t="str">
        <x:v>DOMAIN_SEQUENCE</x:v>
      </x:c>
      <x:c r="E1193" s="27" t="str">
        <x:v>S14-ARTS-01</x:v>
      </x:c>
      <x:c r="F1193" s="27" t="str">
        <x:v>Meter, melodic direction, and form</x:v>
      </x:c>
      <x:c r="G1193" s="27" t="str">
        <x:v>S14</x:v>
      </x:c>
      <x:c r="H1193" s="27" t="str">
        <x:v>Music &amp; Arts</x:v>
      </x:c>
      <x:c r="I1193" s="27" t="str">
        <x:v>SRC13</x:v>
      </x:c>
      <x:c r="J1193" s="27" t="str">
        <x:v>Ordered spiral link; consult explicit prerequisites for logical dependency.</x:v>
      </x:c>
    </x:row>
    <x:row r="1194">
      <x:c r="A1194" s="27" t="str">
        <x:v>E01190</x:v>
      </x:c>
      <x:c r="B1194" s="27" t="str">
        <x:v>S14-ARTS-01:PREREQ</x:v>
      </x:c>
      <x:c r="C1194" s="27" t="str">
        <x:v>Grade 1 rhythm/pitch patterns and repeating units.</x:v>
      </x:c>
      <x:c r="D1194" s="27" t="str">
        <x:v>PREREQUISITE</x:v>
      </x:c>
      <x:c r="E1194" s="27" t="str">
        <x:v>S14-ARTS-01</x:v>
      </x:c>
      <x:c r="F1194" s="27" t="str">
        <x:v>Meter, melodic direction, and form</x:v>
      </x:c>
      <x:c r="G1194" s="27" t="str">
        <x:v>S14</x:v>
      </x:c>
      <x:c r="H1194" s="27" t="str">
        <x:v>Music &amp; Arts</x:v>
      </x:c>
      <x:c r="I1194" s="27" t="str">
        <x:v>SRC13</x:v>
      </x:c>
      <x:c r="J1194" s="27" t="str">
        <x:v>Incoming prerequisite relationship.</x:v>
      </x:c>
    </x:row>
    <x:row r="1195">
      <x:c r="A1195" s="27" t="str">
        <x:v>E01191</x:v>
      </x:c>
      <x:c r="B1195" s="27" t="str">
        <x:v>S14-ARTS-01:GROUND</x:v>
      </x:c>
      <x:c r="C1195" s="27" t="str">
        <x:v>G4/G5 — Concrete model linked to coordinated representations</x:v>
      </x:c>
      <x:c r="D1195" s="27" t="str">
        <x:v>GROUNDED_BY</x:v>
      </x:c>
      <x:c r="E1195" s="27" t="str">
        <x:v>S14-ARTS-01</x:v>
      </x:c>
      <x:c r="F1195" s="27" t="str">
        <x:v>Meter, melodic direction, and form</x:v>
      </x:c>
      <x:c r="G1195" s="27" t="str">
        <x:v>S14</x:v>
      </x:c>
      <x:c r="H1195" s="27" t="str">
        <x:v>Music &amp; Arts</x:v>
      </x:c>
      <x:c r="I1195" s="27" t="str">
        <x:v>SRC13</x:v>
      </x:c>
      <x:c r="J1195" s="27" t="str">
        <x:v>Grounding form used to preserve meaning.</x:v>
      </x:c>
    </x:row>
    <x:row r="1196">
      <x:c r="A1196" s="27" t="str">
        <x:v>E01192</x:v>
      </x:c>
      <x:c r="B1196" s="27" t="str">
        <x:v>S14-ARTS-01</x:v>
      </x:c>
      <x:c r="C1196" s="27" t="str">
        <x:v>Meter, melodic direction, and form</x:v>
      </x:c>
      <x:c r="D1196" s="27" t="str">
        <x:v>CONNECTS_TO</x:v>
      </x:c>
      <x:c r="E1196" s="27" t="str">
        <x:v>S14-ARTS-01:CROSS</x:v>
      </x:c>
      <x:c r="F1196" s="27" t="str">
        <x:v>Sensory discrimination; motor timing; language/prosody; mathematics/pattern; history/culture; emotion, design, and technology.</x:v>
      </x:c>
      <x:c r="G1196" s="27" t="str">
        <x:v>S14</x:v>
      </x:c>
      <x:c r="H1196" s="27" t="str">
        <x:v>Music &amp; Arts</x:v>
      </x:c>
      <x:c r="I1196" s="27" t="str">
        <x:v>SRC13</x:v>
      </x:c>
      <x:c r="J1196" s="27" t="str">
        <x:v>Parallel subject and representation links.</x:v>
      </x:c>
    </x:row>
    <x:row r="1197">
      <x:c r="A1197" s="27" t="str">
        <x:v>E01193</x:v>
      </x:c>
      <x:c r="B1197" s="27" t="str">
        <x:v>S14-ARTS-01</x:v>
      </x:c>
      <x:c r="C1197" s="27" t="str">
        <x:v>Meter, melodic direction, and form</x:v>
      </x:c>
      <x:c r="D1197" s="27" t="str">
        <x:v>UNLOCKS</x:v>
      </x:c>
      <x:c r="E1197" s="27" t="str">
        <x:v>S14-ARTS-01:NEXT</x:v>
      </x:c>
      <x:c r="F1197" s="27" t="str">
        <x:v>Meter and form organize longer musical memory and coordinated ensemble performance.</x:v>
      </x:c>
      <x:c r="G1197" s="27" t="str">
        <x:v>S14</x:v>
      </x:c>
      <x:c r="H1197" s="27" t="str">
        <x:v>Music &amp; Arts</x:v>
      </x:c>
      <x:c r="I1197" s="27" t="str">
        <x:v>SRC13</x:v>
      </x:c>
      <x:c r="J1197" s="27" t="str">
        <x:v>Outgoing use and placement rationale.</x:v>
      </x:c>
    </x:row>
    <x:row r="1198">
      <x:c r="A1198" s="27" t="str">
        <x:v>E01194</x:v>
      </x:c>
      <x:c r="B1198" s="27" t="str">
        <x:v>S14-ARTS-01</x:v>
      </x:c>
      <x:c r="C1198" s="27" t="str">
        <x:v>Meter, melodic direction, and form</x:v>
      </x:c>
      <x:c r="D1198" s="27" t="str">
        <x:v>VERIFIED_BY</x:v>
      </x:c>
      <x:c r="E1198" s="27" t="str">
        <x:v>S14-ARTS-01:EVIDENCE</x:v>
      </x:c>
      <x:c r="F1198" s="27" t="str">
        <x:v>Performs or creates a phrase and identifies its beat grouping, contour, or section form.</x:v>
      </x:c>
      <x:c r="G1198" s="27" t="str">
        <x:v>S14</x:v>
      </x:c>
      <x:c r="H1198" s="27" t="str">
        <x:v>Music &amp; Arts</x:v>
      </x:c>
      <x:c r="I1198" s="27" t="str">
        <x:v>SRC13</x:v>
      </x:c>
      <x:c r="J1198" s="27" t="str">
        <x:v>Observable evidence of usable learning.</x:v>
      </x:c>
    </x:row>
    <x:row r="1199">
      <x:c r="A1199" s="27" t="str">
        <x:v>E01195</x:v>
      </x:c>
      <x:c r="B1199" s="27" t="str">
        <x:v>S13-HLTH-01</x:v>
      </x:c>
      <x:c r="C1199" s="27" t="str">
        <x:v>Previous node in domain progression</x:v>
      </x:c>
      <x:c r="D1199" s="27" t="str">
        <x:v>DOMAIN_SEQUENCE</x:v>
      </x:c>
      <x:c r="E1199" s="27" t="str">
        <x:v>S14-HLTH-01</x:v>
      </x:c>
      <x:c r="F1199" s="27" t="str">
        <x:v>Skill application and decision process</x:v>
      </x:c>
      <x:c r="G1199" s="27" t="str">
        <x:v>S14</x:v>
      </x:c>
      <x:c r="H1199" s="27" t="str">
        <x:v>Physical &amp; Health</x:v>
      </x:c>
      <x:c r="I1199" s="27" t="str">
        <x:v>SRC14; SRC15</x:v>
      </x:c>
      <x:c r="J1199" s="27" t="str">
        <x:v>Ordered spiral link; consult explicit prerequisites for logical dependency.</x:v>
      </x:c>
    </x:row>
    <x:row r="1200">
      <x:c r="A1200" s="27" t="str">
        <x:v>E01196</x:v>
      </x:c>
      <x:c r="B1200" s="27" t="str">
        <x:v>S14-HLTH-01:PREREQ</x:v>
      </x:c>
      <x:c r="C1200" s="27" t="str">
        <x:v>Grade 1 skill combinations and problem-options-choice.</x:v>
      </x:c>
      <x:c r="D1200" s="27" t="str">
        <x:v>PREREQUISITE</x:v>
      </x:c>
      <x:c r="E1200" s="27" t="str">
        <x:v>S14-HLTH-01</x:v>
      </x:c>
      <x:c r="F1200" s="27" t="str">
        <x:v>Skill application and decision process</x:v>
      </x:c>
      <x:c r="G1200" s="27" t="str">
        <x:v>S14</x:v>
      </x:c>
      <x:c r="H1200" s="27" t="str">
        <x:v>Physical &amp; Health</x:v>
      </x:c>
      <x:c r="I1200" s="27" t="str">
        <x:v>SRC14; SRC15</x:v>
      </x:c>
      <x:c r="J1200" s="27" t="str">
        <x:v>Incoming prerequisite relationship.</x:v>
      </x:c>
    </x:row>
    <x:row r="1201">
      <x:c r="A1201" s="27" t="str">
        <x:v>E01197</x:v>
      </x:c>
      <x:c r="B1201" s="27" t="str">
        <x:v>S14-HLTH-01:GROUND</x:v>
      </x:c>
      <x:c r="C1201" s="27" t="str">
        <x:v>G4/G5 — Concrete model linked to coordinated representations</x:v>
      </x:c>
      <x:c r="D1201" s="27" t="str">
        <x:v>GROUNDED_BY</x:v>
      </x:c>
      <x:c r="E1201" s="27" t="str">
        <x:v>S14-HLTH-01</x:v>
      </x:c>
      <x:c r="F1201" s="27" t="str">
        <x:v>Skill application and decision process</x:v>
      </x:c>
      <x:c r="G1201" s="27" t="str">
        <x:v>S14</x:v>
      </x:c>
      <x:c r="H1201" s="27" t="str">
        <x:v>Physical &amp; Health</x:v>
      </x:c>
      <x:c r="I1201" s="27" t="str">
        <x:v>SRC14; SRC15</x:v>
      </x:c>
      <x:c r="J1201" s="27" t="str">
        <x:v>Grounding form used to preserve meaning.</x:v>
      </x:c>
    </x:row>
    <x:row r="1202">
      <x:c r="A1202" s="27" t="str">
        <x:v>E01198</x:v>
      </x:c>
      <x:c r="B1202" s="27" t="str">
        <x:v>S14-HLTH-01</x:v>
      </x:c>
      <x:c r="C1202" s="27" t="str">
        <x:v>Skill application and decision process</x:v>
      </x:c>
      <x:c r="D1202" s="27" t="str">
        <x:v>CONNECTS_TO</x:v>
      </x:c>
      <x:c r="E1202" s="27" t="str">
        <x:v>S14-HLTH-01:CROSS</x:v>
      </x:c>
      <x:c r="F1202" s="27" t="str">
        <x:v>Motor/sensory development; life science; measurement/data; SEL/self-management; communication, safety, and decision-making.</x:v>
      </x:c>
      <x:c r="G1202" s="27" t="str">
        <x:v>S14</x:v>
      </x:c>
      <x:c r="H1202" s="27" t="str">
        <x:v>Physical &amp; Health</x:v>
      </x:c>
      <x:c r="I1202" s="27" t="str">
        <x:v>SRC14; SRC15</x:v>
      </x:c>
      <x:c r="J1202" s="27" t="str">
        <x:v>Parallel subject and representation links.</x:v>
      </x:c>
    </x:row>
    <x:row r="1203">
      <x:c r="A1203" s="27" t="str">
        <x:v>E01199</x:v>
      </x:c>
      <x:c r="B1203" s="27" t="str">
        <x:v>S14-HLTH-01</x:v>
      </x:c>
      <x:c r="C1203" s="27" t="str">
        <x:v>Skill application and decision process</x:v>
      </x:c>
      <x:c r="D1203" s="27" t="str">
        <x:v>UNLOCKS</x:v>
      </x:c>
      <x:c r="E1203" s="27" t="str">
        <x:v>S14-HLTH-01:NEXT</x:v>
      </x:c>
      <x:c r="F1203" s="27" t="str">
        <x:v>Applying skills under changing conditions supports transfer and responsible participation.</x:v>
      </x:c>
      <x:c r="G1203" s="27" t="str">
        <x:v>S14</x:v>
      </x:c>
      <x:c r="H1203" s="27" t="str">
        <x:v>Physical &amp; Health</x:v>
      </x:c>
      <x:c r="I1203" s="27" t="str">
        <x:v>SRC14; SRC15</x:v>
      </x:c>
      <x:c r="J1203" s="27" t="str">
        <x:v>Outgoing use and placement rationale.</x:v>
      </x:c>
    </x:row>
    <x:row r="1204">
      <x:c r="A1204" s="27" t="str">
        <x:v>E01200</x:v>
      </x:c>
      <x:c r="B1204" s="27" t="str">
        <x:v>S14-HLTH-01</x:v>
      </x:c>
      <x:c r="C1204" s="27" t="str">
        <x:v>Skill application and decision process</x:v>
      </x:c>
      <x:c r="D1204" s="27" t="str">
        <x:v>VERIFIED_BY</x:v>
      </x:c>
      <x:c r="E1204" s="27" t="str">
        <x:v>S14-HLTH-01:EVIDENCE</x:v>
      </x:c>
      <x:c r="F1204" s="27" t="str">
        <x:v>Chooses and explains an effective movement or health action for a scenario.</x:v>
      </x:c>
      <x:c r="G1204" s="27" t="str">
        <x:v>S14</x:v>
      </x:c>
      <x:c r="H1204" s="27" t="str">
        <x:v>Physical &amp; Health</x:v>
      </x:c>
      <x:c r="I1204" s="27" t="str">
        <x:v>SRC14; SRC15</x:v>
      </x:c>
      <x:c r="J1204" s="27" t="str">
        <x:v>Observable evidence of usable learning.</x:v>
      </x:c>
    </x:row>
    <x:row r="1205">
      <x:c r="A1205" s="27" t="str">
        <x:v>E01201</x:v>
      </x:c>
      <x:c r="B1205" s="27" t="str">
        <x:v>S13-COMP-02</x:v>
      </x:c>
      <x:c r="C1205" s="27" t="str">
        <x:v>Previous node in domain progression</x:v>
      </x:c>
      <x:c r="D1205" s="27" t="str">
        <x:v>DOMAIN_SEQUENCE</x:v>
      </x:c>
      <x:c r="E1205" s="27" t="str">
        <x:v>S14-COMP-01</x:v>
      </x:c>
      <x:c r="F1205" s="27" t="str">
        <x:v>Data representation, conditionals, and decomposition</x:v>
      </x:c>
      <x:c r="G1205" s="27" t="str">
        <x:v>S14</x:v>
      </x:c>
      <x:c r="H1205" s="27" t="str">
        <x:v>Computing &amp; Media</x:v>
      </x:c>
      <x:c r="I1205" s="27" t="str">
        <x:v>SRC16</x:v>
      </x:c>
      <x:c r="J1205" s="27" t="str">
        <x:v>Ordered spiral link; consult explicit prerequisites for logical dependency.</x:v>
      </x:c>
    </x:row>
    <x:row r="1206">
      <x:c r="A1206" s="27" t="str">
        <x:v>E01202</x:v>
      </x:c>
      <x:c r="B1206" s="27" t="str">
        <x:v>S14-COMP-01:PREREQ</x:v>
      </x:c>
      <x:c r="C1206" s="27" t="str">
        <x:v>Loops/events, sorting/data displays, and two-rule thinking.</x:v>
      </x:c>
      <x:c r="D1206" s="27" t="str">
        <x:v>PREREQUISITE</x:v>
      </x:c>
      <x:c r="E1206" s="27" t="str">
        <x:v>S14-COMP-01</x:v>
      </x:c>
      <x:c r="F1206" s="27" t="str">
        <x:v>Data representation, conditionals, and decomposition</x:v>
      </x:c>
      <x:c r="G1206" s="27" t="str">
        <x:v>S14</x:v>
      </x:c>
      <x:c r="H1206" s="27" t="str">
        <x:v>Computing &amp; Media</x:v>
      </x:c>
      <x:c r="I1206" s="27" t="str">
        <x:v>SRC16</x:v>
      </x:c>
      <x:c r="J1206" s="27" t="str">
        <x:v>Incoming prerequisite relationship.</x:v>
      </x:c>
    </x:row>
    <x:row r="1207">
      <x:c r="A1207" s="27" t="str">
        <x:v>E01203</x:v>
      </x:c>
      <x:c r="B1207" s="27" t="str">
        <x:v>S14-COMP-01:GROUND</x:v>
      </x:c>
      <x:c r="C1207" s="27" t="str">
        <x:v>G4/G5 — Concrete model linked to coordinated representations</x:v>
      </x:c>
      <x:c r="D1207" s="27" t="str">
        <x:v>GROUNDED_BY</x:v>
      </x:c>
      <x:c r="E1207" s="27" t="str">
        <x:v>S14-COMP-01</x:v>
      </x:c>
      <x:c r="F1207" s="27" t="str">
        <x:v>Data representation, conditionals, and decomposition</x:v>
      </x:c>
      <x:c r="G1207" s="27" t="str">
        <x:v>S14</x:v>
      </x:c>
      <x:c r="H1207" s="27" t="str">
        <x:v>Computing &amp; Media</x:v>
      </x:c>
      <x:c r="I1207" s="27" t="str">
        <x:v>SRC16</x:v>
      </x:c>
      <x:c r="J1207" s="27" t="str">
        <x:v>Grounding form used to preserve meaning.</x:v>
      </x:c>
    </x:row>
    <x:row r="1208">
      <x:c r="A1208" s="27" t="str">
        <x:v>E01204</x:v>
      </x:c>
      <x:c r="B1208" s="27" t="str">
        <x:v>S14-COMP-01</x:v>
      </x:c>
      <x:c r="C1208" s="27" t="str">
        <x:v>Data representation, conditionals, and decomposition</x:v>
      </x:c>
      <x:c r="D1208" s="27" t="str">
        <x:v>CONNECTS_TO</x:v>
      </x:c>
      <x:c r="E1208" s="27" t="str">
        <x:v>S14-COMP-01:CROSS</x:v>
      </x:c>
      <x:c r="F1208" s="27" t="str">
        <x:v>Mathematics/logic/data; language and media evidence; science/engineering models; art/design; civics, privacy, finance, and ethics.</x:v>
      </x:c>
      <x:c r="G1208" s="27" t="str">
        <x:v>S14</x:v>
      </x:c>
      <x:c r="H1208" s="27" t="str">
        <x:v>Computing &amp; Media</x:v>
      </x:c>
      <x:c r="I1208" s="27" t="str">
        <x:v>SRC16</x:v>
      </x:c>
      <x:c r="J1208" s="27" t="str">
        <x:v>Parallel subject and representation links.</x:v>
      </x:c>
    </x:row>
    <x:row r="1209">
      <x:c r="A1209" s="27" t="str">
        <x:v>E01205</x:v>
      </x:c>
      <x:c r="B1209" s="27" t="str">
        <x:v>S14-COMP-01</x:v>
      </x:c>
      <x:c r="C1209" s="27" t="str">
        <x:v>Data representation, conditionals, and decomposition</x:v>
      </x:c>
      <x:c r="D1209" s="27" t="str">
        <x:v>UNLOCKS</x:v>
      </x:c>
      <x:c r="E1209" s="27" t="str">
        <x:v>S14-COMP-01:NEXT</x:v>
      </x:c>
      <x:c r="F1209" s="27" t="str">
        <x:v>Conditionals connect decisions to algorithms; decomposition controls complexity.</x:v>
      </x:c>
      <x:c r="G1209" s="27" t="str">
        <x:v>S14</x:v>
      </x:c>
      <x:c r="H1209" s="27" t="str">
        <x:v>Computing &amp; Media</x:v>
      </x:c>
      <x:c r="I1209" s="27" t="str">
        <x:v>SRC16</x:v>
      </x:c>
      <x:c r="J1209" s="27" t="str">
        <x:v>Outgoing use and placement rationale.</x:v>
      </x:c>
    </x:row>
    <x:row r="1210">
      <x:c r="A1210" s="27" t="str">
        <x:v>E01206</x:v>
      </x:c>
      <x:c r="B1210" s="27" t="str">
        <x:v>S14-COMP-01</x:v>
      </x:c>
      <x:c r="C1210" s="27" t="str">
        <x:v>Data representation, conditionals, and decomposition</x:v>
      </x:c>
      <x:c r="D1210" s="27" t="str">
        <x:v>VERIFIED_BY</x:v>
      </x:c>
      <x:c r="E1210" s="27" t="str">
        <x:v>S14-COMP-01:EVIDENCE</x:v>
      </x:c>
      <x:c r="F1210" s="27" t="str">
        <x:v>Builds a program with a meaningful condition and explains how data or inputs affect output.</x:v>
      </x:c>
      <x:c r="G1210" s="27" t="str">
        <x:v>S14</x:v>
      </x:c>
      <x:c r="H1210" s="27" t="str">
        <x:v>Computing &amp; Media</x:v>
      </x:c>
      <x:c r="I1210" s="27" t="str">
        <x:v>SRC16</x:v>
      </x:c>
      <x:c r="J1210" s="27" t="str">
        <x:v>Observable evidence of usable learning.</x:v>
      </x:c>
    </x:row>
    <x:row r="1211">
      <x:c r="A1211" s="27" t="str">
        <x:v>E01207</x:v>
      </x:c>
      <x:c r="B1211" s="27" t="str">
        <x:v>S14-COMP-01</x:v>
      </x:c>
      <x:c r="C1211" s="27" t="str">
        <x:v>Previous node in domain progression</x:v>
      </x:c>
      <x:c r="D1211" s="27" t="str">
        <x:v>DOMAIN_SEQUENCE</x:v>
      </x:c>
      <x:c r="E1211" s="27" t="str">
        <x:v>S14-COMP-02</x:v>
      </x:c>
      <x:c r="F1211" s="27" t="str">
        <x:v>Private information and source clues</x:v>
      </x:c>
      <x:c r="G1211" s="27" t="str">
        <x:v>S14</x:v>
      </x:c>
      <x:c r="H1211" s="27" t="str">
        <x:v>Computing &amp; Media</x:v>
      </x:c>
      <x:c r="I1211" s="27" t="str">
        <x:v>SRC16; SRC20</x:v>
      </x:c>
      <x:c r="J1211" s="27" t="str">
        <x:v>Ordered spiral link; consult explicit prerequisites for logical dependency.</x:v>
      </x:c>
    </x:row>
    <x:row r="1212">
      <x:c r="A1212" s="27" t="str">
        <x:v>E01208</x:v>
      </x:c>
      <x:c r="B1212" s="27" t="str">
        <x:v>S14-COMP-02:PREREQ</x:v>
      </x:c>
      <x:c r="C1212" s="27" t="str">
        <x:v>Grade 1 creator/purpose, safety rules, and text comparison.</x:v>
      </x:c>
      <x:c r="D1212" s="27" t="str">
        <x:v>PREREQUISITE</x:v>
      </x:c>
      <x:c r="E1212" s="27" t="str">
        <x:v>S14-COMP-02</x:v>
      </x:c>
      <x:c r="F1212" s="27" t="str">
        <x:v>Private information and source clues</x:v>
      </x:c>
      <x:c r="G1212" s="27" t="str">
        <x:v>S14</x:v>
      </x:c>
      <x:c r="H1212" s="27" t="str">
        <x:v>Computing &amp; Media</x:v>
      </x:c>
      <x:c r="I1212" s="27" t="str">
        <x:v>SRC16; SRC20</x:v>
      </x:c>
      <x:c r="J1212" s="27" t="str">
        <x:v>Incoming prerequisite relationship.</x:v>
      </x:c>
    </x:row>
    <x:row r="1213">
      <x:c r="A1213" s="27" t="str">
        <x:v>E01209</x:v>
      </x:c>
      <x:c r="B1213" s="27" t="str">
        <x:v>S14-COMP-02:GROUND</x:v>
      </x:c>
      <x:c r="C1213" s="27" t="str">
        <x:v>G4/G5 — Concrete model linked to coordinated representations</x:v>
      </x:c>
      <x:c r="D1213" s="27" t="str">
        <x:v>GROUNDED_BY</x:v>
      </x:c>
      <x:c r="E1213" s="27" t="str">
        <x:v>S14-COMP-02</x:v>
      </x:c>
      <x:c r="F1213" s="27" t="str">
        <x:v>Private information and source clues</x:v>
      </x:c>
      <x:c r="G1213" s="27" t="str">
        <x:v>S14</x:v>
      </x:c>
      <x:c r="H1213" s="27" t="str">
        <x:v>Computing &amp; Media</x:v>
      </x:c>
      <x:c r="I1213" s="27" t="str">
        <x:v>SRC16; SRC20</x:v>
      </x:c>
      <x:c r="J1213" s="27" t="str">
        <x:v>Grounding form used to preserve meaning.</x:v>
      </x:c>
    </x:row>
    <x:row r="1214">
      <x:c r="A1214" s="27" t="str">
        <x:v>E01210</x:v>
      </x:c>
      <x:c r="B1214" s="27" t="str">
        <x:v>S14-COMP-02</x:v>
      </x:c>
      <x:c r="C1214" s="27" t="str">
        <x:v>Private information and source clues</x:v>
      </x:c>
      <x:c r="D1214" s="27" t="str">
        <x:v>CONNECTS_TO</x:v>
      </x:c>
      <x:c r="E1214" s="27" t="str">
        <x:v>S14-COMP-02:CROSS</x:v>
      </x:c>
      <x:c r="F1214" s="27" t="str">
        <x:v>Mathematics/logic/data; language and media evidence; science/engineering models; art/design; civics, privacy, finance, and ethics.</x:v>
      </x:c>
      <x:c r="G1214" s="27" t="str">
        <x:v>S14</x:v>
      </x:c>
      <x:c r="H1214" s="27" t="str">
        <x:v>Computing &amp; Media</x:v>
      </x:c>
      <x:c r="I1214" s="27" t="str">
        <x:v>SRC16; SRC20</x:v>
      </x:c>
      <x:c r="J1214" s="27" t="str">
        <x:v>Parallel subject and representation links.</x:v>
      </x:c>
    </x:row>
    <x:row r="1215">
      <x:c r="A1215" s="27" t="str">
        <x:v>E01211</x:v>
      </x:c>
      <x:c r="B1215" s="27" t="str">
        <x:v>S14-COMP-02</x:v>
      </x:c>
      <x:c r="C1215" s="27" t="str">
        <x:v>Private information and source clues</x:v>
      </x:c>
      <x:c r="D1215" s="27" t="str">
        <x:v>UNLOCKS</x:v>
      </x:c>
      <x:c r="E1215" s="27" t="str">
        <x:v>S14-COMP-02:NEXT</x:v>
      </x:c>
      <x:c r="F1215" s="27" t="str">
        <x:v>Privacy control and source clues support safe, evidence-aware media use.</x:v>
      </x:c>
      <x:c r="G1215" s="27" t="str">
        <x:v>S14</x:v>
      </x:c>
      <x:c r="H1215" s="27" t="str">
        <x:v>Computing &amp; Media</x:v>
      </x:c>
      <x:c r="I1215" s="27" t="str">
        <x:v>SRC16; SRC20</x:v>
      </x:c>
      <x:c r="J1215" s="27" t="str">
        <x:v>Outgoing use and placement rationale.</x:v>
      </x:c>
    </x:row>
    <x:row r="1216">
      <x:c r="A1216" s="27" t="str">
        <x:v>E01212</x:v>
      </x:c>
      <x:c r="B1216" s="27" t="str">
        <x:v>S14-COMP-02</x:v>
      </x:c>
      <x:c r="C1216" s="27" t="str">
        <x:v>Private information and source clues</x:v>
      </x:c>
      <x:c r="D1216" s="27" t="str">
        <x:v>VERIFIED_BY</x:v>
      </x:c>
      <x:c r="E1216" s="27" t="str">
        <x:v>S14-COMP-02:EVIDENCE</x:v>
      </x:c>
      <x:c r="F1216" s="27" t="str">
        <x:v>Explains whether information should be shared and cites one clue about source trustworthiness.</x:v>
      </x:c>
      <x:c r="G1216" s="27" t="str">
        <x:v>S14</x:v>
      </x:c>
      <x:c r="H1216" s="27" t="str">
        <x:v>Computing &amp; Media</x:v>
      </x:c>
      <x:c r="I1216" s="27" t="str">
        <x:v>SRC16; SRC20</x:v>
      </x:c>
      <x:c r="J1216" s="27" t="str">
        <x:v>Observable evidence of usable learning.</x:v>
      </x:c>
    </x:row>
    <x:row r="1217">
      <x:c r="A1217" s="27" t="str">
        <x:v>E01213</x:v>
      </x:c>
      <x:c r="B1217" s="27" t="str">
        <x:v>S13-LIFE-01</x:v>
      </x:c>
      <x:c r="C1217" s="27" t="str">
        <x:v>Previous node in domain progression</x:v>
      </x:c>
      <x:c r="D1217" s="27" t="str">
        <x:v>DOMAIN_SEQUENCE</x:v>
      </x:c>
      <x:c r="E1217" s="27" t="str">
        <x:v>S14-LIFE-01</x:v>
      </x:c>
      <x:c r="F1217" s="27" t="str">
        <x:v>Budgeting a small fixed amount</x:v>
      </x:c>
      <x:c r="G1217" s="27" t="str">
        <x:v>S14</x:v>
      </x:c>
      <x:c r="H1217" s="27" t="str">
        <x:v>Life, Finance &amp; Career</x:v>
      </x:c>
      <x:c r="I1217" s="27" t="str">
        <x:v>SRC19</x:v>
      </x:c>
      <x:c r="J1217" s="27" t="str">
        <x:v>Ordered spiral link; consult explicit prerequisites for logical dependency.</x:v>
      </x:c>
    </x:row>
    <x:row r="1218">
      <x:c r="A1218" s="27" t="str">
        <x:v>E01214</x:v>
      </x:c>
      <x:c r="B1218" s="27" t="str">
        <x:v>S14-LIFE-01:PREREQ</x:v>
      </x:c>
      <x:c r="C1218" s="27" t="str">
        <x:v>Needs/wants, addition/subtraction, and delayed choice.</x:v>
      </x:c>
      <x:c r="D1218" s="27" t="str">
        <x:v>PREREQUISITE</x:v>
      </x:c>
      <x:c r="E1218" s="27" t="str">
        <x:v>S14-LIFE-01</x:v>
      </x:c>
      <x:c r="F1218" s="27" t="str">
        <x:v>Budgeting a small fixed amount</x:v>
      </x:c>
      <x:c r="G1218" s="27" t="str">
        <x:v>S14</x:v>
      </x:c>
      <x:c r="H1218" s="27" t="str">
        <x:v>Life, Finance &amp; Career</x:v>
      </x:c>
      <x:c r="I1218" s="27" t="str">
        <x:v>SRC19</x:v>
      </x:c>
      <x:c r="J1218" s="27" t="str">
        <x:v>Incoming prerequisite relationship.</x:v>
      </x:c>
    </x:row>
    <x:row r="1219">
      <x:c r="A1219" s="27" t="str">
        <x:v>E01215</x:v>
      </x:c>
      <x:c r="B1219" s="27" t="str">
        <x:v>S14-LIFE-01:GROUND</x:v>
      </x:c>
      <x:c r="C1219" s="27" t="str">
        <x:v>G4/G5 — Concrete model linked to coordinated representations</x:v>
      </x:c>
      <x:c r="D1219" s="27" t="str">
        <x:v>GROUNDED_BY</x:v>
      </x:c>
      <x:c r="E1219" s="27" t="str">
        <x:v>S14-LIFE-01</x:v>
      </x:c>
      <x:c r="F1219" s="27" t="str">
        <x:v>Budgeting a small fixed amount</x:v>
      </x:c>
      <x:c r="G1219" s="27" t="str">
        <x:v>S14</x:v>
      </x:c>
      <x:c r="H1219" s="27" t="str">
        <x:v>Life, Finance &amp; Career</x:v>
      </x:c>
      <x:c r="I1219" s="27" t="str">
        <x:v>SRC19</x:v>
      </x:c>
      <x:c r="J1219" s="27" t="str">
        <x:v>Grounding form used to preserve meaning.</x:v>
      </x:c>
    </x:row>
    <x:row r="1220">
      <x:c r="A1220" s="27" t="str">
        <x:v>E01216</x:v>
      </x:c>
      <x:c r="B1220" s="27" t="str">
        <x:v>S14-LIFE-01</x:v>
      </x:c>
      <x:c r="C1220" s="27" t="str">
        <x:v>Budgeting a small fixed amount</x:v>
      </x:c>
      <x:c r="D1220" s="27" t="str">
        <x:v>CONNECTS_TO</x:v>
      </x:c>
      <x:c r="E1220" s="27" t="str">
        <x:v>S14-LIFE-01:CROSS</x:v>
      </x:c>
      <x:c r="F1220" s="27" t="str">
        <x:v>Mathematics/percent/growth; economics/civics; reading contracts/sources; computing/privacy; SEL, planning, and risk decisions.</x:v>
      </x:c>
      <x:c r="G1220" s="27" t="str">
        <x:v>S14</x:v>
      </x:c>
      <x:c r="H1220" s="27" t="str">
        <x:v>Life, Finance &amp; Career</x:v>
      </x:c>
      <x:c r="I1220" s="27" t="str">
        <x:v>SRC19</x:v>
      </x:c>
      <x:c r="J1220" s="27" t="str">
        <x:v>Parallel subject and representation links.</x:v>
      </x:c>
    </x:row>
    <x:row r="1221">
      <x:c r="A1221" s="27" t="str">
        <x:v>E01217</x:v>
      </x:c>
      <x:c r="B1221" s="27" t="str">
        <x:v>S14-LIFE-01</x:v>
      </x:c>
      <x:c r="C1221" s="27" t="str">
        <x:v>Budgeting a small fixed amount</x:v>
      </x:c>
      <x:c r="D1221" s="27" t="str">
        <x:v>UNLOCKS</x:v>
      </x:c>
      <x:c r="E1221" s="27" t="str">
        <x:v>S14-LIFE-01:NEXT</x:v>
      </x:c>
      <x:c r="F1221" s="27" t="str">
        <x:v>A simple budget makes tradeoffs and goal alignment visible.</x:v>
      </x:c>
      <x:c r="G1221" s="27" t="str">
        <x:v>S14</x:v>
      </x:c>
      <x:c r="H1221" s="27" t="str">
        <x:v>Life, Finance &amp; Career</x:v>
      </x:c>
      <x:c r="I1221" s="27" t="str">
        <x:v>SRC19</x:v>
      </x:c>
      <x:c r="J1221" s="27" t="str">
        <x:v>Outgoing use and placement rationale.</x:v>
      </x:c>
    </x:row>
    <x:row r="1222">
      <x:c r="A1222" s="27" t="str">
        <x:v>E01218</x:v>
      </x:c>
      <x:c r="B1222" s="27" t="str">
        <x:v>S14-LIFE-01</x:v>
      </x:c>
      <x:c r="C1222" s="27" t="str">
        <x:v>Budgeting a small fixed amount</x:v>
      </x:c>
      <x:c r="D1222" s="27" t="str">
        <x:v>VERIFIED_BY</x:v>
      </x:c>
      <x:c r="E1222" s="27" t="str">
        <x:v>S14-LIFE-01:EVIDENCE</x:v>
      </x:c>
      <x:c r="F1222" s="27" t="str">
        <x:v>Creates a balanced plan and explains one tradeoff.</x:v>
      </x:c>
      <x:c r="G1222" s="27" t="str">
        <x:v>S14</x:v>
      </x:c>
      <x:c r="H1222" s="27" t="str">
        <x:v>Life, Finance &amp; Career</x:v>
      </x:c>
      <x:c r="I1222" s="27" t="str">
        <x:v>SRC19</x:v>
      </x:c>
      <x:c r="J1222" s="27" t="str">
        <x:v>Observable evidence of usable learning.</x:v>
      </x:c>
    </x:row>
    <x:row r="1223">
      <x:c r="A1223" s="27" t="str">
        <x:v>E01219</x:v>
      </x:c>
      <x:c r="B1223" s="27" t="str">
        <x:v>S14-LEARN-01</x:v>
      </x:c>
      <x:c r="C1223" s="27" t="str">
        <x:v>Previous node in domain progression</x:v>
      </x:c>
      <x:c r="D1223" s="27" t="str">
        <x:v>DOMAIN_SEQUENCE</x:v>
      </x:c>
      <x:c r="E1223" s="27" t="str">
        <x:v>S15-LEARN-01</x:v>
      </x:c>
      <x:c r="F1223" s="27" t="str">
        <x:v>Strategy selection</x:v>
      </x:c>
      <x:c r="G1223" s="27" t="str">
        <x:v>S15</x:v>
      </x:c>
      <x:c r="H1223" s="27" t="str">
        <x:v>Learning Foundations</x:v>
      </x:c>
      <x:c r="I1223" s="27" t="str">
        <x:v>SRC05; SRC23</x:v>
      </x:c>
      <x:c r="J1223" s="27" t="str">
        <x:v>Ordered spiral link; consult explicit prerequisites for logical dependency.</x:v>
      </x:c>
    </x:row>
    <x:row r="1224">
      <x:c r="A1224" s="27" t="str">
        <x:v>E01220</x:v>
      </x:c>
      <x:c r="B1224" s="27" t="str">
        <x:v>S15-LEARN-01:PREREQ</x:v>
      </x:c>
      <x:c r="C1224" s="27" t="str">
        <x:v>Worked-example comparison, goal reflection, and help calibration.</x:v>
      </x:c>
      <x:c r="D1224" s="27" t="str">
        <x:v>PREREQUISITE</x:v>
      </x:c>
      <x:c r="E1224" s="27" t="str">
        <x:v>S15-LEARN-01</x:v>
      </x:c>
      <x:c r="F1224" s="27" t="str">
        <x:v>Strategy selection</x:v>
      </x:c>
      <x:c r="G1224" s="27" t="str">
        <x:v>S15</x:v>
      </x:c>
      <x:c r="H1224" s="27" t="str">
        <x:v>Learning Foundations</x:v>
      </x:c>
      <x:c r="I1224" s="27" t="str">
        <x:v>SRC05; SRC23</x:v>
      </x:c>
      <x:c r="J1224" s="27" t="str">
        <x:v>Incoming prerequisite relationship.</x:v>
      </x:c>
    </x:row>
    <x:row r="1225">
      <x:c r="A1225" s="27" t="str">
        <x:v>E01221</x:v>
      </x:c>
      <x:c r="B1225" s="27" t="str">
        <x:v>S15-LEARN-01:GROUND</x:v>
      </x:c>
      <x:c r="C1225" s="27" t="str">
        <x:v>G4/G5 — Concrete model linked to coordinated representations</x:v>
      </x:c>
      <x:c r="D1225" s="27" t="str">
        <x:v>GROUNDED_BY</x:v>
      </x:c>
      <x:c r="E1225" s="27" t="str">
        <x:v>S15-LEARN-01</x:v>
      </x:c>
      <x:c r="F1225" s="27" t="str">
        <x:v>Strategy selection</x:v>
      </x:c>
      <x:c r="G1225" s="27" t="str">
        <x:v>S15</x:v>
      </x:c>
      <x:c r="H1225" s="27" t="str">
        <x:v>Learning Foundations</x:v>
      </x:c>
      <x:c r="I1225" s="27" t="str">
        <x:v>SRC05; SRC23</x:v>
      </x:c>
      <x:c r="J1225" s="27" t="str">
        <x:v>Grounding form used to preserve meaning.</x:v>
      </x:c>
    </x:row>
    <x:row r="1226">
      <x:c r="A1226" s="27" t="str">
        <x:v>E01222</x:v>
      </x:c>
      <x:c r="B1226" s="27" t="str">
        <x:v>S15-LEARN-01</x:v>
      </x:c>
      <x:c r="C1226" s="27" t="str">
        <x:v>Strategy selection</x:v>
      </x:c>
      <x:c r="D1226" s="27" t="str">
        <x:v>CONNECTS_TO</x:v>
      </x:c>
      <x:c r="E1226" s="27" t="str">
        <x:v>S15-LEARN-01:CROSS</x:v>
      </x:c>
      <x:c r="F1226" s="27" t="str">
        <x:v>All domains: attention, memory, strategy choice, monitoring, retrieval, and transfer.</x:v>
      </x:c>
      <x:c r="G1226" s="27" t="str">
        <x:v>S15</x:v>
      </x:c>
      <x:c r="H1226" s="27" t="str">
        <x:v>Learning Foundations</x:v>
      </x:c>
      <x:c r="I1226" s="27" t="str">
        <x:v>SRC05; SRC23</x:v>
      </x:c>
      <x:c r="J1226" s="27" t="str">
        <x:v>Parallel subject and representation links.</x:v>
      </x:c>
    </x:row>
    <x:row r="1227">
      <x:c r="A1227" s="27" t="str">
        <x:v>E01223</x:v>
      </x:c>
      <x:c r="B1227" s="27" t="str">
        <x:v>S15-LEARN-01</x:v>
      </x:c>
      <x:c r="C1227" s="27" t="str">
        <x:v>Strategy selection</x:v>
      </x:c>
      <x:c r="D1227" s="27" t="str">
        <x:v>UNLOCKS</x:v>
      </x:c>
      <x:c r="E1227" s="27" t="str">
        <x:v>S15-LEARN-01:NEXT</x:v>
      </x:c>
      <x:c r="F1227" s="27" t="str">
        <x:v>Selecting rather than merely following a strategy marks increasing self-directed learning.</x:v>
      </x:c>
      <x:c r="G1227" s="27" t="str">
        <x:v>S15</x:v>
      </x:c>
      <x:c r="H1227" s="27" t="str">
        <x:v>Learning Foundations</x:v>
      </x:c>
      <x:c r="I1227" s="27" t="str">
        <x:v>SRC05; SRC23</x:v>
      </x:c>
      <x:c r="J1227" s="27" t="str">
        <x:v>Outgoing use and placement rationale.</x:v>
      </x:c>
    </x:row>
    <x:row r="1228">
      <x:c r="A1228" s="27" t="str">
        <x:v>E01224</x:v>
      </x:c>
      <x:c r="B1228" s="27" t="str">
        <x:v>S15-LEARN-01</x:v>
      </x:c>
      <x:c r="C1228" s="27" t="str">
        <x:v>Strategy selection</x:v>
      </x:c>
      <x:c r="D1228" s="27" t="str">
        <x:v>VERIFIED_BY</x:v>
      </x:c>
      <x:c r="E1228" s="27" t="str">
        <x:v>S15-LEARN-01:EVIDENCE</x:v>
      </x:c>
      <x:c r="F1228" s="27" t="str">
        <x:v>Names the task demand, selects a fitting strategy, and evaluates its result.</x:v>
      </x:c>
      <x:c r="G1228" s="27" t="str">
        <x:v>S15</x:v>
      </x:c>
      <x:c r="H1228" s="27" t="str">
        <x:v>Learning Foundations</x:v>
      </x:c>
      <x:c r="I1228" s="27" t="str">
        <x:v>SRC05; SRC23</x:v>
      </x:c>
      <x:c r="J1228" s="27" t="str">
        <x:v>Observable evidence of usable learning.</x:v>
      </x:c>
    </x:row>
    <x:row r="1229">
      <x:c r="A1229" s="27" t="str">
        <x:v>E01225</x:v>
      </x:c>
      <x:c r="B1229" s="27" t="str">
        <x:v>S14-SEL-01</x:v>
      </x:c>
      <x:c r="C1229" s="27" t="str">
        <x:v>Previous node in domain progression</x:v>
      </x:c>
      <x:c r="D1229" s="27" t="str">
        <x:v>DOMAIN_SEQUENCE</x:v>
      </x:c>
      <x:c r="E1229" s="27" t="str">
        <x:v>S15-SEL-01</x:v>
      </x:c>
      <x:c r="F1229" s="27" t="str">
        <x:v>Consequences and group impact</x:v>
      </x:c>
      <x:c r="G1229" s="27" t="str">
        <x:v>S15</x:v>
      </x:c>
      <x:c r="H1229" s="27" t="str">
        <x:v>Social-Emotional</x:v>
      </x:c>
      <x:c r="I1229" s="27" t="str">
        <x:v>SRC18</x:v>
      </x:c>
      <x:c r="J1229" s="27" t="str">
        <x:v>Ordered spiral link; consult explicit prerequisites for logical dependency.</x:v>
      </x:c>
    </x:row>
    <x:row r="1230">
      <x:c r="A1230" s="27" t="str">
        <x:v>E01226</x:v>
      </x:c>
      <x:c r="B1230" s="27" t="str">
        <x:v>S15-SEL-01:PREREQ</x:v>
      </x:c>
      <x:c r="C1230" s="27" t="str">
        <x:v>Perspective-taking, problem-options-choice, and cause reasoning.</x:v>
      </x:c>
      <x:c r="D1230" s="27" t="str">
        <x:v>PREREQUISITE</x:v>
      </x:c>
      <x:c r="E1230" s="27" t="str">
        <x:v>S15-SEL-01</x:v>
      </x:c>
      <x:c r="F1230" s="27" t="str">
        <x:v>Consequences and group impact</x:v>
      </x:c>
      <x:c r="G1230" s="27" t="str">
        <x:v>S15</x:v>
      </x:c>
      <x:c r="H1230" s="27" t="str">
        <x:v>Social-Emotional</x:v>
      </x:c>
      <x:c r="I1230" s="27" t="str">
        <x:v>SRC18</x:v>
      </x:c>
      <x:c r="J1230" s="27" t="str">
        <x:v>Incoming prerequisite relationship.</x:v>
      </x:c>
    </x:row>
    <x:row r="1231">
      <x:c r="A1231" s="27" t="str">
        <x:v>E01227</x:v>
      </x:c>
      <x:c r="B1231" s="27" t="str">
        <x:v>S15-SEL-01:GROUND</x:v>
      </x:c>
      <x:c r="C1231" s="27" t="str">
        <x:v>G4/G5 — Concrete model linked to coordinated representations</x:v>
      </x:c>
      <x:c r="D1231" s="27" t="str">
        <x:v>GROUNDED_BY</x:v>
      </x:c>
      <x:c r="E1231" s="27" t="str">
        <x:v>S15-SEL-01</x:v>
      </x:c>
      <x:c r="F1231" s="27" t="str">
        <x:v>Consequences and group impact</x:v>
      </x:c>
      <x:c r="G1231" s="27" t="str">
        <x:v>S15</x:v>
      </x:c>
      <x:c r="H1231" s="27" t="str">
        <x:v>Social-Emotional</x:v>
      </x:c>
      <x:c r="I1231" s="27" t="str">
        <x:v>SRC18</x:v>
      </x:c>
      <x:c r="J1231" s="27" t="str">
        <x:v>Grounding form used to preserve meaning.</x:v>
      </x:c>
    </x:row>
    <x:row r="1232">
      <x:c r="A1232" s="27" t="str">
        <x:v>E01228</x:v>
      </x:c>
      <x:c r="B1232" s="27" t="str">
        <x:v>S15-SEL-01</x:v>
      </x:c>
      <x:c r="C1232" s="27" t="str">
        <x:v>Consequences and group impact</x:v>
      </x:c>
      <x:c r="D1232" s="27" t="str">
        <x:v>CONNECTS_TO</x:v>
      </x:c>
      <x:c r="E1232" s="27" t="str">
        <x:v>S15-SEL-01:CROSS</x:v>
      </x:c>
      <x:c r="F1232" s="27" t="str">
        <x:v>Language and communication; health; collaboration in science, arts, civics, and projects; responsible digital/financial decisions.</x:v>
      </x:c>
      <x:c r="G1232" s="27" t="str">
        <x:v>S15</x:v>
      </x:c>
      <x:c r="H1232" s="27" t="str">
        <x:v>Social-Emotional</x:v>
      </x:c>
      <x:c r="I1232" s="27" t="str">
        <x:v>SRC18</x:v>
      </x:c>
      <x:c r="J1232" s="27" t="str">
        <x:v>Parallel subject and representation links.</x:v>
      </x:c>
    </x:row>
    <x:row r="1233">
      <x:c r="A1233" s="27" t="str">
        <x:v>E01229</x:v>
      </x:c>
      <x:c r="B1233" s="27" t="str">
        <x:v>S15-SEL-01</x:v>
      </x:c>
      <x:c r="C1233" s="27" t="str">
        <x:v>Consequences and group impact</x:v>
      </x:c>
      <x:c r="D1233" s="27" t="str">
        <x:v>UNLOCKS</x:v>
      </x:c>
      <x:c r="E1233" s="27" t="str">
        <x:v>S15-SEL-01:NEXT</x:v>
      </x:c>
      <x:c r="F1233" s="27" t="str">
        <x:v>Consequence analysis supports ethics, civic reasoning, health, and project decisions.</x:v>
      </x:c>
      <x:c r="G1233" s="27" t="str">
        <x:v>S15</x:v>
      </x:c>
      <x:c r="H1233" s="27" t="str">
        <x:v>Social-Emotional</x:v>
      </x:c>
      <x:c r="I1233" s="27" t="str">
        <x:v>SRC18</x:v>
      </x:c>
      <x:c r="J1233" s="27" t="str">
        <x:v>Outgoing use and placement rationale.</x:v>
      </x:c>
    </x:row>
    <x:row r="1234">
      <x:c r="A1234" s="27" t="str">
        <x:v>E01230</x:v>
      </x:c>
      <x:c r="B1234" s="27" t="str">
        <x:v>S15-SEL-01</x:v>
      </x:c>
      <x:c r="C1234" s="27" t="str">
        <x:v>Consequences and group impact</x:v>
      </x:c>
      <x:c r="D1234" s="27" t="str">
        <x:v>VERIFIED_BY</x:v>
      </x:c>
      <x:c r="E1234" s="27" t="str">
        <x:v>S15-SEL-01:EVIDENCE</x:v>
      </x:c>
      <x:c r="F1234" s="27" t="str">
        <x:v>Compares options using at least two likely effects and chooses consistently with the stated goal.</x:v>
      </x:c>
      <x:c r="G1234" s="27" t="str">
        <x:v>S15</x:v>
      </x:c>
      <x:c r="H1234" s="27" t="str">
        <x:v>Social-Emotional</x:v>
      </x:c>
      <x:c r="I1234" s="27" t="str">
        <x:v>SRC18</x:v>
      </x:c>
      <x:c r="J1234" s="27" t="str">
        <x:v>Observable evidence of usable learning.</x:v>
      </x:c>
    </x:row>
    <x:row r="1235">
      <x:c r="A1235" s="27" t="str">
        <x:v>E01231</x:v>
      </x:c>
      <x:c r="B1235" s="27" t="str">
        <x:v>S14-READ-04</x:v>
      </x:c>
      <x:c r="C1235" s="27" t="str">
        <x:v>Previous node in domain progression</x:v>
      </x:c>
      <x:c r="D1235" s="27" t="str">
        <x:v>DOMAIN_SEQUENCE</x:v>
      </x:c>
      <x:c r="E1235" s="27" t="str">
        <x:v>S15-READ-01</x:v>
      </x:c>
      <x:c r="F1235" s="27" t="str">
        <x:v>Multisyllable decoding and derivational morphology</x:v>
      </x:c>
      <x:c r="G1235" s="27" t="str">
        <x:v>S15</x:v>
      </x:c>
      <x:c r="H1235" s="27" t="str">
        <x:v>Reading</x:v>
      </x:c>
      <x:c r="I1235" s="27" t="str">
        <x:v>SRC08; SRC10</x:v>
      </x:c>
      <x:c r="J1235" s="27" t="str">
        <x:v>Ordered spiral link; consult explicit prerequisites for logical dependency.</x:v>
      </x:c>
    </x:row>
    <x:row r="1236">
      <x:c r="A1236" s="27" t="str">
        <x:v>E01232</x:v>
      </x:c>
      <x:c r="B1236" s="27" t="str">
        <x:v>S15-READ-01:PREREQ</x:v>
      </x:c>
      <x:c r="C1236" s="27" t="str">
        <x:v>Grade 2 syllable decoding and morphology/context introduction.</x:v>
      </x:c>
      <x:c r="D1236" s="27" t="str">
        <x:v>PREREQUISITE</x:v>
      </x:c>
      <x:c r="E1236" s="27" t="str">
        <x:v>S15-READ-01</x:v>
      </x:c>
      <x:c r="F1236" s="27" t="str">
        <x:v>Multisyllable decoding and derivational morphology</x:v>
      </x:c>
      <x:c r="G1236" s="27" t="str">
        <x:v>S15</x:v>
      </x:c>
      <x:c r="H1236" s="27" t="str">
        <x:v>Reading</x:v>
      </x:c>
      <x:c r="I1236" s="27" t="str">
        <x:v>SRC08; SRC10</x:v>
      </x:c>
      <x:c r="J1236" s="27" t="str">
        <x:v>Incoming prerequisite relationship.</x:v>
      </x:c>
    </x:row>
    <x:row r="1237">
      <x:c r="A1237" s="27" t="str">
        <x:v>E01233</x:v>
      </x:c>
      <x:c r="B1237" s="27" t="str">
        <x:v>S15-READ-01:GROUND</x:v>
      </x:c>
      <x:c r="C1237" s="27" t="str">
        <x:v>G4/G5 — Concrete model linked to coordinated representations</x:v>
      </x:c>
      <x:c r="D1237" s="27" t="str">
        <x:v>GROUNDED_BY</x:v>
      </x:c>
      <x:c r="E1237" s="27" t="str">
        <x:v>S15-READ-01</x:v>
      </x:c>
      <x:c r="F1237" s="27" t="str">
        <x:v>Multisyllable decoding and derivational morphology</x:v>
      </x:c>
      <x:c r="G1237" s="27" t="str">
        <x:v>S15</x:v>
      </x:c>
      <x:c r="H1237" s="27" t="str">
        <x:v>Reading</x:v>
      </x:c>
      <x:c r="I1237" s="27" t="str">
        <x:v>SRC08; SRC10</x:v>
      </x:c>
      <x:c r="J1237" s="27" t="str">
        <x:v>Grounding form used to preserve meaning.</x:v>
      </x:c>
    </x:row>
    <x:row r="1238">
      <x:c r="A1238" s="27" t="str">
        <x:v>E01234</x:v>
      </x:c>
      <x:c r="B1238" s="27" t="str">
        <x:v>S15-READ-01</x:v>
      </x:c>
      <x:c r="C1238" s="27" t="str">
        <x:v>Multisyllable decoding and derivational morphology</x:v>
      </x:c>
      <x:c r="D1238" s="27" t="str">
        <x:v>CONNECTS_TO</x:v>
      </x:c>
      <x:c r="E1238" s="27" t="str">
        <x:v>S15-READ-01:CROSS</x:v>
      </x:c>
      <x:c r="F1238" s="27" t="str">
        <x:v>Oral language and writing; evidence in science/social studies; mathematical and technical problem interpretation; media verification.</x:v>
      </x:c>
      <x:c r="G1238" s="27" t="str">
        <x:v>S15</x:v>
      </x:c>
      <x:c r="H1238" s="27" t="str">
        <x:v>Reading</x:v>
      </x:c>
      <x:c r="I1238" s="27" t="str">
        <x:v>SRC08; SRC10</x:v>
      </x:c>
      <x:c r="J1238" s="27" t="str">
        <x:v>Parallel subject and representation links.</x:v>
      </x:c>
    </x:row>
    <x:row r="1239">
      <x:c r="A1239" s="27" t="str">
        <x:v>E01235</x:v>
      </x:c>
      <x:c r="B1239" s="27" t="str">
        <x:v>S15-READ-01</x:v>
      </x:c>
      <x:c r="C1239" s="27" t="str">
        <x:v>Multisyllable decoding and derivational morphology</x:v>
      </x:c>
      <x:c r="D1239" s="27" t="str">
        <x:v>UNLOCKS</x:v>
      </x:c>
      <x:c r="E1239" s="27" t="str">
        <x:v>S15-READ-01:NEXT</x:v>
      </x:c>
      <x:c r="F1239" s="27" t="str">
        <x:v>Coordinated sound and meaning units support independent disciplinary reading.</x:v>
      </x:c>
      <x:c r="G1239" s="27" t="str">
        <x:v>S15</x:v>
      </x:c>
      <x:c r="H1239" s="27" t="str">
        <x:v>Reading</x:v>
      </x:c>
      <x:c r="I1239" s="27" t="str">
        <x:v>SRC08; SRC10</x:v>
      </x:c>
      <x:c r="J1239" s="27" t="str">
        <x:v>Outgoing use and placement rationale.</x:v>
      </x:c>
    </x:row>
    <x:row r="1240">
      <x:c r="A1240" s="27" t="str">
        <x:v>E01236</x:v>
      </x:c>
      <x:c r="B1240" s="27" t="str">
        <x:v>S15-READ-01</x:v>
      </x:c>
      <x:c r="C1240" s="27" t="str">
        <x:v>Multisyllable decoding and derivational morphology</x:v>
      </x:c>
      <x:c r="D1240" s="27" t="str">
        <x:v>VERIFIED_BY</x:v>
      </x:c>
      <x:c r="E1240" s="27" t="str">
        <x:v>S15-READ-01:EVIDENCE</x:v>
      </x:c>
      <x:c r="F1240" s="27" t="str">
        <x:v>Segments an unfamiliar longer word, reads it, and explains a relevant morpheme.</x:v>
      </x:c>
      <x:c r="G1240" s="27" t="str">
        <x:v>S15</x:v>
      </x:c>
      <x:c r="H1240" s="27" t="str">
        <x:v>Reading</x:v>
      </x:c>
      <x:c r="I1240" s="27" t="str">
        <x:v>SRC08; SRC10</x:v>
      </x:c>
      <x:c r="J1240" s="27" t="str">
        <x:v>Observable evidence of usable learning.</x:v>
      </x:c>
    </x:row>
    <x:row r="1241">
      <x:c r="A1241" s="27" t="str">
        <x:v>E01237</x:v>
      </x:c>
      <x:c r="B1241" s="27" t="str">
        <x:v>S15-READ-01</x:v>
      </x:c>
      <x:c r="C1241" s="27" t="str">
        <x:v>Previous node in domain progression</x:v>
      </x:c>
      <x:c r="D1241" s="27" t="str">
        <x:v>DOMAIN_SEQUENCE</x:v>
      </x:c>
      <x:c r="E1241" s="27" t="str">
        <x:v>S15-READ-02</x:v>
      </x:c>
      <x:c r="F1241" s="27" t="str">
        <x:v>Meaning-guided oral and silent reading</x:v>
      </x:c>
      <x:c r="G1241" s="27" t="str">
        <x:v>S15</x:v>
      </x:c>
      <x:c r="H1241" s="27" t="str">
        <x:v>Reading</x:v>
      </x:c>
      <x:c r="I1241" s="27" t="str">
        <x:v>SRC08; SRC10</x:v>
      </x:c>
      <x:c r="J1241" s="27" t="str">
        <x:v>Ordered spiral link; consult explicit prerequisites for logical dependency.</x:v>
      </x:c>
    </x:row>
    <x:row r="1242">
      <x:c r="A1242" s="27" t="str">
        <x:v>E01238</x:v>
      </x:c>
      <x:c r="B1242" s="27" t="str">
        <x:v>S15-READ-02:PREREQ</x:v>
      </x:c>
      <x:c r="C1242" s="27" t="str">
        <x:v>Grade 2 accuracy/rate/prosody and multisyllable decoding.</x:v>
      </x:c>
      <x:c r="D1242" s="27" t="str">
        <x:v>PREREQUISITE</x:v>
      </x:c>
      <x:c r="E1242" s="27" t="str">
        <x:v>S15-READ-02</x:v>
      </x:c>
      <x:c r="F1242" s="27" t="str">
        <x:v>Meaning-guided oral and silent reading</x:v>
      </x:c>
      <x:c r="G1242" s="27" t="str">
        <x:v>S15</x:v>
      </x:c>
      <x:c r="H1242" s="27" t="str">
        <x:v>Reading</x:v>
      </x:c>
      <x:c r="I1242" s="27" t="str">
        <x:v>SRC08; SRC10</x:v>
      </x:c>
      <x:c r="J1242" s="27" t="str">
        <x:v>Incoming prerequisite relationship.</x:v>
      </x:c>
    </x:row>
    <x:row r="1243">
      <x:c r="A1243" s="27" t="str">
        <x:v>E01239</x:v>
      </x:c>
      <x:c r="B1243" s="27" t="str">
        <x:v>S15-READ-02:GROUND</x:v>
      </x:c>
      <x:c r="C1243" s="27" t="str">
        <x:v>G4/G5 — Concrete model linked to coordinated representations</x:v>
      </x:c>
      <x:c r="D1243" s="27" t="str">
        <x:v>GROUNDED_BY</x:v>
      </x:c>
      <x:c r="E1243" s="27" t="str">
        <x:v>S15-READ-02</x:v>
      </x:c>
      <x:c r="F1243" s="27" t="str">
        <x:v>Meaning-guided oral and silent reading</x:v>
      </x:c>
      <x:c r="G1243" s="27" t="str">
        <x:v>S15</x:v>
      </x:c>
      <x:c r="H1243" s="27" t="str">
        <x:v>Reading</x:v>
      </x:c>
      <x:c r="I1243" s="27" t="str">
        <x:v>SRC08; SRC10</x:v>
      </x:c>
      <x:c r="J1243" s="27" t="str">
        <x:v>Grounding form used to preserve meaning.</x:v>
      </x:c>
    </x:row>
    <x:row r="1244">
      <x:c r="A1244" s="27" t="str">
        <x:v>E01240</x:v>
      </x:c>
      <x:c r="B1244" s="27" t="str">
        <x:v>S15-READ-02</x:v>
      </x:c>
      <x:c r="C1244" s="27" t="str">
        <x:v>Meaning-guided oral and silent reading</x:v>
      </x:c>
      <x:c r="D1244" s="27" t="str">
        <x:v>CONNECTS_TO</x:v>
      </x:c>
      <x:c r="E1244" s="27" t="str">
        <x:v>S15-READ-02:CROSS</x:v>
      </x:c>
      <x:c r="F1244" s="27" t="str">
        <x:v>Oral language and writing; evidence in science/social studies; mathematical and technical problem interpretation; media verification.</x:v>
      </x:c>
      <x:c r="G1244" s="27" t="str">
        <x:v>S15</x:v>
      </x:c>
      <x:c r="H1244" s="27" t="str">
        <x:v>Reading</x:v>
      </x:c>
      <x:c r="I1244" s="27" t="str">
        <x:v>SRC08; SRC10</x:v>
      </x:c>
      <x:c r="J1244" s="27" t="str">
        <x:v>Parallel subject and representation links.</x:v>
      </x:c>
    </x:row>
    <x:row r="1245">
      <x:c r="A1245" s="27" t="str">
        <x:v>E01241</x:v>
      </x:c>
      <x:c r="B1245" s="27" t="str">
        <x:v>S15-READ-02</x:v>
      </x:c>
      <x:c r="C1245" s="27" t="str">
        <x:v>Meaning-guided oral and silent reading</x:v>
      </x:c>
      <x:c r="D1245" s="27" t="str">
        <x:v>UNLOCKS</x:v>
      </x:c>
      <x:c r="E1245" s="27" t="str">
        <x:v>S15-READ-02:NEXT</x:v>
      </x:c>
      <x:c r="F1245" s="27" t="str">
        <x:v>Flexible fluency supports sustained comprehension across narrative and informational text.</x:v>
      </x:c>
      <x:c r="G1245" s="27" t="str">
        <x:v>S15</x:v>
      </x:c>
      <x:c r="H1245" s="27" t="str">
        <x:v>Reading</x:v>
      </x:c>
      <x:c r="I1245" s="27" t="str">
        <x:v>SRC08; SRC10</x:v>
      </x:c>
      <x:c r="J1245" s="27" t="str">
        <x:v>Outgoing use and placement rationale.</x:v>
      </x:c>
    </x:row>
    <x:row r="1246">
      <x:c r="A1246" s="27" t="str">
        <x:v>E01242</x:v>
      </x:c>
      <x:c r="B1246" s="27" t="str">
        <x:v>S15-READ-02</x:v>
      </x:c>
      <x:c r="C1246" s="27" t="str">
        <x:v>Meaning-guided oral and silent reading</x:v>
      </x:c>
      <x:c r="D1246" s="27" t="str">
        <x:v>VERIFIED_BY</x:v>
      </x:c>
      <x:c r="E1246" s="27" t="str">
        <x:v>S15-READ-02:EVIDENCE</x:v>
      </x:c>
      <x:c r="F1246" s="27" t="str">
        <x:v>Reads a passage with meaningful phrasing and summarizes it without losing central information.</x:v>
      </x:c>
      <x:c r="G1246" s="27" t="str">
        <x:v>S15</x:v>
      </x:c>
      <x:c r="H1246" s="27" t="str">
        <x:v>Reading</x:v>
      </x:c>
      <x:c r="I1246" s="27" t="str">
        <x:v>SRC08; SRC10</x:v>
      </x:c>
      <x:c r="J1246" s="27" t="str">
        <x:v>Observable evidence of usable learning.</x:v>
      </x:c>
    </x:row>
    <x:row r="1247">
      <x:c r="A1247" s="27" t="str">
        <x:v>E01243</x:v>
      </x:c>
      <x:c r="B1247" s="27" t="str">
        <x:v>S15-READ-02</x:v>
      </x:c>
      <x:c r="C1247" s="27" t="str">
        <x:v>Previous node in domain progression</x:v>
      </x:c>
      <x:c r="D1247" s="27" t="str">
        <x:v>DOMAIN_SEQUENCE</x:v>
      </x:c>
      <x:c r="E1247" s="27" t="str">
        <x:v>S15-READ-03</x:v>
      </x:c>
      <x:c r="F1247" s="27" t="str">
        <x:v>Theme, character, and point of view</x:v>
      </x:c>
      <x:c r="G1247" s="27" t="str">
        <x:v>S15</x:v>
      </x:c>
      <x:c r="H1247" s="27" t="str">
        <x:v>Reading</x:v>
      </x:c>
      <x:c r="I1247" s="27" t="str">
        <x:v>SRC10</x:v>
      </x:c>
      <x:c r="J1247" s="27" t="str">
        <x:v>Ordered spiral link; consult explicit prerequisites for logical dependency.</x:v>
      </x:c>
    </x:row>
    <x:row r="1248">
      <x:c r="A1248" s="27" t="str">
        <x:v>E01244</x:v>
      </x:c>
      <x:c r="B1248" s="27" t="str">
        <x:v>S15-READ-03:PREREQ</x:v>
      </x:c>
      <x:c r="C1248" s="27" t="str">
        <x:v>Story structure, inference, and text evidence.</x:v>
      </x:c>
      <x:c r="D1248" s="27" t="str">
        <x:v>PREREQUISITE</x:v>
      </x:c>
      <x:c r="E1248" s="27" t="str">
        <x:v>S15-READ-03</x:v>
      </x:c>
      <x:c r="F1248" s="27" t="str">
        <x:v>Theme, character, and point of view</x:v>
      </x:c>
      <x:c r="G1248" s="27" t="str">
        <x:v>S15</x:v>
      </x:c>
      <x:c r="H1248" s="27" t="str">
        <x:v>Reading</x:v>
      </x:c>
      <x:c r="I1248" s="27" t="str">
        <x:v>SRC10</x:v>
      </x:c>
      <x:c r="J1248" s="27" t="str">
        <x:v>Incoming prerequisite relationship.</x:v>
      </x:c>
    </x:row>
    <x:row r="1249">
      <x:c r="A1249" s="27" t="str">
        <x:v>E01245</x:v>
      </x:c>
      <x:c r="B1249" s="27" t="str">
        <x:v>S15-READ-03:GROUND</x:v>
      </x:c>
      <x:c r="C1249" s="27" t="str">
        <x:v>G4/G5 — Concrete model linked to coordinated representations</x:v>
      </x:c>
      <x:c r="D1249" s="27" t="str">
        <x:v>GROUNDED_BY</x:v>
      </x:c>
      <x:c r="E1249" s="27" t="str">
        <x:v>S15-READ-03</x:v>
      </x:c>
      <x:c r="F1249" s="27" t="str">
        <x:v>Theme, character, and point of view</x:v>
      </x:c>
      <x:c r="G1249" s="27" t="str">
        <x:v>S15</x:v>
      </x:c>
      <x:c r="H1249" s="27" t="str">
        <x:v>Reading</x:v>
      </x:c>
      <x:c r="I1249" s="27" t="str">
        <x:v>SRC10</x:v>
      </x:c>
      <x:c r="J1249" s="27" t="str">
        <x:v>Grounding form used to preserve meaning.</x:v>
      </x:c>
    </x:row>
    <x:row r="1250">
      <x:c r="A1250" s="27" t="str">
        <x:v>E01246</x:v>
      </x:c>
      <x:c r="B1250" s="27" t="str">
        <x:v>S15-READ-03</x:v>
      </x:c>
      <x:c r="C1250" s="27" t="str">
        <x:v>Theme, character, and point of view</x:v>
      </x:c>
      <x:c r="D1250" s="27" t="str">
        <x:v>CONNECTS_TO</x:v>
      </x:c>
      <x:c r="E1250" s="27" t="str">
        <x:v>S15-READ-03:CROSS</x:v>
      </x:c>
      <x:c r="F1250" s="27" t="str">
        <x:v>Oral language and writing; evidence in science/social studies; mathematical and technical problem interpretation; media verification.</x:v>
      </x:c>
      <x:c r="G1250" s="27" t="str">
        <x:v>S15</x:v>
      </x:c>
      <x:c r="H1250" s="27" t="str">
        <x:v>Reading</x:v>
      </x:c>
      <x:c r="I1250" s="27" t="str">
        <x:v>SRC10</x:v>
      </x:c>
      <x:c r="J1250" s="27" t="str">
        <x:v>Parallel subject and representation links.</x:v>
      </x:c>
    </x:row>
    <x:row r="1251">
      <x:c r="A1251" s="27" t="str">
        <x:v>E01247</x:v>
      </x:c>
      <x:c r="B1251" s="27" t="str">
        <x:v>S15-READ-03</x:v>
      </x:c>
      <x:c r="C1251" s="27" t="str">
        <x:v>Theme, character, and point of view</x:v>
      </x:c>
      <x:c r="D1251" s="27" t="str">
        <x:v>UNLOCKS</x:v>
      </x:c>
      <x:c r="E1251" s="27" t="str">
        <x:v>S15-READ-03:NEXT</x:v>
      </x:c>
      <x:c r="F1251" s="27" t="str">
        <x:v>Relations among perspective, action, and theme prepare literary analysis.</x:v>
      </x:c>
      <x:c r="G1251" s="27" t="str">
        <x:v>S15</x:v>
      </x:c>
      <x:c r="H1251" s="27" t="str">
        <x:v>Reading</x:v>
      </x:c>
      <x:c r="I1251" s="27" t="str">
        <x:v>SRC10</x:v>
      </x:c>
      <x:c r="J1251" s="27" t="str">
        <x:v>Outgoing use and placement rationale.</x:v>
      </x:c>
    </x:row>
    <x:row r="1252">
      <x:c r="A1252" s="27" t="str">
        <x:v>E01248</x:v>
      </x:c>
      <x:c r="B1252" s="27" t="str">
        <x:v>S15-READ-03</x:v>
      </x:c>
      <x:c r="C1252" s="27" t="str">
        <x:v>Theme, character, and point of view</x:v>
      </x:c>
      <x:c r="D1252" s="27" t="str">
        <x:v>VERIFIED_BY</x:v>
      </x:c>
      <x:c r="E1252" s="27" t="str">
        <x:v>S15-READ-03:EVIDENCE</x:v>
      </x:c>
      <x:c r="F1252" s="27" t="str">
        <x:v>Makes a claim about character or theme and supports it with specific events or language.</x:v>
      </x:c>
      <x:c r="G1252" s="27" t="str">
        <x:v>S15</x:v>
      </x:c>
      <x:c r="H1252" s="27" t="str">
        <x:v>Reading</x:v>
      </x:c>
      <x:c r="I1252" s="27" t="str">
        <x:v>SRC10</x:v>
      </x:c>
      <x:c r="J1252" s="27" t="str">
        <x:v>Observable evidence of usable learning.</x:v>
      </x:c>
    </x:row>
    <x:row r="1253">
      <x:c r="A1253" s="27" t="str">
        <x:v>E01249</x:v>
      </x:c>
      <x:c r="B1253" s="27" t="str">
        <x:v>S15-READ-03</x:v>
      </x:c>
      <x:c r="C1253" s="27" t="str">
        <x:v>Previous node in domain progression</x:v>
      </x:c>
      <x:c r="D1253" s="27" t="str">
        <x:v>DOMAIN_SEQUENCE</x:v>
      </x:c>
      <x:c r="E1253" s="27" t="str">
        <x:v>S15-READ-04</x:v>
      </x:c>
      <x:c r="F1253" s="27" t="str">
        <x:v>Main idea, text structure, and domain vocabulary</x:v>
      </x:c>
      <x:c r="G1253" s="27" t="str">
        <x:v>S15</x:v>
      </x:c>
      <x:c r="H1253" s="27" t="str">
        <x:v>Reading</x:v>
      </x:c>
      <x:c r="I1253" s="27" t="str">
        <x:v>SRC10</x:v>
      </x:c>
      <x:c r="J1253" s="27" t="str">
        <x:v>Ordered spiral link; consult explicit prerequisites for logical dependency.</x:v>
      </x:c>
    </x:row>
    <x:row r="1254">
      <x:c r="A1254" s="27" t="str">
        <x:v>E01250</x:v>
      </x:c>
      <x:c r="B1254" s="27" t="str">
        <x:v>S15-READ-04:PREREQ</x:v>
      </x:c>
      <x:c r="C1254" s="27" t="str">
        <x:v>Grade 2 main idea/structure, vocabulary morphology, and fluency.</x:v>
      </x:c>
      <x:c r="D1254" s="27" t="str">
        <x:v>PREREQUISITE</x:v>
      </x:c>
      <x:c r="E1254" s="27" t="str">
        <x:v>S15-READ-04</x:v>
      </x:c>
      <x:c r="F1254" s="27" t="str">
        <x:v>Main idea, text structure, and domain vocabulary</x:v>
      </x:c>
      <x:c r="G1254" s="27" t="str">
        <x:v>S15</x:v>
      </x:c>
      <x:c r="H1254" s="27" t="str">
        <x:v>Reading</x:v>
      </x:c>
      <x:c r="I1254" s="27" t="str">
        <x:v>SRC10</x:v>
      </x:c>
      <x:c r="J1254" s="27" t="str">
        <x:v>Incoming prerequisite relationship.</x:v>
      </x:c>
    </x:row>
    <x:row r="1255">
      <x:c r="A1255" s="27" t="str">
        <x:v>E01251</x:v>
      </x:c>
      <x:c r="B1255" s="27" t="str">
        <x:v>S15-READ-04:GROUND</x:v>
      </x:c>
      <x:c r="C1255" s="27" t="str">
        <x:v>G4/G5 — Concrete model linked to coordinated representations</x:v>
      </x:c>
      <x:c r="D1255" s="27" t="str">
        <x:v>GROUNDED_BY</x:v>
      </x:c>
      <x:c r="E1255" s="27" t="str">
        <x:v>S15-READ-04</x:v>
      </x:c>
      <x:c r="F1255" s="27" t="str">
        <x:v>Main idea, text structure, and domain vocabulary</x:v>
      </x:c>
      <x:c r="G1255" s="27" t="str">
        <x:v>S15</x:v>
      </x:c>
      <x:c r="H1255" s="27" t="str">
        <x:v>Reading</x:v>
      </x:c>
      <x:c r="I1255" s="27" t="str">
        <x:v>SRC10</x:v>
      </x:c>
      <x:c r="J1255" s="27" t="str">
        <x:v>Grounding form used to preserve meaning.</x:v>
      </x:c>
    </x:row>
    <x:row r="1256">
      <x:c r="A1256" s="27" t="str">
        <x:v>E01252</x:v>
      </x:c>
      <x:c r="B1256" s="27" t="str">
        <x:v>S15-READ-04</x:v>
      </x:c>
      <x:c r="C1256" s="27" t="str">
        <x:v>Main idea, text structure, and domain vocabulary</x:v>
      </x:c>
      <x:c r="D1256" s="27" t="str">
        <x:v>CONNECTS_TO</x:v>
      </x:c>
      <x:c r="E1256" s="27" t="str">
        <x:v>S15-READ-04:CROSS</x:v>
      </x:c>
      <x:c r="F1256" s="27" t="str">
        <x:v>Oral language and writing; evidence in science/social studies; mathematical and technical problem interpretation; media verification.</x:v>
      </x:c>
      <x:c r="G1256" s="27" t="str">
        <x:v>S15</x:v>
      </x:c>
      <x:c r="H1256" s="27" t="str">
        <x:v>Reading</x:v>
      </x:c>
      <x:c r="I1256" s="27" t="str">
        <x:v>SRC10</x:v>
      </x:c>
      <x:c r="J1256" s="27" t="str">
        <x:v>Parallel subject and representation links.</x:v>
      </x:c>
    </x:row>
    <x:row r="1257">
      <x:c r="A1257" s="27" t="str">
        <x:v>E01253</x:v>
      </x:c>
      <x:c r="B1257" s="27" t="str">
        <x:v>S15-READ-04</x:v>
      </x:c>
      <x:c r="C1257" s="27" t="str">
        <x:v>Main idea, text structure, and domain vocabulary</x:v>
      </x:c>
      <x:c r="D1257" s="27" t="str">
        <x:v>UNLOCKS</x:v>
      </x:c>
      <x:c r="E1257" s="27" t="str">
        <x:v>S15-READ-04:NEXT</x:v>
      </x:c>
      <x:c r="F1257" s="27" t="str">
        <x:v>Structure-aware reading supports science and social-studies learning.</x:v>
      </x:c>
      <x:c r="G1257" s="27" t="str">
        <x:v>S15</x:v>
      </x:c>
      <x:c r="H1257" s="27" t="str">
        <x:v>Reading</x:v>
      </x:c>
      <x:c r="I1257" s="27" t="str">
        <x:v>SRC10</x:v>
      </x:c>
      <x:c r="J1257" s="27" t="str">
        <x:v>Outgoing use and placement rationale.</x:v>
      </x:c>
    </x:row>
    <x:row r="1258">
      <x:c r="A1258" s="27" t="str">
        <x:v>E01254</x:v>
      </x:c>
      <x:c r="B1258" s="27" t="str">
        <x:v>S15-READ-04</x:v>
      </x:c>
      <x:c r="C1258" s="27" t="str">
        <x:v>Main idea, text structure, and domain vocabulary</x:v>
      </x:c>
      <x:c r="D1258" s="27" t="str">
        <x:v>VERIFIED_BY</x:v>
      </x:c>
      <x:c r="E1258" s="27" t="str">
        <x:v>S15-READ-04:EVIDENCE</x:v>
      </x:c>
      <x:c r="F1258" s="27" t="str">
        <x:v>Explains how a section’s structure organizes evidence for its main idea.</x:v>
      </x:c>
      <x:c r="G1258" s="27" t="str">
        <x:v>S15</x:v>
      </x:c>
      <x:c r="H1258" s="27" t="str">
        <x:v>Reading</x:v>
      </x:c>
      <x:c r="I1258" s="27" t="str">
        <x:v>SRC10</x:v>
      </x:c>
      <x:c r="J1258" s="27" t="str">
        <x:v>Observable evidence of usable learning.</x:v>
      </x:c>
    </x:row>
    <x:row r="1259">
      <x:c r="A1259" s="27" t="str">
        <x:v>E01255</x:v>
      </x:c>
      <x:c r="B1259" s="27" t="str">
        <x:v>S15-READ-04</x:v>
      </x:c>
      <x:c r="C1259" s="27" t="str">
        <x:v>Previous node in domain progression</x:v>
      </x:c>
      <x:c r="D1259" s="27" t="str">
        <x:v>DOMAIN_SEQUENCE</x:v>
      </x:c>
      <x:c r="E1259" s="27" t="str">
        <x:v>S15-READ-05</x:v>
      </x:c>
      <x:c r="F1259" s="27" t="str">
        <x:v>Compare accounts and media</x:v>
      </x:c>
      <x:c r="G1259" s="27" t="str">
        <x:v>S15</x:v>
      </x:c>
      <x:c r="H1259" s="27" t="str">
        <x:v>Reading</x:v>
      </x:c>
      <x:c r="I1259" s="27" t="str">
        <x:v>SRC10; SRC20</x:v>
      </x:c>
      <x:c r="J1259" s="27" t="str">
        <x:v>Ordered spiral link; consult explicit prerequisites for logical dependency.</x:v>
      </x:c>
    </x:row>
    <x:row r="1260">
      <x:c r="A1260" s="27" t="str">
        <x:v>E01256</x:v>
      </x:c>
      <x:c r="B1260" s="27" t="str">
        <x:v>S15-READ-05:PREREQ</x:v>
      </x:c>
      <x:c r="C1260" s="27" t="str">
        <x:v>Grade 2 cross-text comparison and media creator/purpose.</x:v>
      </x:c>
      <x:c r="D1260" s="27" t="str">
        <x:v>PREREQUISITE</x:v>
      </x:c>
      <x:c r="E1260" s="27" t="str">
        <x:v>S15-READ-05</x:v>
      </x:c>
      <x:c r="F1260" s="27" t="str">
        <x:v>Compare accounts and media</x:v>
      </x:c>
      <x:c r="G1260" s="27" t="str">
        <x:v>S15</x:v>
      </x:c>
      <x:c r="H1260" s="27" t="str">
        <x:v>Reading</x:v>
      </x:c>
      <x:c r="I1260" s="27" t="str">
        <x:v>SRC10; SRC20</x:v>
      </x:c>
      <x:c r="J1260" s="27" t="str">
        <x:v>Incoming prerequisite relationship.</x:v>
      </x:c>
    </x:row>
    <x:row r="1261">
      <x:c r="A1261" s="27" t="str">
        <x:v>E01257</x:v>
      </x:c>
      <x:c r="B1261" s="27" t="str">
        <x:v>S15-READ-05:GROUND</x:v>
      </x:c>
      <x:c r="C1261" s="27" t="str">
        <x:v>G4/G5 — Concrete model linked to coordinated representations</x:v>
      </x:c>
      <x:c r="D1261" s="27" t="str">
        <x:v>GROUNDED_BY</x:v>
      </x:c>
      <x:c r="E1261" s="27" t="str">
        <x:v>S15-READ-05</x:v>
      </x:c>
      <x:c r="F1261" s="27" t="str">
        <x:v>Compare accounts and media</x:v>
      </x:c>
      <x:c r="G1261" s="27" t="str">
        <x:v>S15</x:v>
      </x:c>
      <x:c r="H1261" s="27" t="str">
        <x:v>Reading</x:v>
      </x:c>
      <x:c r="I1261" s="27" t="str">
        <x:v>SRC10; SRC20</x:v>
      </x:c>
      <x:c r="J1261" s="27" t="str">
        <x:v>Grounding form used to preserve meaning.</x:v>
      </x:c>
    </x:row>
    <x:row r="1262">
      <x:c r="A1262" s="27" t="str">
        <x:v>E01258</x:v>
      </x:c>
      <x:c r="B1262" s="27" t="str">
        <x:v>S15-READ-05</x:v>
      </x:c>
      <x:c r="C1262" s="27" t="str">
        <x:v>Compare accounts and media</x:v>
      </x:c>
      <x:c r="D1262" s="27" t="str">
        <x:v>CONNECTS_TO</x:v>
      </x:c>
      <x:c r="E1262" s="27" t="str">
        <x:v>S15-READ-05:CROSS</x:v>
      </x:c>
      <x:c r="F1262" s="27" t="str">
        <x:v>Oral language and writing; evidence in science/social studies; mathematical and technical problem interpretation; media verification.</x:v>
      </x:c>
      <x:c r="G1262" s="27" t="str">
        <x:v>S15</x:v>
      </x:c>
      <x:c r="H1262" s="27" t="str">
        <x:v>Reading</x:v>
      </x:c>
      <x:c r="I1262" s="27" t="str">
        <x:v>SRC10; SRC20</x:v>
      </x:c>
      <x:c r="J1262" s="27" t="str">
        <x:v>Parallel subject and representation links.</x:v>
      </x:c>
    </x:row>
    <x:row r="1263">
      <x:c r="A1263" s="27" t="str">
        <x:v>E01259</x:v>
      </x:c>
      <x:c r="B1263" s="27" t="str">
        <x:v>S15-READ-05</x:v>
      </x:c>
      <x:c r="C1263" s="27" t="str">
        <x:v>Compare accounts and media</x:v>
      </x:c>
      <x:c r="D1263" s="27" t="str">
        <x:v>UNLOCKS</x:v>
      </x:c>
      <x:c r="E1263" s="27" t="str">
        <x:v>S15-READ-05:NEXT</x:v>
      </x:c>
      <x:c r="F1263" s="27" t="str">
        <x:v>Integration across representations prepares research synthesis.</x:v>
      </x:c>
      <x:c r="G1263" s="27" t="str">
        <x:v>S15</x:v>
      </x:c>
      <x:c r="H1263" s="27" t="str">
        <x:v>Reading</x:v>
      </x:c>
      <x:c r="I1263" s="27" t="str">
        <x:v>SRC10; SRC20</x:v>
      </x:c>
      <x:c r="J1263" s="27" t="str">
        <x:v>Outgoing use and placement rationale.</x:v>
      </x:c>
    </x:row>
    <x:row r="1264">
      <x:c r="A1264" s="27" t="str">
        <x:v>E01260</x:v>
      </x:c>
      <x:c r="B1264" s="27" t="str">
        <x:v>S15-READ-05</x:v>
      </x:c>
      <x:c r="C1264" s="27" t="str">
        <x:v>Compare accounts and media</x:v>
      </x:c>
      <x:c r="D1264" s="27" t="str">
        <x:v>VERIFIED_BY</x:v>
      </x:c>
      <x:c r="E1264" s="27" t="str">
        <x:v>S15-READ-05:EVIDENCE</x:v>
      </x:c>
      <x:c r="F1264" s="27" t="str">
        <x:v>States a combined conclusion and identifies what each source uniquely contributes.</x:v>
      </x:c>
      <x:c r="G1264" s="27" t="str">
        <x:v>S15</x:v>
      </x:c>
      <x:c r="H1264" s="27" t="str">
        <x:v>Reading</x:v>
      </x:c>
      <x:c r="I1264" s="27" t="str">
        <x:v>SRC10; SRC20</x:v>
      </x:c>
      <x:c r="J1264" s="27" t="str">
        <x:v>Observable evidence of usable learning.</x:v>
      </x:c>
    </x:row>
    <x:row r="1265">
      <x:c r="A1265" s="27" t="str">
        <x:v>E01261</x:v>
      </x:c>
      <x:c r="B1265" s="27" t="str">
        <x:v>S14-WRITE-03</x:v>
      </x:c>
      <x:c r="C1265" s="27" t="str">
        <x:v>Previous node in domain progression</x:v>
      </x:c>
      <x:c r="D1265" s="27" t="str">
        <x:v>DOMAIN_SEQUENCE</x:v>
      </x:c>
      <x:c r="E1265" s="27" t="str">
        <x:v>S15-WRITE-01</x:v>
      </x:c>
      <x:c r="F1265" s="27" t="str">
        <x:v>Claim/topic, evidence, explanation, transition</x:v>
      </x:c>
      <x:c r="G1265" s="27" t="str">
        <x:v>S15</x:v>
      </x:c>
      <x:c r="H1265" s="27" t="str">
        <x:v>Writing &amp; Language</x:v>
      </x:c>
      <x:c r="I1265" s="27" t="str">
        <x:v>SRC10; SRC21</x:v>
      </x:c>
      <x:c r="J1265" s="27" t="str">
        <x:v>Ordered spiral link; consult explicit prerequisites for logical dependency.</x:v>
      </x:c>
    </x:row>
    <x:row r="1266">
      <x:c r="A1266" s="27" t="str">
        <x:v>E01262</x:v>
      </x:c>
      <x:c r="B1266" s="27" t="str">
        <x:v>S15-WRITE-01:PREREQ</x:v>
      </x:c>
      <x:c r="C1266" s="27" t="str">
        <x:v>Grade 2 paragraph, inference, and sentence variety.</x:v>
      </x:c>
      <x:c r="D1266" s="27" t="str">
        <x:v>PREREQUISITE</x:v>
      </x:c>
      <x:c r="E1266" s="27" t="str">
        <x:v>S15-WRITE-01</x:v>
      </x:c>
      <x:c r="F1266" s="27" t="str">
        <x:v>Claim/topic, evidence, explanation, transition</x:v>
      </x:c>
      <x:c r="G1266" s="27" t="str">
        <x:v>S15</x:v>
      </x:c>
      <x:c r="H1266" s="27" t="str">
        <x:v>Writing &amp; Language</x:v>
      </x:c>
      <x:c r="I1266" s="27" t="str">
        <x:v>SRC10; SRC21</x:v>
      </x:c>
      <x:c r="J1266" s="27" t="str">
        <x:v>Incoming prerequisite relationship.</x:v>
      </x:c>
    </x:row>
    <x:row r="1267">
      <x:c r="A1267" s="27" t="str">
        <x:v>E01263</x:v>
      </x:c>
      <x:c r="B1267" s="27" t="str">
        <x:v>S15-WRITE-01:GROUND</x:v>
      </x:c>
      <x:c r="C1267" s="27" t="str">
        <x:v>G4/G5 — Concrete model linked to coordinated representations</x:v>
      </x:c>
      <x:c r="D1267" s="27" t="str">
        <x:v>GROUNDED_BY</x:v>
      </x:c>
      <x:c r="E1267" s="27" t="str">
        <x:v>S15-WRITE-01</x:v>
      </x:c>
      <x:c r="F1267" s="27" t="str">
        <x:v>Claim/topic, evidence, explanation, transition</x:v>
      </x:c>
      <x:c r="G1267" s="27" t="str">
        <x:v>S15</x:v>
      </x:c>
      <x:c r="H1267" s="27" t="str">
        <x:v>Writing &amp; Language</x:v>
      </x:c>
      <x:c r="I1267" s="27" t="str">
        <x:v>SRC10; SRC21</x:v>
      </x:c>
      <x:c r="J1267" s="27" t="str">
        <x:v>Grounding form used to preserve meaning.</x:v>
      </x:c>
    </x:row>
    <x:row r="1268">
      <x:c r="A1268" s="27" t="str">
        <x:v>E01264</x:v>
      </x:c>
      <x:c r="B1268" s="27" t="str">
        <x:v>S15-WRITE-01</x:v>
      </x:c>
      <x:c r="C1268" s="27" t="str">
        <x:v>Claim/topic, evidence, explanation, transition</x:v>
      </x:c>
      <x:c r="D1268" s="27" t="str">
        <x:v>CONNECTS_TO</x:v>
      </x:c>
      <x:c r="E1268" s="27" t="str">
        <x:v>S15-WRITE-01:CROSS</x:v>
      </x:c>
      <x:c r="F1268" s="27" t="str">
        <x:v>Reading models; evidence from science/social studies; mathematical explanation; research, media, and presentation.</x:v>
      </x:c>
      <x:c r="G1268" s="27" t="str">
        <x:v>S15</x:v>
      </x:c>
      <x:c r="H1268" s="27" t="str">
        <x:v>Writing &amp; Language</x:v>
      </x:c>
      <x:c r="I1268" s="27" t="str">
        <x:v>SRC10; SRC21</x:v>
      </x:c>
      <x:c r="J1268" s="27" t="str">
        <x:v>Parallel subject and representation links.</x:v>
      </x:c>
    </x:row>
    <x:row r="1269">
      <x:c r="A1269" s="27" t="str">
        <x:v>E01265</x:v>
      </x:c>
      <x:c r="B1269" s="27" t="str">
        <x:v>S15-WRITE-01</x:v>
      </x:c>
      <x:c r="C1269" s="27" t="str">
        <x:v>Claim/topic, evidence, explanation, transition</x:v>
      </x:c>
      <x:c r="D1269" s="27" t="str">
        <x:v>UNLOCKS</x:v>
      </x:c>
      <x:c r="E1269" s="27" t="str">
        <x:v>S15-WRITE-01:NEXT</x:v>
      </x:c>
      <x:c r="F1269" s="27" t="str">
        <x:v>Evidence plus explanation forms the reasoning unit used in essays and reports.</x:v>
      </x:c>
      <x:c r="G1269" s="27" t="str">
        <x:v>S15</x:v>
      </x:c>
      <x:c r="H1269" s="27" t="str">
        <x:v>Writing &amp; Language</x:v>
      </x:c>
      <x:c r="I1269" s="27" t="str">
        <x:v>SRC10; SRC21</x:v>
      </x:c>
      <x:c r="J1269" s="27" t="str">
        <x:v>Outgoing use and placement rationale.</x:v>
      </x:c>
    </x:row>
    <x:row r="1270">
      <x:c r="A1270" s="27" t="str">
        <x:v>E01266</x:v>
      </x:c>
      <x:c r="B1270" s="27" t="str">
        <x:v>S15-WRITE-01</x:v>
      </x:c>
      <x:c r="C1270" s="27" t="str">
        <x:v>Claim/topic, evidence, explanation, transition</x:v>
      </x:c>
      <x:c r="D1270" s="27" t="str">
        <x:v>VERIFIED_BY</x:v>
      </x:c>
      <x:c r="E1270" s="27" t="str">
        <x:v>S15-WRITE-01:EVIDENCE</x:v>
      </x:c>
      <x:c r="F1270" s="27" t="str">
        <x:v>Writes a paragraph where each detail is explained rather than merely listed.</x:v>
      </x:c>
      <x:c r="G1270" s="27" t="str">
        <x:v>S15</x:v>
      </x:c>
      <x:c r="H1270" s="27" t="str">
        <x:v>Writing &amp; Language</x:v>
      </x:c>
      <x:c r="I1270" s="27" t="str">
        <x:v>SRC10; SRC21</x:v>
      </x:c>
      <x:c r="J1270" s="27" t="str">
        <x:v>Observable evidence of usable learning.</x:v>
      </x:c>
    </x:row>
    <x:row r="1271">
      <x:c r="A1271" s="27" t="str">
        <x:v>E01267</x:v>
      </x:c>
      <x:c r="B1271" s="27" t="str">
        <x:v>S15-WRITE-01</x:v>
      </x:c>
      <x:c r="C1271" s="27" t="str">
        <x:v>Previous node in domain progression</x:v>
      </x:c>
      <x:c r="D1271" s="27" t="str">
        <x:v>DOMAIN_SEQUENCE</x:v>
      </x:c>
      <x:c r="E1271" s="27" t="str">
        <x:v>S15-WRITE-02</x:v>
      </x:c>
      <x:c r="F1271" s="27" t="str">
        <x:v>Narrative, informative, and opinion organization</x:v>
      </x:c>
      <x:c r="G1271" s="27" t="str">
        <x:v>S15</x:v>
      </x:c>
      <x:c r="H1271" s="27" t="str">
        <x:v>Writing &amp; Language</x:v>
      </x:c>
      <x:c r="I1271" s="27" t="str">
        <x:v>SRC10; SRC21</x:v>
      </x:c>
      <x:c r="J1271" s="27" t="str">
        <x:v>Ordered spiral link; consult explicit prerequisites for logical dependency.</x:v>
      </x:c>
    </x:row>
    <x:row r="1272">
      <x:c r="A1272" s="27" t="str">
        <x:v>E01268</x:v>
      </x:c>
      <x:c r="B1272" s="27" t="str">
        <x:v>S15-WRITE-02:PREREQ</x:v>
      </x:c>
      <x:c r="C1272" s="27" t="str">
        <x:v>Purpose-specific connected writing and paragraph development.</x:v>
      </x:c>
      <x:c r="D1272" s="27" t="str">
        <x:v>PREREQUISITE</x:v>
      </x:c>
      <x:c r="E1272" s="27" t="str">
        <x:v>S15-WRITE-02</x:v>
      </x:c>
      <x:c r="F1272" s="27" t="str">
        <x:v>Narrative, informative, and opinion organization</x:v>
      </x:c>
      <x:c r="G1272" s="27" t="str">
        <x:v>S15</x:v>
      </x:c>
      <x:c r="H1272" s="27" t="str">
        <x:v>Writing &amp; Language</x:v>
      </x:c>
      <x:c r="I1272" s="27" t="str">
        <x:v>SRC10; SRC21</x:v>
      </x:c>
      <x:c r="J1272" s="27" t="str">
        <x:v>Incoming prerequisite relationship.</x:v>
      </x:c>
    </x:row>
    <x:row r="1273">
      <x:c r="A1273" s="27" t="str">
        <x:v>E01269</x:v>
      </x:c>
      <x:c r="B1273" s="27" t="str">
        <x:v>S15-WRITE-02:GROUND</x:v>
      </x:c>
      <x:c r="C1273" s="27" t="str">
        <x:v>G4/G5 — Concrete model linked to coordinated representations</x:v>
      </x:c>
      <x:c r="D1273" s="27" t="str">
        <x:v>GROUNDED_BY</x:v>
      </x:c>
      <x:c r="E1273" s="27" t="str">
        <x:v>S15-WRITE-02</x:v>
      </x:c>
      <x:c r="F1273" s="27" t="str">
        <x:v>Narrative, informative, and opinion organization</x:v>
      </x:c>
      <x:c r="G1273" s="27" t="str">
        <x:v>S15</x:v>
      </x:c>
      <x:c r="H1273" s="27" t="str">
        <x:v>Writing &amp; Language</x:v>
      </x:c>
      <x:c r="I1273" s="27" t="str">
        <x:v>SRC10; SRC21</x:v>
      </x:c>
      <x:c r="J1273" s="27" t="str">
        <x:v>Grounding form used to preserve meaning.</x:v>
      </x:c>
    </x:row>
    <x:row r="1274">
      <x:c r="A1274" s="27" t="str">
        <x:v>E01270</x:v>
      </x:c>
      <x:c r="B1274" s="27" t="str">
        <x:v>S15-WRITE-02</x:v>
      </x:c>
      <x:c r="C1274" s="27" t="str">
        <x:v>Narrative, informative, and opinion organization</x:v>
      </x:c>
      <x:c r="D1274" s="27" t="str">
        <x:v>CONNECTS_TO</x:v>
      </x:c>
      <x:c r="E1274" s="27" t="str">
        <x:v>S15-WRITE-02:CROSS</x:v>
      </x:c>
      <x:c r="F1274" s="27" t="str">
        <x:v>Reading models; evidence from science/social studies; mathematical explanation; research, media, and presentation.</x:v>
      </x:c>
      <x:c r="G1274" s="27" t="str">
        <x:v>S15</x:v>
      </x:c>
      <x:c r="H1274" s="27" t="str">
        <x:v>Writing &amp; Language</x:v>
      </x:c>
      <x:c r="I1274" s="27" t="str">
        <x:v>SRC10; SRC21</x:v>
      </x:c>
      <x:c r="J1274" s="27" t="str">
        <x:v>Parallel subject and representation links.</x:v>
      </x:c>
    </x:row>
    <x:row r="1275">
      <x:c r="A1275" s="27" t="str">
        <x:v>E01271</x:v>
      </x:c>
      <x:c r="B1275" s="27" t="str">
        <x:v>S15-WRITE-02</x:v>
      </x:c>
      <x:c r="C1275" s="27" t="str">
        <x:v>Narrative, informative, and opinion organization</x:v>
      </x:c>
      <x:c r="D1275" s="27" t="str">
        <x:v>UNLOCKS</x:v>
      </x:c>
      <x:c r="E1275" s="27" t="str">
        <x:v>S15-WRITE-02:NEXT</x:v>
      </x:c>
      <x:c r="F1275" s="27" t="str">
        <x:v>Distinct genre schemas help students plan longer compositions.</x:v>
      </x:c>
      <x:c r="G1275" s="27" t="str">
        <x:v>S15</x:v>
      </x:c>
      <x:c r="H1275" s="27" t="str">
        <x:v>Writing &amp; Language</x:v>
      </x:c>
      <x:c r="I1275" s="27" t="str">
        <x:v>SRC10; SRC21</x:v>
      </x:c>
      <x:c r="J1275" s="27" t="str">
        <x:v>Outgoing use and placement rationale.</x:v>
      </x:c>
    </x:row>
    <x:row r="1276">
      <x:c r="A1276" s="27" t="str">
        <x:v>E01272</x:v>
      </x:c>
      <x:c r="B1276" s="27" t="str">
        <x:v>S15-WRITE-02</x:v>
      </x:c>
      <x:c r="C1276" s="27" t="str">
        <x:v>Narrative, informative, and opinion organization</x:v>
      </x:c>
      <x:c r="D1276" s="27" t="str">
        <x:v>VERIFIED_BY</x:v>
      </x:c>
      <x:c r="E1276" s="27" t="str">
        <x:v>S15-WRITE-02:EVIDENCE</x:v>
      </x:c>
      <x:c r="F1276" s="27" t="str">
        <x:v>Produces a multi-paragraph or extended piece whose organization matches its purpose.</x:v>
      </x:c>
      <x:c r="G1276" s="27" t="str">
        <x:v>S15</x:v>
      </x:c>
      <x:c r="H1276" s="27" t="str">
        <x:v>Writing &amp; Language</x:v>
      </x:c>
      <x:c r="I1276" s="27" t="str">
        <x:v>SRC10; SRC21</x:v>
      </x:c>
      <x:c r="J1276" s="27" t="str">
        <x:v>Observable evidence of usable learning.</x:v>
      </x:c>
    </x:row>
    <x:row r="1277">
      <x:c r="A1277" s="27" t="str">
        <x:v>E01273</x:v>
      </x:c>
      <x:c r="B1277" s="27" t="str">
        <x:v>S15-WRITE-02</x:v>
      </x:c>
      <x:c r="C1277" s="27" t="str">
        <x:v>Previous node in domain progression</x:v>
      </x:c>
      <x:c r="D1277" s="27" t="str">
        <x:v>DOMAIN_SEQUENCE</x:v>
      </x:c>
      <x:c r="E1277" s="27" t="str">
        <x:v>S15-WRITE-03</x:v>
      </x:c>
      <x:c r="F1277" s="27" t="str">
        <x:v>Grammar and conventional spelling consolidation</x:v>
      </x:c>
      <x:c r="G1277" s="27" t="str">
        <x:v>S15</x:v>
      </x:c>
      <x:c r="H1277" s="27" t="str">
        <x:v>Writing &amp; Language</x:v>
      </x:c>
      <x:c r="I1277" s="27" t="str">
        <x:v>SRC10; SRC21</x:v>
      </x:c>
      <x:c r="J1277" s="27" t="str">
        <x:v>Ordered spiral link; consult explicit prerequisites for logical dependency.</x:v>
      </x:c>
    </x:row>
    <x:row r="1278">
      <x:c r="A1278" s="27" t="str">
        <x:v>E01274</x:v>
      </x:c>
      <x:c r="B1278" s="27" t="str">
        <x:v>S15-WRITE-03:PREREQ</x:v>
      </x:c>
      <x:c r="C1278" s="27" t="str">
        <x:v>Sentence craft, morphology, and revision/editing cycle.</x:v>
      </x:c>
      <x:c r="D1278" s="27" t="str">
        <x:v>PREREQUISITE</x:v>
      </x:c>
      <x:c r="E1278" s="27" t="str">
        <x:v>S15-WRITE-03</x:v>
      </x:c>
      <x:c r="F1278" s="27" t="str">
        <x:v>Grammar and conventional spelling consolidation</x:v>
      </x:c>
      <x:c r="G1278" s="27" t="str">
        <x:v>S15</x:v>
      </x:c>
      <x:c r="H1278" s="27" t="str">
        <x:v>Writing &amp; Language</x:v>
      </x:c>
      <x:c r="I1278" s="27" t="str">
        <x:v>SRC10; SRC21</x:v>
      </x:c>
      <x:c r="J1278" s="27" t="str">
        <x:v>Incoming prerequisite relationship.</x:v>
      </x:c>
    </x:row>
    <x:row r="1279">
      <x:c r="A1279" s="27" t="str">
        <x:v>E01275</x:v>
      </x:c>
      <x:c r="B1279" s="27" t="str">
        <x:v>S15-WRITE-03:GROUND</x:v>
      </x:c>
      <x:c r="C1279" s="27" t="str">
        <x:v>G4/G5 — Concrete model linked to coordinated representations</x:v>
      </x:c>
      <x:c r="D1279" s="27" t="str">
        <x:v>GROUNDED_BY</x:v>
      </x:c>
      <x:c r="E1279" s="27" t="str">
        <x:v>S15-WRITE-03</x:v>
      </x:c>
      <x:c r="F1279" s="27" t="str">
        <x:v>Grammar and conventional spelling consolidation</x:v>
      </x:c>
      <x:c r="G1279" s="27" t="str">
        <x:v>S15</x:v>
      </x:c>
      <x:c r="H1279" s="27" t="str">
        <x:v>Writing &amp; Language</x:v>
      </x:c>
      <x:c r="I1279" s="27" t="str">
        <x:v>SRC10; SRC21</x:v>
      </x:c>
      <x:c r="J1279" s="27" t="str">
        <x:v>Grounding form used to preserve meaning.</x:v>
      </x:c>
    </x:row>
    <x:row r="1280">
      <x:c r="A1280" s="27" t="str">
        <x:v>E01276</x:v>
      </x:c>
      <x:c r="B1280" s="27" t="str">
        <x:v>S15-WRITE-03</x:v>
      </x:c>
      <x:c r="C1280" s="27" t="str">
        <x:v>Grammar and conventional spelling consolidation</x:v>
      </x:c>
      <x:c r="D1280" s="27" t="str">
        <x:v>CONNECTS_TO</x:v>
      </x:c>
      <x:c r="E1280" s="27" t="str">
        <x:v>S15-WRITE-03:CROSS</x:v>
      </x:c>
      <x:c r="F1280" s="27" t="str">
        <x:v>Reading models; evidence from science/social studies; mathematical explanation; research, media, and presentation.</x:v>
      </x:c>
      <x:c r="G1280" s="27" t="str">
        <x:v>S15</x:v>
      </x:c>
      <x:c r="H1280" s="27" t="str">
        <x:v>Writing &amp; Language</x:v>
      </x:c>
      <x:c r="I1280" s="27" t="str">
        <x:v>SRC10; SRC21</x:v>
      </x:c>
      <x:c r="J1280" s="27" t="str">
        <x:v>Parallel subject and representation links.</x:v>
      </x:c>
    </x:row>
    <x:row r="1281">
      <x:c r="A1281" s="27" t="str">
        <x:v>E01277</x:v>
      </x:c>
      <x:c r="B1281" s="27" t="str">
        <x:v>S15-WRITE-03</x:v>
      </x:c>
      <x:c r="C1281" s="27" t="str">
        <x:v>Grammar and conventional spelling consolidation</x:v>
      </x:c>
      <x:c r="D1281" s="27" t="str">
        <x:v>UNLOCKS</x:v>
      </x:c>
      <x:c r="E1281" s="27" t="str">
        <x:v>S15-WRITE-03:NEXT</x:v>
      </x:c>
      <x:c r="F1281" s="27" t="str">
        <x:v>Convention control improves clarity and frees revision to focus on reasoning and style.</x:v>
      </x:c>
      <x:c r="G1281" s="27" t="str">
        <x:v>S15</x:v>
      </x:c>
      <x:c r="H1281" s="27" t="str">
        <x:v>Writing &amp; Language</x:v>
      </x:c>
      <x:c r="I1281" s="27" t="str">
        <x:v>SRC10; SRC21</x:v>
      </x:c>
      <x:c r="J1281" s="27" t="str">
        <x:v>Outgoing use and placement rationale.</x:v>
      </x:c>
    </x:row>
    <x:row r="1282">
      <x:c r="A1282" s="27" t="str">
        <x:v>E01278</x:v>
      </x:c>
      <x:c r="B1282" s="27" t="str">
        <x:v>S15-WRITE-03</x:v>
      </x:c>
      <x:c r="C1282" s="27" t="str">
        <x:v>Grammar and conventional spelling consolidation</x:v>
      </x:c>
      <x:c r="D1282" s="27" t="str">
        <x:v>VERIFIED_BY</x:v>
      </x:c>
      <x:c r="E1282" s="27" t="str">
        <x:v>S15-WRITE-03:EVIDENCE</x:v>
      </x:c>
      <x:c r="F1282" s="27" t="str">
        <x:v>Edits a draft accurately using a criteria-based check and explains selected corrections.</x:v>
      </x:c>
      <x:c r="G1282" s="27" t="str">
        <x:v>S15</x:v>
      </x:c>
      <x:c r="H1282" s="27" t="str">
        <x:v>Writing &amp; Language</x:v>
      </x:c>
      <x:c r="I1282" s="27" t="str">
        <x:v>SRC10; SRC21</x:v>
      </x:c>
      <x:c r="J1282" s="27" t="str">
        <x:v>Observable evidence of usable learning.</x:v>
      </x:c>
    </x:row>
    <x:row r="1283">
      <x:c r="A1283" s="27" t="str">
        <x:v>E01279</x:v>
      </x:c>
      <x:c r="B1283" s="27" t="str">
        <x:v>S15-WRITE-03</x:v>
      </x:c>
      <x:c r="C1283" s="27" t="str">
        <x:v>Previous node in domain progression</x:v>
      </x:c>
      <x:c r="D1283" s="27" t="str">
        <x:v>DOMAIN_SEQUENCE</x:v>
      </x:c>
      <x:c r="E1283" s="27" t="str">
        <x:v>S15-WRITE-04</x:v>
      </x:c>
      <x:c r="F1283" s="27" t="str">
        <x:v>Question, notes, paraphrase, and source label</x:v>
      </x:c>
      <x:c r="G1283" s="27" t="str">
        <x:v>S15</x:v>
      </x:c>
      <x:c r="H1283" s="27" t="str">
        <x:v>Writing &amp; Language</x:v>
      </x:c>
      <x:c r="I1283" s="27" t="str">
        <x:v>SRC10; SRC21</x:v>
      </x:c>
      <x:c r="J1283" s="27" t="str">
        <x:v>Ordered spiral link; consult explicit prerequisites for logical dependency.</x:v>
      </x:c>
    </x:row>
    <x:row r="1284">
      <x:c r="A1284" s="27" t="str">
        <x:v>E01280</x:v>
      </x:c>
      <x:c r="B1284" s="27" t="str">
        <x:v>S15-WRITE-04:PREREQ</x:v>
      </x:c>
      <x:c r="C1284" s="27" t="str">
        <x:v>Shared Grade 2 research, paragraph writing, and source integration.</x:v>
      </x:c>
      <x:c r="D1284" s="27" t="str">
        <x:v>PREREQUISITE</x:v>
      </x:c>
      <x:c r="E1284" s="27" t="str">
        <x:v>S15-WRITE-04</x:v>
      </x:c>
      <x:c r="F1284" s="27" t="str">
        <x:v>Question, notes, paraphrase, and source label</x:v>
      </x:c>
      <x:c r="G1284" s="27" t="str">
        <x:v>S15</x:v>
      </x:c>
      <x:c r="H1284" s="27" t="str">
        <x:v>Writing &amp; Language</x:v>
      </x:c>
      <x:c r="I1284" s="27" t="str">
        <x:v>SRC10; SRC21</x:v>
      </x:c>
      <x:c r="J1284" s="27" t="str">
        <x:v>Incoming prerequisite relationship.</x:v>
      </x:c>
    </x:row>
    <x:row r="1285">
      <x:c r="A1285" s="27" t="str">
        <x:v>E01281</x:v>
      </x:c>
      <x:c r="B1285" s="27" t="str">
        <x:v>S15-WRITE-04:GROUND</x:v>
      </x:c>
      <x:c r="C1285" s="27" t="str">
        <x:v>G4/G5 — Concrete model linked to coordinated representations</x:v>
      </x:c>
      <x:c r="D1285" s="27" t="str">
        <x:v>GROUNDED_BY</x:v>
      </x:c>
      <x:c r="E1285" s="27" t="str">
        <x:v>S15-WRITE-04</x:v>
      </x:c>
      <x:c r="F1285" s="27" t="str">
        <x:v>Question, notes, paraphrase, and source label</x:v>
      </x:c>
      <x:c r="G1285" s="27" t="str">
        <x:v>S15</x:v>
      </x:c>
      <x:c r="H1285" s="27" t="str">
        <x:v>Writing &amp; Language</x:v>
      </x:c>
      <x:c r="I1285" s="27" t="str">
        <x:v>SRC10; SRC21</x:v>
      </x:c>
      <x:c r="J1285" s="27" t="str">
        <x:v>Grounding form used to preserve meaning.</x:v>
      </x:c>
    </x:row>
    <x:row r="1286">
      <x:c r="A1286" s="27" t="str">
        <x:v>E01282</x:v>
      </x:c>
      <x:c r="B1286" s="27" t="str">
        <x:v>S15-WRITE-04</x:v>
      </x:c>
      <x:c r="C1286" s="27" t="str">
        <x:v>Question, notes, paraphrase, and source label</x:v>
      </x:c>
      <x:c r="D1286" s="27" t="str">
        <x:v>CONNECTS_TO</x:v>
      </x:c>
      <x:c r="E1286" s="27" t="str">
        <x:v>S15-WRITE-04:CROSS</x:v>
      </x:c>
      <x:c r="F1286" s="27" t="str">
        <x:v>Reading models; evidence from science/social studies; mathematical explanation; research, media, and presentation.</x:v>
      </x:c>
      <x:c r="G1286" s="27" t="str">
        <x:v>S15</x:v>
      </x:c>
      <x:c r="H1286" s="27" t="str">
        <x:v>Writing &amp; Language</x:v>
      </x:c>
      <x:c r="I1286" s="27" t="str">
        <x:v>SRC10; SRC21</x:v>
      </x:c>
      <x:c r="J1286" s="27" t="str">
        <x:v>Parallel subject and representation links.</x:v>
      </x:c>
    </x:row>
    <x:row r="1287">
      <x:c r="A1287" s="27" t="str">
        <x:v>E01283</x:v>
      </x:c>
      <x:c r="B1287" s="27" t="str">
        <x:v>S15-WRITE-04</x:v>
      </x:c>
      <x:c r="C1287" s="27" t="str">
        <x:v>Question, notes, paraphrase, and source label</x:v>
      </x:c>
      <x:c r="D1287" s="27" t="str">
        <x:v>UNLOCKS</x:v>
      </x:c>
      <x:c r="E1287" s="27" t="str">
        <x:v>S15-WRITE-04:NEXT</x:v>
      </x:c>
      <x:c r="F1287" s="27" t="str">
        <x:v>Paraphrase and source tracking prevent copying and prepare formal citation.</x:v>
      </x:c>
      <x:c r="G1287" s="27" t="str">
        <x:v>S15</x:v>
      </x:c>
      <x:c r="H1287" s="27" t="str">
        <x:v>Writing &amp; Language</x:v>
      </x:c>
      <x:c r="I1287" s="27" t="str">
        <x:v>SRC10; SRC21</x:v>
      </x:c>
      <x:c r="J1287" s="27" t="str">
        <x:v>Outgoing use and placement rationale.</x:v>
      </x:c>
    </x:row>
    <x:row r="1288">
      <x:c r="A1288" s="27" t="str">
        <x:v>E01284</x:v>
      </x:c>
      <x:c r="B1288" s="27" t="str">
        <x:v>S15-WRITE-04</x:v>
      </x:c>
      <x:c r="C1288" s="27" t="str">
        <x:v>Question, notes, paraphrase, and source label</x:v>
      </x:c>
      <x:c r="D1288" s="27" t="str">
        <x:v>VERIFIED_BY</x:v>
      </x:c>
      <x:c r="E1288" s="27" t="str">
        <x:v>S15-WRITE-04:EVIDENCE</x:v>
      </x:c>
      <x:c r="F1288" s="27" t="str">
        <x:v>Produces organized notes traceable to sources and a supported answer in own words.</x:v>
      </x:c>
      <x:c r="G1288" s="27" t="str">
        <x:v>S15</x:v>
      </x:c>
      <x:c r="H1288" s="27" t="str">
        <x:v>Writing &amp; Language</x:v>
      </x:c>
      <x:c r="I1288" s="27" t="str">
        <x:v>SRC10; SRC21</x:v>
      </x:c>
      <x:c r="J1288" s="27" t="str">
        <x:v>Observable evidence of usable learning.</x:v>
      </x:c>
    </x:row>
    <x:row r="1289">
      <x:c r="A1289" s="27" t="str">
        <x:v>E01285</x:v>
      </x:c>
      <x:c r="B1289" s="27" t="str">
        <x:v>S14-MATH-06</x:v>
      </x:c>
      <x:c r="C1289" s="27" t="str">
        <x:v>Previous node in domain progression</x:v>
      </x:c>
      <x:c r="D1289" s="27" t="str">
        <x:v>DOMAIN_SEQUENCE</x:v>
      </x:c>
      <x:c r="E1289" s="27" t="str">
        <x:v>S15-MATH-01</x:v>
      </x:c>
      <x:c r="F1289" s="27" t="str">
        <x:v>Meanings and fact families within 100</x:v>
      </x:c>
      <x:c r="G1289" s="27" t="str">
        <x:v>S15</x:v>
      </x:c>
      <x:c r="H1289" s="27" t="str">
        <x:v>Mathematics</x:v>
      </x:c>
      <x:c r="I1289" s="27" t="str">
        <x:v>SRC09</x:v>
      </x:c>
      <x:c r="J1289" s="27" t="str">
        <x:v>Ordered spiral link; consult explicit prerequisites for logical dependency.</x:v>
      </x:c>
    </x:row>
    <x:row r="1290">
      <x:c r="A1290" s="27" t="str">
        <x:v>E01286</x:v>
      </x:c>
      <x:c r="B1290" s="27" t="str">
        <x:v>S15-MATH-01:PREREQ</x:v>
      </x:c>
      <x:c r="C1290" s="27" t="str">
        <x:v>Grade 2 arrays, addition fluency, and unknown-position equations.</x:v>
      </x:c>
      <x:c r="D1290" s="27" t="str">
        <x:v>PREREQUISITE</x:v>
      </x:c>
      <x:c r="E1290" s="27" t="str">
        <x:v>S15-MATH-01</x:v>
      </x:c>
      <x:c r="F1290" s="27" t="str">
        <x:v>Meanings and fact families within 100</x:v>
      </x:c>
      <x:c r="G1290" s="27" t="str">
        <x:v>S15</x:v>
      </x:c>
      <x:c r="H1290" s="27" t="str">
        <x:v>Mathematics</x:v>
      </x:c>
      <x:c r="I1290" s="27" t="str">
        <x:v>SRC09</x:v>
      </x:c>
      <x:c r="J1290" s="27" t="str">
        <x:v>Incoming prerequisite relationship.</x:v>
      </x:c>
    </x:row>
    <x:row r="1291">
      <x:c r="A1291" s="27" t="str">
        <x:v>E01287</x:v>
      </x:c>
      <x:c r="B1291" s="27" t="str">
        <x:v>S15-MATH-01:GROUND</x:v>
      </x:c>
      <x:c r="C1291" s="27" t="str">
        <x:v>G4/G5 — Concrete model linked to coordinated representations</x:v>
      </x:c>
      <x:c r="D1291" s="27" t="str">
        <x:v>GROUNDED_BY</x:v>
      </x:c>
      <x:c r="E1291" s="27" t="str">
        <x:v>S15-MATH-01</x:v>
      </x:c>
      <x:c r="F1291" s="27" t="str">
        <x:v>Meanings and fact families within 100</x:v>
      </x:c>
      <x:c r="G1291" s="27" t="str">
        <x:v>S15</x:v>
      </x:c>
      <x:c r="H1291" s="27" t="str">
        <x:v>Mathematics</x:v>
      </x:c>
      <x:c r="I1291" s="27" t="str">
        <x:v>SRC09</x:v>
      </x:c>
      <x:c r="J1291" s="27" t="str">
        <x:v>Grounding form used to preserve meaning.</x:v>
      </x:c>
    </x:row>
    <x:row r="1292">
      <x:c r="A1292" s="27" t="str">
        <x:v>E01288</x:v>
      </x:c>
      <x:c r="B1292" s="27" t="str">
        <x:v>S15-MATH-01</x:v>
      </x:c>
      <x:c r="C1292" s="27" t="str">
        <x:v>Meanings and fact families within 100</x:v>
      </x:c>
      <x:c r="D1292" s="27" t="str">
        <x:v>CONNECTS_TO</x:v>
      </x:c>
      <x:c r="E1292" s="27" t="str">
        <x:v>S15-MATH-01:CROSS</x:v>
      </x:c>
      <x:c r="F1292" s="27" t="str">
        <x:v>Physical quantity and spatial action; science measurement/models; computing/algorithms; finance; music rhythm/pattern; geographic data.</x:v>
      </x:c>
      <x:c r="G1292" s="27" t="str">
        <x:v>S15</x:v>
      </x:c>
      <x:c r="H1292" s="27" t="str">
        <x:v>Mathematics</x:v>
      </x:c>
      <x:c r="I1292" s="27" t="str">
        <x:v>SRC09</x:v>
      </x:c>
      <x:c r="J1292" s="27" t="str">
        <x:v>Parallel subject and representation links.</x:v>
      </x:c>
    </x:row>
    <x:row r="1293">
      <x:c r="A1293" s="27" t="str">
        <x:v>E01289</x:v>
      </x:c>
      <x:c r="B1293" s="27" t="str">
        <x:v>S15-MATH-01</x:v>
      </x:c>
      <x:c r="C1293" s="27" t="str">
        <x:v>Meanings and fact families within 100</x:v>
      </x:c>
      <x:c r="D1293" s="27" t="str">
        <x:v>UNLOCKS</x:v>
      </x:c>
      <x:c r="E1293" s="27" t="str">
        <x:v>S15-MATH-01:NEXT</x:v>
      </x:c>
      <x:c r="F1293" s="27" t="str">
        <x:v>Multiplicative structures support fractions, area, ratios, algebra, and rate.</x:v>
      </x:c>
      <x:c r="G1293" s="27" t="str">
        <x:v>S15</x:v>
      </x:c>
      <x:c r="H1293" s="27" t="str">
        <x:v>Mathematics</x:v>
      </x:c>
      <x:c r="I1293" s="27" t="str">
        <x:v>SRC09</x:v>
      </x:c>
      <x:c r="J1293" s="27" t="str">
        <x:v>Outgoing use and placement rationale.</x:v>
      </x:c>
    </x:row>
    <x:row r="1294">
      <x:c r="A1294" s="27" t="str">
        <x:v>E01290</x:v>
      </x:c>
      <x:c r="B1294" s="27" t="str">
        <x:v>S15-MATH-01</x:v>
      </x:c>
      <x:c r="C1294" s="27" t="str">
        <x:v>Meanings and fact families within 100</x:v>
      </x:c>
      <x:c r="D1294" s="27" t="str">
        <x:v>VERIFIED_BY</x:v>
      </x:c>
      <x:c r="E1294" s="27" t="str">
        <x:v>S15-MATH-01:EVIDENCE</x:v>
      </x:c>
      <x:c r="F1294" s="27" t="str">
        <x:v>Models an unfamiliar situation, writes related equations, and explains the chosen operation.</x:v>
      </x:c>
      <x:c r="G1294" s="27" t="str">
        <x:v>S15</x:v>
      </x:c>
      <x:c r="H1294" s="27" t="str">
        <x:v>Mathematics</x:v>
      </x:c>
      <x:c r="I1294" s="27" t="str">
        <x:v>SRC09</x:v>
      </x:c>
      <x:c r="J1294" s="27" t="str">
        <x:v>Observable evidence of usable learning.</x:v>
      </x:c>
    </x:row>
    <x:row r="1295">
      <x:c r="A1295" s="27" t="str">
        <x:v>E01291</x:v>
      </x:c>
      <x:c r="B1295" s="27" t="str">
        <x:v>S15-MATH-01</x:v>
      </x:c>
      <x:c r="C1295" s="27" t="str">
        <x:v>Previous node in domain progression</x:v>
      </x:c>
      <x:c r="D1295" s="27" t="str">
        <x:v>DOMAIN_SEQUENCE</x:v>
      </x:c>
      <x:c r="E1295" s="27" t="str">
        <x:v>S15-MATH-02</x:v>
      </x:c>
      <x:c r="F1295" s="27" t="str">
        <x:v>Round and operate within 1,000</x:v>
      </x:c>
      <x:c r="G1295" s="27" t="str">
        <x:v>S15</x:v>
      </x:c>
      <x:c r="H1295" s="27" t="str">
        <x:v>Mathematics</x:v>
      </x:c>
      <x:c r="I1295" s="27" t="str">
        <x:v>SRC09</x:v>
      </x:c>
      <x:c r="J1295" s="27" t="str">
        <x:v>Ordered spiral link; consult explicit prerequisites for logical dependency.</x:v>
      </x:c>
    </x:row>
    <x:row r="1296">
      <x:c r="A1296" s="27" t="str">
        <x:v>E01292</x:v>
      </x:c>
      <x:c r="B1296" s="27" t="str">
        <x:v>S15-MATH-02:PREREQ</x:v>
      </x:c>
      <x:c r="C1296" s="27" t="str">
        <x:v>Grade 2 place value and regrouping.</x:v>
      </x:c>
      <x:c r="D1296" s="27" t="str">
        <x:v>PREREQUISITE</x:v>
      </x:c>
      <x:c r="E1296" s="27" t="str">
        <x:v>S15-MATH-02</x:v>
      </x:c>
      <x:c r="F1296" s="27" t="str">
        <x:v>Round and operate within 1,000</x:v>
      </x:c>
      <x:c r="G1296" s="27" t="str">
        <x:v>S15</x:v>
      </x:c>
      <x:c r="H1296" s="27" t="str">
        <x:v>Mathematics</x:v>
      </x:c>
      <x:c r="I1296" s="27" t="str">
        <x:v>SRC09</x:v>
      </x:c>
      <x:c r="J1296" s="27" t="str">
        <x:v>Incoming prerequisite relationship.</x:v>
      </x:c>
    </x:row>
    <x:row r="1297">
      <x:c r="A1297" s="27" t="str">
        <x:v>E01293</x:v>
      </x:c>
      <x:c r="B1297" s="27" t="str">
        <x:v>S15-MATH-02:GROUND</x:v>
      </x:c>
      <x:c r="C1297" s="27" t="str">
        <x:v>G4/G5 — Concrete model linked to coordinated representations</x:v>
      </x:c>
      <x:c r="D1297" s="27" t="str">
        <x:v>GROUNDED_BY</x:v>
      </x:c>
      <x:c r="E1297" s="27" t="str">
        <x:v>S15-MATH-02</x:v>
      </x:c>
      <x:c r="F1297" s="27" t="str">
        <x:v>Round and operate within 1,000</x:v>
      </x:c>
      <x:c r="G1297" s="27" t="str">
        <x:v>S15</x:v>
      </x:c>
      <x:c r="H1297" s="27" t="str">
        <x:v>Mathematics</x:v>
      </x:c>
      <x:c r="I1297" s="27" t="str">
        <x:v>SRC09</x:v>
      </x:c>
      <x:c r="J1297" s="27" t="str">
        <x:v>Grounding form used to preserve meaning.</x:v>
      </x:c>
    </x:row>
    <x:row r="1298">
      <x:c r="A1298" s="27" t="str">
        <x:v>E01294</x:v>
      </x:c>
      <x:c r="B1298" s="27" t="str">
        <x:v>S15-MATH-02</x:v>
      </x:c>
      <x:c r="C1298" s="27" t="str">
        <x:v>Round and operate within 1,000</x:v>
      </x:c>
      <x:c r="D1298" s="27" t="str">
        <x:v>CONNECTS_TO</x:v>
      </x:c>
      <x:c r="E1298" s="27" t="str">
        <x:v>S15-MATH-02:CROSS</x:v>
      </x:c>
      <x:c r="F1298" s="27" t="str">
        <x:v>Physical quantity and spatial action; science measurement/models; computing/algorithms; finance; music rhythm/pattern; geographic data.</x:v>
      </x:c>
      <x:c r="G1298" s="27" t="str">
        <x:v>S15</x:v>
      </x:c>
      <x:c r="H1298" s="27" t="str">
        <x:v>Mathematics</x:v>
      </x:c>
      <x:c r="I1298" s="27" t="str">
        <x:v>SRC09</x:v>
      </x:c>
      <x:c r="J1298" s="27" t="str">
        <x:v>Parallel subject and representation links.</x:v>
      </x:c>
    </x:row>
    <x:row r="1299">
      <x:c r="A1299" s="27" t="str">
        <x:v>E01295</x:v>
      </x:c>
      <x:c r="B1299" s="27" t="str">
        <x:v>S15-MATH-02</x:v>
      </x:c>
      <x:c r="C1299" s="27" t="str">
        <x:v>Round and operate within 1,000</x:v>
      </x:c>
      <x:c r="D1299" s="27" t="str">
        <x:v>UNLOCKS</x:v>
      </x:c>
      <x:c r="E1299" s="27" t="str">
        <x:v>S15-MATH-02:NEXT</x:v>
      </x:c>
      <x:c r="F1299" s="27" t="str">
        <x:v>Rounding supports estimation; algorithms and scaling by tens prepare larger multiplication.</x:v>
      </x:c>
      <x:c r="G1299" s="27" t="str">
        <x:v>S15</x:v>
      </x:c>
      <x:c r="H1299" s="27" t="str">
        <x:v>Mathematics</x:v>
      </x:c>
      <x:c r="I1299" s="27" t="str">
        <x:v>SRC09</x:v>
      </x:c>
      <x:c r="J1299" s="27" t="str">
        <x:v>Outgoing use and placement rationale.</x:v>
      </x:c>
    </x:row>
    <x:row r="1300">
      <x:c r="A1300" s="27" t="str">
        <x:v>E01296</x:v>
      </x:c>
      <x:c r="B1300" s="27" t="str">
        <x:v>S15-MATH-02</x:v>
      </x:c>
      <x:c r="C1300" s="27" t="str">
        <x:v>Round and operate within 1,000</x:v>
      </x:c>
      <x:c r="D1300" s="27" t="str">
        <x:v>VERIFIED_BY</x:v>
      </x:c>
      <x:c r="E1300" s="27" t="str">
        <x:v>S15-MATH-02:EVIDENCE</x:v>
      </x:c>
      <x:c r="F1300" s="27" t="str">
        <x:v>Computes, estimates, and explains whether the exact answer is reasonable.</x:v>
      </x:c>
      <x:c r="G1300" s="27" t="str">
        <x:v>S15</x:v>
      </x:c>
      <x:c r="H1300" s="27" t="str">
        <x:v>Mathematics</x:v>
      </x:c>
      <x:c r="I1300" s="27" t="str">
        <x:v>SRC09</x:v>
      </x:c>
      <x:c r="J1300" s="27" t="str">
        <x:v>Observable evidence of usable learning.</x:v>
      </x:c>
    </x:row>
    <x:row r="1301">
      <x:c r="A1301" s="27" t="str">
        <x:v>E01297</x:v>
      </x:c>
      <x:c r="B1301" s="27" t="str">
        <x:v>S15-MATH-02</x:v>
      </x:c>
      <x:c r="C1301" s="27" t="str">
        <x:v>Previous node in domain progression</x:v>
      </x:c>
      <x:c r="D1301" s="27" t="str">
        <x:v>DOMAIN_SEQUENCE</x:v>
      </x:c>
      <x:c r="E1301" s="27" t="str">
        <x:v>S15-MATH-03</x:v>
      </x:c>
      <x:c r="F1301" s="27" t="str">
        <x:v>Fractions as numbers</x:v>
      </x:c>
      <x:c r="G1301" s="27" t="str">
        <x:v>S15</x:v>
      </x:c>
      <x:c r="H1301" s="27" t="str">
        <x:v>Mathematics</x:v>
      </x:c>
      <x:c r="I1301" s="27" t="str">
        <x:v>SRC09</x:v>
      </x:c>
      <x:c r="J1301" s="27" t="str">
        <x:v>Ordered spiral link; consult explicit prerequisites for logical dependency.</x:v>
      </x:c>
    </x:row>
    <x:row r="1302">
      <x:c r="A1302" s="27" t="str">
        <x:v>E01298</x:v>
      </x:c>
      <x:c r="B1302" s="27" t="str">
        <x:v>S15-MATH-03:PREREQ</x:v>
      </x:c>
      <x:c r="C1302" s="27" t="str">
        <x:v>Equal shares, number-line measurement, and part–whole composition.</x:v>
      </x:c>
      <x:c r="D1302" s="27" t="str">
        <x:v>PREREQUISITE</x:v>
      </x:c>
      <x:c r="E1302" s="27" t="str">
        <x:v>S15-MATH-03</x:v>
      </x:c>
      <x:c r="F1302" s="27" t="str">
        <x:v>Fractions as numbers</x:v>
      </x:c>
      <x:c r="G1302" s="27" t="str">
        <x:v>S15</x:v>
      </x:c>
      <x:c r="H1302" s="27" t="str">
        <x:v>Mathematics</x:v>
      </x:c>
      <x:c r="I1302" s="27" t="str">
        <x:v>SRC09</x:v>
      </x:c>
      <x:c r="J1302" s="27" t="str">
        <x:v>Incoming prerequisite relationship.</x:v>
      </x:c>
    </x:row>
    <x:row r="1303">
      <x:c r="A1303" s="27" t="str">
        <x:v>E01299</x:v>
      </x:c>
      <x:c r="B1303" s="27" t="str">
        <x:v>S15-MATH-03:GROUND</x:v>
      </x:c>
      <x:c r="C1303" s="27" t="str">
        <x:v>G4/G5 — Concrete model linked to coordinated representations</x:v>
      </x:c>
      <x:c r="D1303" s="27" t="str">
        <x:v>GROUNDED_BY</x:v>
      </x:c>
      <x:c r="E1303" s="27" t="str">
        <x:v>S15-MATH-03</x:v>
      </x:c>
      <x:c r="F1303" s="27" t="str">
        <x:v>Fractions as numbers</x:v>
      </x:c>
      <x:c r="G1303" s="27" t="str">
        <x:v>S15</x:v>
      </x:c>
      <x:c r="H1303" s="27" t="str">
        <x:v>Mathematics</x:v>
      </x:c>
      <x:c r="I1303" s="27" t="str">
        <x:v>SRC09</x:v>
      </x:c>
      <x:c r="J1303" s="27" t="str">
        <x:v>Grounding form used to preserve meaning.</x:v>
      </x:c>
    </x:row>
    <x:row r="1304">
      <x:c r="A1304" s="27" t="str">
        <x:v>E01300</x:v>
      </x:c>
      <x:c r="B1304" s="27" t="str">
        <x:v>S15-MATH-03</x:v>
      </x:c>
      <x:c r="C1304" s="27" t="str">
        <x:v>Fractions as numbers</x:v>
      </x:c>
      <x:c r="D1304" s="27" t="str">
        <x:v>CONNECTS_TO</x:v>
      </x:c>
      <x:c r="E1304" s="27" t="str">
        <x:v>S15-MATH-03:CROSS</x:v>
      </x:c>
      <x:c r="F1304" s="27" t="str">
        <x:v>Physical quantity and spatial action; science measurement/models; computing/algorithms; finance; music rhythm/pattern; geographic data.</x:v>
      </x:c>
      <x:c r="G1304" s="27" t="str">
        <x:v>S15</x:v>
      </x:c>
      <x:c r="H1304" s="27" t="str">
        <x:v>Mathematics</x:v>
      </x:c>
      <x:c r="I1304" s="27" t="str">
        <x:v>SRC09</x:v>
      </x:c>
      <x:c r="J1304" s="27" t="str">
        <x:v>Parallel subject and representation links.</x:v>
      </x:c>
    </x:row>
    <x:row r="1305">
      <x:c r="A1305" s="27" t="str">
        <x:v>E01301</x:v>
      </x:c>
      <x:c r="B1305" s="27" t="str">
        <x:v>S15-MATH-03</x:v>
      </x:c>
      <x:c r="C1305" s="27" t="str">
        <x:v>Fractions as numbers</x:v>
      </x:c>
      <x:c r="D1305" s="27" t="str">
        <x:v>UNLOCKS</x:v>
      </x:c>
      <x:c r="E1305" s="27" t="str">
        <x:v>S15-MATH-03:NEXT</x:v>
      </x:c>
      <x:c r="F1305" s="27" t="str">
        <x:v>Treating fractions as numbers enables operations, ratios, and rational-number reasoning.</x:v>
      </x:c>
      <x:c r="G1305" s="27" t="str">
        <x:v>S15</x:v>
      </x:c>
      <x:c r="H1305" s="27" t="str">
        <x:v>Mathematics</x:v>
      </x:c>
      <x:c r="I1305" s="27" t="str">
        <x:v>SRC09</x:v>
      </x:c>
      <x:c r="J1305" s="27" t="str">
        <x:v>Outgoing use and placement rationale.</x:v>
      </x:c>
    </x:row>
    <x:row r="1306">
      <x:c r="A1306" s="27" t="str">
        <x:v>E01302</x:v>
      </x:c>
      <x:c r="B1306" s="27" t="str">
        <x:v>S15-MATH-03</x:v>
      </x:c>
      <x:c r="C1306" s="27" t="str">
        <x:v>Fractions as numbers</x:v>
      </x:c>
      <x:c r="D1306" s="27" t="str">
        <x:v>VERIFIED_BY</x:v>
      </x:c>
      <x:c r="E1306" s="27" t="str">
        <x:v>S15-MATH-03:EVIDENCE</x:v>
      </x:c>
      <x:c r="F1306" s="27" t="str">
        <x:v>Places and compares fractions using a model and explains the role of numerator and denominator.</x:v>
      </x:c>
      <x:c r="G1306" s="27" t="str">
        <x:v>S15</x:v>
      </x:c>
      <x:c r="H1306" s="27" t="str">
        <x:v>Mathematics</x:v>
      </x:c>
      <x:c r="I1306" s="27" t="str">
        <x:v>SRC09</x:v>
      </x:c>
      <x:c r="J1306" s="27" t="str">
        <x:v>Observable evidence of usable learning.</x:v>
      </x:c>
    </x:row>
    <x:row r="1307">
      <x:c r="A1307" s="27" t="str">
        <x:v>E01303</x:v>
      </x:c>
      <x:c r="B1307" s="27" t="str">
        <x:v>S15-MATH-03</x:v>
      </x:c>
      <x:c r="C1307" s="27" t="str">
        <x:v>Previous node in domain progression</x:v>
      </x:c>
      <x:c r="D1307" s="27" t="str">
        <x:v>DOMAIN_SEQUENCE</x:v>
      </x:c>
      <x:c r="E1307" s="27" t="str">
        <x:v>S15-MATH-04</x:v>
      </x:c>
      <x:c r="F1307" s="27" t="str">
        <x:v>Time, mass, volume, perimeter, and area</x:v>
      </x:c>
      <x:c r="G1307" s="27" t="str">
        <x:v>S15</x:v>
      </x:c>
      <x:c r="H1307" s="27" t="str">
        <x:v>Mathematics</x:v>
      </x:c>
      <x:c r="I1307" s="27" t="str">
        <x:v>SRC09</x:v>
      </x:c>
      <x:c r="J1307" s="27" t="str">
        <x:v>Ordered spiral link; consult explicit prerequisites for logical dependency.</x:v>
      </x:c>
    </x:row>
    <x:row r="1308">
      <x:c r="A1308" s="27" t="str">
        <x:v>E01304</x:v>
      </x:c>
      <x:c r="B1308" s="27" t="str">
        <x:v>S15-MATH-04:PREREQ</x:v>
      </x:c>
      <x:c r="C1308" s="27" t="str">
        <x:v>Standard measurement, multiplication, and shape attributes.</x:v>
      </x:c>
      <x:c r="D1308" s="27" t="str">
        <x:v>PREREQUISITE</x:v>
      </x:c>
      <x:c r="E1308" s="27" t="str">
        <x:v>S15-MATH-04</x:v>
      </x:c>
      <x:c r="F1308" s="27" t="str">
        <x:v>Time, mass, volume, perimeter, and area</x:v>
      </x:c>
      <x:c r="G1308" s="27" t="str">
        <x:v>S15</x:v>
      </x:c>
      <x:c r="H1308" s="27" t="str">
        <x:v>Mathematics</x:v>
      </x:c>
      <x:c r="I1308" s="27" t="str">
        <x:v>SRC09</x:v>
      </x:c>
      <x:c r="J1308" s="27" t="str">
        <x:v>Incoming prerequisite relationship.</x:v>
      </x:c>
    </x:row>
    <x:row r="1309">
      <x:c r="A1309" s="27" t="str">
        <x:v>E01305</x:v>
      </x:c>
      <x:c r="B1309" s="27" t="str">
        <x:v>S15-MATH-04:GROUND</x:v>
      </x:c>
      <x:c r="C1309" s="27" t="str">
        <x:v>G4/G5 — Concrete model linked to coordinated representations</x:v>
      </x:c>
      <x:c r="D1309" s="27" t="str">
        <x:v>GROUNDED_BY</x:v>
      </x:c>
      <x:c r="E1309" s="27" t="str">
        <x:v>S15-MATH-04</x:v>
      </x:c>
      <x:c r="F1309" s="27" t="str">
        <x:v>Time, mass, volume, perimeter, and area</x:v>
      </x:c>
      <x:c r="G1309" s="27" t="str">
        <x:v>S15</x:v>
      </x:c>
      <x:c r="H1309" s="27" t="str">
        <x:v>Mathematics</x:v>
      </x:c>
      <x:c r="I1309" s="27" t="str">
        <x:v>SRC09</x:v>
      </x:c>
      <x:c r="J1309" s="27" t="str">
        <x:v>Grounding form used to preserve meaning.</x:v>
      </x:c>
    </x:row>
    <x:row r="1310">
      <x:c r="A1310" s="27" t="str">
        <x:v>E01306</x:v>
      </x:c>
      <x:c r="B1310" s="27" t="str">
        <x:v>S15-MATH-04</x:v>
      </x:c>
      <x:c r="C1310" s="27" t="str">
        <x:v>Time, mass, volume, perimeter, and area</x:v>
      </x:c>
      <x:c r="D1310" s="27" t="str">
        <x:v>CONNECTS_TO</x:v>
      </x:c>
      <x:c r="E1310" s="27" t="str">
        <x:v>S15-MATH-04:CROSS</x:v>
      </x:c>
      <x:c r="F1310" s="27" t="str">
        <x:v>Physical quantity and spatial action; science measurement/models; computing/algorithms; finance; music rhythm/pattern; geographic data.</x:v>
      </x:c>
      <x:c r="G1310" s="27" t="str">
        <x:v>S15</x:v>
      </x:c>
      <x:c r="H1310" s="27" t="str">
        <x:v>Mathematics</x:v>
      </x:c>
      <x:c r="I1310" s="27" t="str">
        <x:v>SRC09</x:v>
      </x:c>
      <x:c r="J1310" s="27" t="str">
        <x:v>Parallel subject and representation links.</x:v>
      </x:c>
    </x:row>
    <x:row r="1311">
      <x:c r="A1311" s="27" t="str">
        <x:v>E01307</x:v>
      </x:c>
      <x:c r="B1311" s="27" t="str">
        <x:v>S15-MATH-04</x:v>
      </x:c>
      <x:c r="C1311" s="27" t="str">
        <x:v>Time, mass, volume, perimeter, and area</x:v>
      </x:c>
      <x:c r="D1311" s="27" t="str">
        <x:v>UNLOCKS</x:v>
      </x:c>
      <x:c r="E1311" s="27" t="str">
        <x:v>S15-MATH-04:NEXT</x:v>
      </x:c>
      <x:c r="F1311" s="27" t="str">
        <x:v>Area provides a spatial model of multiplication and later algebraic products.</x:v>
      </x:c>
      <x:c r="G1311" s="27" t="str">
        <x:v>S15</x:v>
      </x:c>
      <x:c r="H1311" s="27" t="str">
        <x:v>Mathematics</x:v>
      </x:c>
      <x:c r="I1311" s="27" t="str">
        <x:v>SRC09</x:v>
      </x:c>
      <x:c r="J1311" s="27" t="str">
        <x:v>Outgoing use and placement rationale.</x:v>
      </x:c>
    </x:row>
    <x:row r="1312">
      <x:c r="A1312" s="27" t="str">
        <x:v>E01308</x:v>
      </x:c>
      <x:c r="B1312" s="27" t="str">
        <x:v>S15-MATH-04</x:v>
      </x:c>
      <x:c r="C1312" s="27" t="str">
        <x:v>Time, mass, volume, perimeter, and area</x:v>
      </x:c>
      <x:c r="D1312" s="27" t="str">
        <x:v>VERIFIED_BY</x:v>
      </x:c>
      <x:c r="E1312" s="27" t="str">
        <x:v>S15-MATH-04:EVIDENCE</x:v>
      </x:c>
      <x:c r="F1312" s="27" t="str">
        <x:v>Chooses units/formulas appropriate to the attribute and explains the measured quantity.</x:v>
      </x:c>
      <x:c r="G1312" s="27" t="str">
        <x:v>S15</x:v>
      </x:c>
      <x:c r="H1312" s="27" t="str">
        <x:v>Mathematics</x:v>
      </x:c>
      <x:c r="I1312" s="27" t="str">
        <x:v>SRC09</x:v>
      </x:c>
      <x:c r="J1312" s="27" t="str">
        <x:v>Observable evidence of usable learning.</x:v>
      </x:c>
    </x:row>
    <x:row r="1313">
      <x:c r="A1313" s="27" t="str">
        <x:v>E01309</x:v>
      </x:c>
      <x:c r="B1313" s="27" t="str">
        <x:v>S15-MATH-04</x:v>
      </x:c>
      <x:c r="C1313" s="27" t="str">
        <x:v>Previous node in domain progression</x:v>
      </x:c>
      <x:c r="D1313" s="27" t="str">
        <x:v>DOMAIN_SEQUENCE</x:v>
      </x:c>
      <x:c r="E1313" s="27" t="str">
        <x:v>S15-MATH-05</x:v>
      </x:c>
      <x:c r="F1313" s="27" t="str">
        <x:v>Scaled graphs and line plots</x:v>
      </x:c>
      <x:c r="G1313" s="27" t="str">
        <x:v>S15</x:v>
      </x:c>
      <x:c r="H1313" s="27" t="str">
        <x:v>Mathematics</x:v>
      </x:c>
      <x:c r="I1313" s="27" t="str">
        <x:v>SRC09</x:v>
      </x:c>
      <x:c r="J1313" s="27" t="str">
        <x:v>Ordered spiral link; consult explicit prerequisites for logical dependency.</x:v>
      </x:c>
    </x:row>
    <x:row r="1314">
      <x:c r="A1314" s="27" t="str">
        <x:v>E01310</x:v>
      </x:c>
      <x:c r="B1314" s="27" t="str">
        <x:v>S15-MATH-05:PREREQ</x:v>
      </x:c>
      <x:c r="C1314" s="27" t="str">
        <x:v>Grade 2 data displays, multiplication, and fractions.</x:v>
      </x:c>
      <x:c r="D1314" s="27" t="str">
        <x:v>PREREQUISITE</x:v>
      </x:c>
      <x:c r="E1314" s="27" t="str">
        <x:v>S15-MATH-05</x:v>
      </x:c>
      <x:c r="F1314" s="27" t="str">
        <x:v>Scaled graphs and line plots</x:v>
      </x:c>
      <x:c r="G1314" s="27" t="str">
        <x:v>S15</x:v>
      </x:c>
      <x:c r="H1314" s="27" t="str">
        <x:v>Mathematics</x:v>
      </x:c>
      <x:c r="I1314" s="27" t="str">
        <x:v>SRC09</x:v>
      </x:c>
      <x:c r="J1314" s="27" t="str">
        <x:v>Incoming prerequisite relationship.</x:v>
      </x:c>
    </x:row>
    <x:row r="1315">
      <x:c r="A1315" s="27" t="str">
        <x:v>E01311</x:v>
      </x:c>
      <x:c r="B1315" s="27" t="str">
        <x:v>S15-MATH-05:GROUND</x:v>
      </x:c>
      <x:c r="C1315" s="27" t="str">
        <x:v>G4/G5 — Concrete model linked to coordinated representations</x:v>
      </x:c>
      <x:c r="D1315" s="27" t="str">
        <x:v>GROUNDED_BY</x:v>
      </x:c>
      <x:c r="E1315" s="27" t="str">
        <x:v>S15-MATH-05</x:v>
      </x:c>
      <x:c r="F1315" s="27" t="str">
        <x:v>Scaled graphs and line plots</x:v>
      </x:c>
      <x:c r="G1315" s="27" t="str">
        <x:v>S15</x:v>
      </x:c>
      <x:c r="H1315" s="27" t="str">
        <x:v>Mathematics</x:v>
      </x:c>
      <x:c r="I1315" s="27" t="str">
        <x:v>SRC09</x:v>
      </x:c>
      <x:c r="J1315" s="27" t="str">
        <x:v>Grounding form used to preserve meaning.</x:v>
      </x:c>
    </x:row>
    <x:row r="1316">
      <x:c r="A1316" s="27" t="str">
        <x:v>E01312</x:v>
      </x:c>
      <x:c r="B1316" s="27" t="str">
        <x:v>S15-MATH-05</x:v>
      </x:c>
      <x:c r="C1316" s="27" t="str">
        <x:v>Scaled graphs and line plots</x:v>
      </x:c>
      <x:c r="D1316" s="27" t="str">
        <x:v>CONNECTS_TO</x:v>
      </x:c>
      <x:c r="E1316" s="27" t="str">
        <x:v>S15-MATH-05:CROSS</x:v>
      </x:c>
      <x:c r="F1316" s="27" t="str">
        <x:v>Physical quantity and spatial action; science measurement/models; computing/algorithms; finance; music rhythm/pattern; geographic data.</x:v>
      </x:c>
      <x:c r="G1316" s="27" t="str">
        <x:v>S15</x:v>
      </x:c>
      <x:c r="H1316" s="27" t="str">
        <x:v>Mathematics</x:v>
      </x:c>
      <x:c r="I1316" s="27" t="str">
        <x:v>SRC09</x:v>
      </x:c>
      <x:c r="J1316" s="27" t="str">
        <x:v>Parallel subject and representation links.</x:v>
      </x:c>
    </x:row>
    <x:row r="1317">
      <x:c r="A1317" s="27" t="str">
        <x:v>E01313</x:v>
      </x:c>
      <x:c r="B1317" s="27" t="str">
        <x:v>S15-MATH-05</x:v>
      </x:c>
      <x:c r="C1317" s="27" t="str">
        <x:v>Scaled graphs and line plots</x:v>
      </x:c>
      <x:c r="D1317" s="27" t="str">
        <x:v>UNLOCKS</x:v>
      </x:c>
      <x:c r="E1317" s="27" t="str">
        <x:v>S15-MATH-05:NEXT</x:v>
      </x:c>
      <x:c r="F1317" s="27" t="str">
        <x:v>Scale and measurement data prepare distributions and statistical summaries.</x:v>
      </x:c>
      <x:c r="G1317" s="27" t="str">
        <x:v>S15</x:v>
      </x:c>
      <x:c r="H1317" s="27" t="str">
        <x:v>Mathematics</x:v>
      </x:c>
      <x:c r="I1317" s="27" t="str">
        <x:v>SRC09</x:v>
      </x:c>
      <x:c r="J1317" s="27" t="str">
        <x:v>Outgoing use and placement rationale.</x:v>
      </x:c>
    </x:row>
    <x:row r="1318">
      <x:c r="A1318" s="27" t="str">
        <x:v>E01314</x:v>
      </x:c>
      <x:c r="B1318" s="27" t="str">
        <x:v>S15-MATH-05</x:v>
      </x:c>
      <x:c r="C1318" s="27" t="str">
        <x:v>Scaled graphs and line plots</x:v>
      </x:c>
      <x:c r="D1318" s="27" t="str">
        <x:v>VERIFIED_BY</x:v>
      </x:c>
      <x:c r="E1318" s="27" t="str">
        <x:v>S15-MATH-05:EVIDENCE</x:v>
      </x:c>
      <x:c r="F1318" s="27" t="str">
        <x:v>Constructs a correctly scaled display and solves a two-step question from it.</x:v>
      </x:c>
      <x:c r="G1318" s="27" t="str">
        <x:v>S15</x:v>
      </x:c>
      <x:c r="H1318" s="27" t="str">
        <x:v>Mathematics</x:v>
      </x:c>
      <x:c r="I1318" s="27" t="str">
        <x:v>SRC09</x:v>
      </x:c>
      <x:c r="J1318" s="27" t="str">
        <x:v>Observable evidence of usable learning.</x:v>
      </x:c>
    </x:row>
    <x:row r="1319">
      <x:c r="A1319" s="27" t="str">
        <x:v>E01315</x:v>
      </x:c>
      <x:c r="B1319" s="27" t="str">
        <x:v>S14-SCI-03</x:v>
      </x:c>
      <x:c r="C1319" s="27" t="str">
        <x:v>Previous node in domain progression</x:v>
      </x:c>
      <x:c r="D1319" s="27" t="str">
        <x:v>DOMAIN_SEQUENCE</x:v>
      </x:c>
      <x:c r="E1319" s="27" t="str">
        <x:v>S15-SCI-01</x:v>
      </x:c>
      <x:c r="F1319" s="27" t="str">
        <x:v>Forces and predictable motion</x:v>
      </x:c>
      <x:c r="G1319" s="27" t="str">
        <x:v>S15</x:v>
      </x:c>
      <x:c r="H1319" s="27" t="str">
        <x:v>Science &amp; Engineering</x:v>
      </x:c>
      <x:c r="I1319" s="27" t="str">
        <x:v>SRC11</x:v>
      </x:c>
      <x:c r="J1319" s="27" t="str">
        <x:v>Ordered spiral link; consult explicit prerequisites for logical dependency.</x:v>
      </x:c>
    </x:row>
    <x:row r="1320">
      <x:c r="A1320" s="27" t="str">
        <x:v>E01316</x:v>
      </x:c>
      <x:c r="B1320" s="27" t="str">
        <x:v>S15-SCI-01:PREREQ</x:v>
      </x:c>
      <x:c r="C1320" s="27" t="str">
        <x:v>Pushes/pulls, matter testing, measurement, and data graphs.</x:v>
      </x:c>
      <x:c r="D1320" s="27" t="str">
        <x:v>PREREQUISITE</x:v>
      </x:c>
      <x:c r="E1320" s="27" t="str">
        <x:v>S15-SCI-01</x:v>
      </x:c>
      <x:c r="F1320" s="27" t="str">
        <x:v>Forces and predictable motion</x:v>
      </x:c>
      <x:c r="G1320" s="27" t="str">
        <x:v>S15</x:v>
      </x:c>
      <x:c r="H1320" s="27" t="str">
        <x:v>Science &amp; Engineering</x:v>
      </x:c>
      <x:c r="I1320" s="27" t="str">
        <x:v>SRC11</x:v>
      </x:c>
      <x:c r="J1320" s="27" t="str">
        <x:v>Incoming prerequisite relationship.</x:v>
      </x:c>
    </x:row>
    <x:row r="1321">
      <x:c r="A1321" s="27" t="str">
        <x:v>E01317</x:v>
      </x:c>
      <x:c r="B1321" s="27" t="str">
        <x:v>S15-SCI-01:GROUND</x:v>
      </x:c>
      <x:c r="C1321" s="27" t="str">
        <x:v>G4/G5 — Concrete model linked to coordinated representations</x:v>
      </x:c>
      <x:c r="D1321" s="27" t="str">
        <x:v>GROUNDED_BY</x:v>
      </x:c>
      <x:c r="E1321" s="27" t="str">
        <x:v>S15-SCI-01</x:v>
      </x:c>
      <x:c r="F1321" s="27" t="str">
        <x:v>Forces and predictable motion</x:v>
      </x:c>
      <x:c r="G1321" s="27" t="str">
        <x:v>S15</x:v>
      </x:c>
      <x:c r="H1321" s="27" t="str">
        <x:v>Science &amp; Engineering</x:v>
      </x:c>
      <x:c r="I1321" s="27" t="str">
        <x:v>SRC11</x:v>
      </x:c>
      <x:c r="J1321" s="27" t="str">
        <x:v>Grounding form used to preserve meaning.</x:v>
      </x:c>
    </x:row>
    <x:row r="1322">
      <x:c r="A1322" s="27" t="str">
        <x:v>E01318</x:v>
      </x:c>
      <x:c r="B1322" s="27" t="str">
        <x:v>S15-SCI-01</x:v>
      </x:c>
      <x:c r="C1322" s="27" t="str">
        <x:v>Forces and predictable motion</x:v>
      </x:c>
      <x:c r="D1322" s="27" t="str">
        <x:v>CONNECTS_TO</x:v>
      </x:c>
      <x:c r="E1322" s="27" t="str">
        <x:v>S15-SCI-01:CROSS</x:v>
      </x:c>
      <x:c r="F1322" s="27" t="str">
        <x:v>Sensory observation and action; mathematics/data; reading/writing evidence; computing/models; health and environmental/civic decisions.</x:v>
      </x:c>
      <x:c r="G1322" s="27" t="str">
        <x:v>S15</x:v>
      </x:c>
      <x:c r="H1322" s="27" t="str">
        <x:v>Science &amp; Engineering</x:v>
      </x:c>
      <x:c r="I1322" s="27" t="str">
        <x:v>SRC11</x:v>
      </x:c>
      <x:c r="J1322" s="27" t="str">
        <x:v>Parallel subject and representation links.</x:v>
      </x:c>
    </x:row>
    <x:row r="1323">
      <x:c r="A1323" s="27" t="str">
        <x:v>E01319</x:v>
      </x:c>
      <x:c r="B1323" s="27" t="str">
        <x:v>S15-SCI-01</x:v>
      </x:c>
      <x:c r="C1323" s="27" t="str">
        <x:v>Forces and predictable motion</x:v>
      </x:c>
      <x:c r="D1323" s="27" t="str">
        <x:v>UNLOCKS</x:v>
      </x:c>
      <x:c r="E1323" s="27" t="str">
        <x:v>S15-SCI-01:NEXT</x:v>
      </x:c>
      <x:c r="F1323" s="27" t="str">
        <x:v>Measured patterns support stronger causal and predictive models.</x:v>
      </x:c>
      <x:c r="G1323" s="27" t="str">
        <x:v>S15</x:v>
      </x:c>
      <x:c r="H1323" s="27" t="str">
        <x:v>Science &amp; Engineering</x:v>
      </x:c>
      <x:c r="I1323" s="27" t="str">
        <x:v>SRC11</x:v>
      </x:c>
      <x:c r="J1323" s="27" t="str">
        <x:v>Outgoing use and placement rationale.</x:v>
      </x:c>
    </x:row>
    <x:row r="1324">
      <x:c r="A1324" s="27" t="str">
        <x:v>E01320</x:v>
      </x:c>
      <x:c r="B1324" s="27" t="str">
        <x:v>S15-SCI-01</x:v>
      </x:c>
      <x:c r="C1324" s="27" t="str">
        <x:v>Forces and predictable motion</x:v>
      </x:c>
      <x:c r="D1324" s="27" t="str">
        <x:v>VERIFIED_BY</x:v>
      </x:c>
      <x:c r="E1324" s="27" t="str">
        <x:v>S15-SCI-01:EVIDENCE</x:v>
      </x:c>
      <x:c r="F1324" s="27" t="str">
        <x:v>Uses repeated measurements to support a motion or force claim.</x:v>
      </x:c>
      <x:c r="G1324" s="27" t="str">
        <x:v>S15</x:v>
      </x:c>
      <x:c r="H1324" s="27" t="str">
        <x:v>Science &amp; Engineering</x:v>
      </x:c>
      <x:c r="I1324" s="27" t="str">
        <x:v>SRC11</x:v>
      </x:c>
      <x:c r="J1324" s="27" t="str">
        <x:v>Observable evidence of usable learning.</x:v>
      </x:c>
    </x:row>
    <x:row r="1325">
      <x:c r="A1325" s="27" t="str">
        <x:v>E01321</x:v>
      </x:c>
      <x:c r="B1325" s="27" t="str">
        <x:v>S15-SCI-01</x:v>
      </x:c>
      <x:c r="C1325" s="27" t="str">
        <x:v>Previous node in domain progression</x:v>
      </x:c>
      <x:c r="D1325" s="27" t="str">
        <x:v>DOMAIN_SEQUENCE</x:v>
      </x:c>
      <x:c r="E1325" s="27" t="str">
        <x:v>S15-SCI-02</x:v>
      </x:c>
      <x:c r="F1325" s="27" t="str">
        <x:v>Life cycles, traits, and environment</x:v>
      </x:c>
      <x:c r="G1325" s="27" t="str">
        <x:v>S15</x:v>
      </x:c>
      <x:c r="H1325" s="27" t="str">
        <x:v>Science &amp; Engineering</x:v>
      </x:c>
      <x:c r="I1325" s="27" t="str">
        <x:v>SRC11</x:v>
      </x:c>
      <x:c r="J1325" s="27" t="str">
        <x:v>Ordered spiral link; consult explicit prerequisites for logical dependency.</x:v>
      </x:c>
    </x:row>
    <x:row r="1326">
      <x:c r="A1326" s="27" t="str">
        <x:v>E01322</x:v>
      </x:c>
      <x:c r="B1326" s="27" t="str">
        <x:v>S15-SCI-02:PREREQ</x:v>
      </x:c>
      <x:c r="C1326" s="27" t="str">
        <x:v>Structure-function, reproduction relationships, and biodiversity.</x:v>
      </x:c>
      <x:c r="D1326" s="27" t="str">
        <x:v>PREREQUISITE</x:v>
      </x:c>
      <x:c r="E1326" s="27" t="str">
        <x:v>S15-SCI-02</x:v>
      </x:c>
      <x:c r="F1326" s="27" t="str">
        <x:v>Life cycles, traits, and environment</x:v>
      </x:c>
      <x:c r="G1326" s="27" t="str">
        <x:v>S15</x:v>
      </x:c>
      <x:c r="H1326" s="27" t="str">
        <x:v>Science &amp; Engineering</x:v>
      </x:c>
      <x:c r="I1326" s="27" t="str">
        <x:v>SRC11</x:v>
      </x:c>
      <x:c r="J1326" s="27" t="str">
        <x:v>Incoming prerequisite relationship.</x:v>
      </x:c>
    </x:row>
    <x:row r="1327">
      <x:c r="A1327" s="27" t="str">
        <x:v>E01323</x:v>
      </x:c>
      <x:c r="B1327" s="27" t="str">
        <x:v>S15-SCI-02:GROUND</x:v>
      </x:c>
      <x:c r="C1327" s="27" t="str">
        <x:v>G4/G5 — Concrete model linked to coordinated representations</x:v>
      </x:c>
      <x:c r="D1327" s="27" t="str">
        <x:v>GROUNDED_BY</x:v>
      </x:c>
      <x:c r="E1327" s="27" t="str">
        <x:v>S15-SCI-02</x:v>
      </x:c>
      <x:c r="F1327" s="27" t="str">
        <x:v>Life cycles, traits, and environment</x:v>
      </x:c>
      <x:c r="G1327" s="27" t="str">
        <x:v>S15</x:v>
      </x:c>
      <x:c r="H1327" s="27" t="str">
        <x:v>Science &amp; Engineering</x:v>
      </x:c>
      <x:c r="I1327" s="27" t="str">
        <x:v>SRC11</x:v>
      </x:c>
      <x:c r="J1327" s="27" t="str">
        <x:v>Grounding form used to preserve meaning.</x:v>
      </x:c>
    </x:row>
    <x:row r="1328">
      <x:c r="A1328" s="27" t="str">
        <x:v>E01324</x:v>
      </x:c>
      <x:c r="B1328" s="27" t="str">
        <x:v>S15-SCI-02</x:v>
      </x:c>
      <x:c r="C1328" s="27" t="str">
        <x:v>Life cycles, traits, and environment</x:v>
      </x:c>
      <x:c r="D1328" s="27" t="str">
        <x:v>CONNECTS_TO</x:v>
      </x:c>
      <x:c r="E1328" s="27" t="str">
        <x:v>S15-SCI-02:CROSS</x:v>
      </x:c>
      <x:c r="F1328" s="27" t="str">
        <x:v>Sensory observation and action; mathematics/data; reading/writing evidence; computing/models; health and environmental/civic decisions.</x:v>
      </x:c>
      <x:c r="G1328" s="27" t="str">
        <x:v>S15</x:v>
      </x:c>
      <x:c r="H1328" s="27" t="str">
        <x:v>Science &amp; Engineering</x:v>
      </x:c>
      <x:c r="I1328" s="27" t="str">
        <x:v>SRC11</x:v>
      </x:c>
      <x:c r="J1328" s="27" t="str">
        <x:v>Parallel subject and representation links.</x:v>
      </x:c>
    </x:row>
    <x:row r="1329">
      <x:c r="A1329" s="27" t="str">
        <x:v>E01325</x:v>
      </x:c>
      <x:c r="B1329" s="27" t="str">
        <x:v>S15-SCI-02</x:v>
      </x:c>
      <x:c r="C1329" s="27" t="str">
        <x:v>Life cycles, traits, and environment</x:v>
      </x:c>
      <x:c r="D1329" s="27" t="str">
        <x:v>UNLOCKS</x:v>
      </x:c>
      <x:c r="E1329" s="27" t="str">
        <x:v>S15-SCI-02:NEXT</x:v>
      </x:c>
      <x:c r="F1329" s="27" t="str">
        <x:v>Traits plus environment prepare heredity, adaptation, and evolution.</x:v>
      </x:c>
      <x:c r="G1329" s="27" t="str">
        <x:v>S15</x:v>
      </x:c>
      <x:c r="H1329" s="27" t="str">
        <x:v>Science &amp; Engineering</x:v>
      </x:c>
      <x:c r="I1329" s="27" t="str">
        <x:v>SRC11</x:v>
      </x:c>
      <x:c r="J1329" s="27" t="str">
        <x:v>Outgoing use and placement rationale.</x:v>
      </x:c>
    </x:row>
    <x:row r="1330">
      <x:c r="A1330" s="27" t="str">
        <x:v>E01326</x:v>
      </x:c>
      <x:c r="B1330" s="27" t="str">
        <x:v>S15-SCI-02</x:v>
      </x:c>
      <x:c r="C1330" s="27" t="str">
        <x:v>Life cycles, traits, and environment</x:v>
      </x:c>
      <x:c r="D1330" s="27" t="str">
        <x:v>VERIFIED_BY</x:v>
      </x:c>
      <x:c r="E1330" s="27" t="str">
        <x:v>S15-SCI-02:EVIDENCE</x:v>
      </x:c>
      <x:c r="F1330" s="27" t="str">
        <x:v>Uses observations or data to distinguish inherited variation from an environmental influence.</x:v>
      </x:c>
      <x:c r="G1330" s="27" t="str">
        <x:v>S15</x:v>
      </x:c>
      <x:c r="H1330" s="27" t="str">
        <x:v>Science &amp; Engineering</x:v>
      </x:c>
      <x:c r="I1330" s="27" t="str">
        <x:v>SRC11</x:v>
      </x:c>
      <x:c r="J1330" s="27" t="str">
        <x:v>Observable evidence of usable learning.</x:v>
      </x:c>
    </x:row>
    <x:row r="1331">
      <x:c r="A1331" s="27" t="str">
        <x:v>E01327</x:v>
      </x:c>
      <x:c r="B1331" s="27" t="str">
        <x:v>S15-SCI-02</x:v>
      </x:c>
      <x:c r="C1331" s="27" t="str">
        <x:v>Previous node in domain progression</x:v>
      </x:c>
      <x:c r="D1331" s="27" t="str">
        <x:v>DOMAIN_SEQUENCE</x:v>
      </x:c>
      <x:c r="E1331" s="27" t="str">
        <x:v>S15-SCI-03</x:v>
      </x:c>
      <x:c r="F1331" s="27" t="str">
        <x:v>Weather, climate, and hazards</x:v>
      </x:c>
      <x:c r="G1331" s="27" t="str">
        <x:v>S15</x:v>
      </x:c>
      <x:c r="H1331" s="27" t="str">
        <x:v>Science &amp; Engineering</x:v>
      </x:c>
      <x:c r="I1331" s="27" t="str">
        <x:v>SRC11</x:v>
      </x:c>
      <x:c r="J1331" s="27" t="str">
        <x:v>Ordered spiral link; consult explicit prerequisites for logical dependency.</x:v>
      </x:c>
    </x:row>
    <x:row r="1332">
      <x:c r="A1332" s="27" t="str">
        <x:v>E01328</x:v>
      </x:c>
      <x:c r="B1332" s="27" t="str">
        <x:v>S15-SCI-03:PREREQ</x:v>
      </x:c>
      <x:c r="C1332" s="27" t="str">
        <x:v>Kindergarten weather records, Grade 2 Earth change, and scaled graphs.</x:v>
      </x:c>
      <x:c r="D1332" s="27" t="str">
        <x:v>PREREQUISITE</x:v>
      </x:c>
      <x:c r="E1332" s="27" t="str">
        <x:v>S15-SCI-03</x:v>
      </x:c>
      <x:c r="F1332" s="27" t="str">
        <x:v>Weather, climate, and hazards</x:v>
      </x:c>
      <x:c r="G1332" s="27" t="str">
        <x:v>S15</x:v>
      </x:c>
      <x:c r="H1332" s="27" t="str">
        <x:v>Science &amp; Engineering</x:v>
      </x:c>
      <x:c r="I1332" s="27" t="str">
        <x:v>SRC11</x:v>
      </x:c>
      <x:c r="J1332" s="27" t="str">
        <x:v>Incoming prerequisite relationship.</x:v>
      </x:c>
    </x:row>
    <x:row r="1333">
      <x:c r="A1333" s="27" t="str">
        <x:v>E01329</x:v>
      </x:c>
      <x:c r="B1333" s="27" t="str">
        <x:v>S15-SCI-03:GROUND</x:v>
      </x:c>
      <x:c r="C1333" s="27" t="str">
        <x:v>G4/G5 — Concrete model linked to coordinated representations</x:v>
      </x:c>
      <x:c r="D1333" s="27" t="str">
        <x:v>GROUNDED_BY</x:v>
      </x:c>
      <x:c r="E1333" s="27" t="str">
        <x:v>S15-SCI-03</x:v>
      </x:c>
      <x:c r="F1333" s="27" t="str">
        <x:v>Weather, climate, and hazards</x:v>
      </x:c>
      <x:c r="G1333" s="27" t="str">
        <x:v>S15</x:v>
      </x:c>
      <x:c r="H1333" s="27" t="str">
        <x:v>Science &amp; Engineering</x:v>
      </x:c>
      <x:c r="I1333" s="27" t="str">
        <x:v>SRC11</x:v>
      </x:c>
      <x:c r="J1333" s="27" t="str">
        <x:v>Grounding form used to preserve meaning.</x:v>
      </x:c>
    </x:row>
    <x:row r="1334">
      <x:c r="A1334" s="27" t="str">
        <x:v>E01330</x:v>
      </x:c>
      <x:c r="B1334" s="27" t="str">
        <x:v>S15-SCI-03</x:v>
      </x:c>
      <x:c r="C1334" s="27" t="str">
        <x:v>Weather, climate, and hazards</x:v>
      </x:c>
      <x:c r="D1334" s="27" t="str">
        <x:v>CONNECTS_TO</x:v>
      </x:c>
      <x:c r="E1334" s="27" t="str">
        <x:v>S15-SCI-03:CROSS</x:v>
      </x:c>
      <x:c r="F1334" s="27" t="str">
        <x:v>Sensory observation and action; mathematics/data; reading/writing evidence; computing/models; health and environmental/civic decisions.</x:v>
      </x:c>
      <x:c r="G1334" s="27" t="str">
        <x:v>S15</x:v>
      </x:c>
      <x:c r="H1334" s="27" t="str">
        <x:v>Science &amp; Engineering</x:v>
      </x:c>
      <x:c r="I1334" s="27" t="str">
        <x:v>SRC11</x:v>
      </x:c>
      <x:c r="J1334" s="27" t="str">
        <x:v>Parallel subject and representation links.</x:v>
      </x:c>
    </x:row>
    <x:row r="1335">
      <x:c r="A1335" s="27" t="str">
        <x:v>E01331</x:v>
      </x:c>
      <x:c r="B1335" s="27" t="str">
        <x:v>S15-SCI-03</x:v>
      </x:c>
      <x:c r="C1335" s="27" t="str">
        <x:v>Weather, climate, and hazards</x:v>
      </x:c>
      <x:c r="D1335" s="27" t="str">
        <x:v>UNLOCKS</x:v>
      </x:c>
      <x:c r="E1335" s="27" t="str">
        <x:v>S15-SCI-03:NEXT</x:v>
      </x:c>
      <x:c r="F1335" s="27" t="str">
        <x:v>Longer datasets and design constraints connect patterns to community decisions.</x:v>
      </x:c>
      <x:c r="G1335" s="27" t="str">
        <x:v>S15</x:v>
      </x:c>
      <x:c r="H1335" s="27" t="str">
        <x:v>Science &amp; Engineering</x:v>
      </x:c>
      <x:c r="I1335" s="27" t="str">
        <x:v>SRC11</x:v>
      </x:c>
      <x:c r="J1335" s="27" t="str">
        <x:v>Outgoing use and placement rationale.</x:v>
      </x:c>
    </x:row>
    <x:row r="1336">
      <x:c r="A1336" s="27" t="str">
        <x:v>E01332</x:v>
      </x:c>
      <x:c r="B1336" s="27" t="str">
        <x:v>S15-SCI-03</x:v>
      </x:c>
      <x:c r="C1336" s="27" t="str">
        <x:v>Weather, climate, and hazards</x:v>
      </x:c>
      <x:c r="D1336" s="27" t="str">
        <x:v>VERIFIED_BY</x:v>
      </x:c>
      <x:c r="E1336" s="27" t="str">
        <x:v>S15-SCI-03:EVIDENCE</x:v>
      </x:c>
      <x:c r="F1336" s="27" t="str">
        <x:v>Uses data to describe a climate pattern and compares hazard-solution criteria.</x:v>
      </x:c>
      <x:c r="G1336" s="27" t="str">
        <x:v>S15</x:v>
      </x:c>
      <x:c r="H1336" s="27" t="str">
        <x:v>Science &amp; Engineering</x:v>
      </x:c>
      <x:c r="I1336" s="27" t="str">
        <x:v>SRC11</x:v>
      </x:c>
      <x:c r="J1336" s="27" t="str">
        <x:v>Observable evidence of usable learning.</x:v>
      </x:c>
    </x:row>
    <x:row r="1337">
      <x:c r="A1337" s="27" t="str">
        <x:v>E01333</x:v>
      </x:c>
      <x:c r="B1337" s="27" t="str">
        <x:v>S14-SST-01</x:v>
      </x:c>
      <x:c r="C1337" s="27" t="str">
        <x:v>Previous node in domain progression</x:v>
      </x:c>
      <x:c r="D1337" s="27" t="str">
        <x:v>DOMAIN_SEQUENCE</x:v>
      </x:c>
      <x:c r="E1337" s="27" t="str">
        <x:v>S15-SST-01</x:v>
      </x:c>
      <x:c r="F1337" s="27" t="str">
        <x:v>Regional and Indigenous histories, geography, civics, economics</x:v>
      </x:c>
      <x:c r="G1337" s="27" t="str">
        <x:v>S15</x:v>
      </x:c>
      <x:c r="H1337" s="27" t="str">
        <x:v>Social Studies</x:v>
      </x:c>
      <x:c r="I1337" s="27" t="str">
        <x:v>SRC12; SRC24</x:v>
      </x:c>
      <x:c r="J1337" s="27" t="str">
        <x:v>Ordered spiral link; consult explicit prerequisites for logical dependency.</x:v>
      </x:c>
    </x:row>
    <x:row r="1338">
      <x:c r="A1338" s="27" t="str">
        <x:v>E01334</x:v>
      </x:c>
      <x:c r="B1338" s="27" t="str">
        <x:v>S15-SST-01:PREREQ</x:v>
      </x:c>
      <x:c r="C1338" s="27" t="str">
        <x:v>Local-source inquiry, Grade 3 research skills, and fraction/data representations.</x:v>
      </x:c>
      <x:c r="D1338" s="27" t="str">
        <x:v>PREREQUISITE</x:v>
      </x:c>
      <x:c r="E1338" s="27" t="str">
        <x:v>S15-SST-01</x:v>
      </x:c>
      <x:c r="F1338" s="27" t="str">
        <x:v>Regional and Indigenous histories, geography, civics, economics</x:v>
      </x:c>
      <x:c r="G1338" s="27" t="str">
        <x:v>S15</x:v>
      </x:c>
      <x:c r="H1338" s="27" t="str">
        <x:v>Social Studies</x:v>
      </x:c>
      <x:c r="I1338" s="27" t="str">
        <x:v>SRC12; SRC24</x:v>
      </x:c>
      <x:c r="J1338" s="27" t="str">
        <x:v>Incoming prerequisite relationship.</x:v>
      </x:c>
    </x:row>
    <x:row r="1339">
      <x:c r="A1339" s="27" t="str">
        <x:v>E01335</x:v>
      </x:c>
      <x:c r="B1339" s="27" t="str">
        <x:v>S15-SST-01:GROUND</x:v>
      </x:c>
      <x:c r="C1339" s="27" t="str">
        <x:v>G4/G5 — Concrete model linked to coordinated representations</x:v>
      </x:c>
      <x:c r="D1339" s="27" t="str">
        <x:v>GROUNDED_BY</x:v>
      </x:c>
      <x:c r="E1339" s="27" t="str">
        <x:v>S15-SST-01</x:v>
      </x:c>
      <x:c r="F1339" s="27" t="str">
        <x:v>Regional and Indigenous histories, geography, civics, economics</x:v>
      </x:c>
      <x:c r="G1339" s="27" t="str">
        <x:v>S15</x:v>
      </x:c>
      <x:c r="H1339" s="27" t="str">
        <x:v>Social Studies</x:v>
      </x:c>
      <x:c r="I1339" s="27" t="str">
        <x:v>SRC12; SRC24</x:v>
      </x:c>
      <x:c r="J1339" s="27" t="str">
        <x:v>Grounding form used to preserve meaning.</x:v>
      </x:c>
    </x:row>
    <x:row r="1340">
      <x:c r="A1340" s="27" t="str">
        <x:v>E01336</x:v>
      </x:c>
      <x:c r="B1340" s="27" t="str">
        <x:v>S15-SST-01</x:v>
      </x:c>
      <x:c r="C1340" s="27" t="str">
        <x:v>Regional and Indigenous histories, geography, civics, economics</x:v>
      </x:c>
      <x:c r="D1340" s="27" t="str">
        <x:v>CONNECTS_TO</x:v>
      </x:c>
      <x:c r="E1340" s="27" t="str">
        <x:v>S15-SST-01:CROSS</x:v>
      </x:c>
      <x:c r="F1340" s="27" t="str">
        <x:v>Language/literacy and source evidence; maps/data/economics; ethics/SEL; media literacy; arts/culture; civic action.</x:v>
      </x:c>
      <x:c r="G1340" s="27" t="str">
        <x:v>S15</x:v>
      </x:c>
      <x:c r="H1340" s="27" t="str">
        <x:v>Social Studies</x:v>
      </x:c>
      <x:c r="I1340" s="27" t="str">
        <x:v>SRC12; SRC24</x:v>
      </x:c>
      <x:c r="J1340" s="27" t="str">
        <x:v>Parallel subject and representation links.</x:v>
      </x:c>
    </x:row>
    <x:row r="1341">
      <x:c r="A1341" s="27" t="str">
        <x:v>E01337</x:v>
      </x:c>
      <x:c r="B1341" s="27" t="str">
        <x:v>S15-SST-01</x:v>
      </x:c>
      <x:c r="C1341" s="27" t="str">
        <x:v>Regional and Indigenous histories, geography, civics, economics</x:v>
      </x:c>
      <x:c r="D1341" s="27" t="str">
        <x:v>UNLOCKS</x:v>
      </x:c>
      <x:c r="E1341" s="27" t="str">
        <x:v>S15-SST-01:NEXT</x:v>
      </x:c>
      <x:c r="F1341" s="27" t="str">
        <x:v>Regional scale expands spatial, chronological, cultural, and institutional relationships.</x:v>
      </x:c>
      <x:c r="G1341" s="27" t="str">
        <x:v>S15</x:v>
      </x:c>
      <x:c r="H1341" s="27" t="str">
        <x:v>Social Studies</x:v>
      </x:c>
      <x:c r="I1341" s="27" t="str">
        <x:v>SRC12; SRC24</x:v>
      </x:c>
      <x:c r="J1341" s="27" t="str">
        <x:v>Outgoing use and placement rationale.</x:v>
      </x:c>
    </x:row>
    <x:row r="1342">
      <x:c r="A1342" s="27" t="str">
        <x:v>E01338</x:v>
      </x:c>
      <x:c r="B1342" s="27" t="str">
        <x:v>S15-SST-01</x:v>
      </x:c>
      <x:c r="C1342" s="27" t="str">
        <x:v>Regional and Indigenous histories, geography, civics, economics</x:v>
      </x:c>
      <x:c r="D1342" s="27" t="str">
        <x:v>VERIFIED_BY</x:v>
      </x:c>
      <x:c r="E1342" s="27" t="str">
        <x:v>S15-SST-01:EVIDENCE</x:v>
      </x:c>
      <x:c r="F1342" s="27" t="str">
        <x:v>Communicates a conclusion supported by relevant evidence from more than one perspective/source type.</x:v>
      </x:c>
      <x:c r="G1342" s="27" t="str">
        <x:v>S15</x:v>
      </x:c>
      <x:c r="H1342" s="27" t="str">
        <x:v>Social Studies</x:v>
      </x:c>
      <x:c r="I1342" s="27" t="str">
        <x:v>SRC12; SRC24</x:v>
      </x:c>
      <x:c r="J1342" s="27" t="str">
        <x:v>Observable evidence of usable learning.</x:v>
      </x:c>
    </x:row>
    <x:row r="1343">
      <x:c r="A1343" s="27" t="str">
        <x:v>E01339</x:v>
      </x:c>
      <x:c r="B1343" s="27" t="str">
        <x:v>S14-ARTS-01</x:v>
      </x:c>
      <x:c r="C1343" s="27" t="str">
        <x:v>Previous node in domain progression</x:v>
      </x:c>
      <x:c r="D1343" s="27" t="str">
        <x:v>DOMAIN_SEQUENCE</x:v>
      </x:c>
      <x:c r="E1343" s="27" t="str">
        <x:v>S15-ARTS-01</x:v>
      </x:c>
      <x:c r="F1343" s="27" t="str">
        <x:v>Notation, ensemble, and form</x:v>
      </x:c>
      <x:c r="G1343" s="27" t="str">
        <x:v>S15</x:v>
      </x:c>
      <x:c r="H1343" s="27" t="str">
        <x:v>Music &amp; Arts</x:v>
      </x:c>
      <x:c r="I1343" s="27" t="str">
        <x:v>SRC13</x:v>
      </x:c>
      <x:c r="J1343" s="27" t="str">
        <x:v>Ordered spiral link; consult explicit prerequisites for logical dependency.</x:v>
      </x:c>
    </x:row>
    <x:row r="1344">
      <x:c r="A1344" s="27" t="str">
        <x:v>E01340</x:v>
      </x:c>
      <x:c r="B1344" s="27" t="str">
        <x:v>S15-ARTS-01:PREREQ</x:v>
      </x:c>
      <x:c r="C1344" s="27" t="str">
        <x:v>Grade 2 meter/form and fluent pattern reading.</x:v>
      </x:c>
      <x:c r="D1344" s="27" t="str">
        <x:v>PREREQUISITE</x:v>
      </x:c>
      <x:c r="E1344" s="27" t="str">
        <x:v>S15-ARTS-01</x:v>
      </x:c>
      <x:c r="F1344" s="27" t="str">
        <x:v>Notation, ensemble, and form</x:v>
      </x:c>
      <x:c r="G1344" s="27" t="str">
        <x:v>S15</x:v>
      </x:c>
      <x:c r="H1344" s="27" t="str">
        <x:v>Music &amp; Arts</x:v>
      </x:c>
      <x:c r="I1344" s="27" t="str">
        <x:v>SRC13</x:v>
      </x:c>
      <x:c r="J1344" s="27" t="str">
        <x:v>Incoming prerequisite relationship.</x:v>
      </x:c>
    </x:row>
    <x:row r="1345">
      <x:c r="A1345" s="27" t="str">
        <x:v>E01341</x:v>
      </x:c>
      <x:c r="B1345" s="27" t="str">
        <x:v>S15-ARTS-01:GROUND</x:v>
      </x:c>
      <x:c r="C1345" s="27" t="str">
        <x:v>G4/G5 — Concrete model linked to coordinated representations</x:v>
      </x:c>
      <x:c r="D1345" s="27" t="str">
        <x:v>GROUNDED_BY</x:v>
      </x:c>
      <x:c r="E1345" s="27" t="str">
        <x:v>S15-ARTS-01</x:v>
      </x:c>
      <x:c r="F1345" s="27" t="str">
        <x:v>Notation, ensemble, and form</x:v>
      </x:c>
      <x:c r="G1345" s="27" t="str">
        <x:v>S15</x:v>
      </x:c>
      <x:c r="H1345" s="27" t="str">
        <x:v>Music &amp; Arts</x:v>
      </x:c>
      <x:c r="I1345" s="27" t="str">
        <x:v>SRC13</x:v>
      </x:c>
      <x:c r="J1345" s="27" t="str">
        <x:v>Grounding form used to preserve meaning.</x:v>
      </x:c>
    </x:row>
    <x:row r="1346">
      <x:c r="A1346" s="27" t="str">
        <x:v>E01342</x:v>
      </x:c>
      <x:c r="B1346" s="27" t="str">
        <x:v>S15-ARTS-01</x:v>
      </x:c>
      <x:c r="C1346" s="27" t="str">
        <x:v>Notation, ensemble, and form</x:v>
      </x:c>
      <x:c r="D1346" s="27" t="str">
        <x:v>CONNECTS_TO</x:v>
      </x:c>
      <x:c r="E1346" s="27" t="str">
        <x:v>S15-ARTS-01:CROSS</x:v>
      </x:c>
      <x:c r="F1346" s="27" t="str">
        <x:v>Sensory discrimination; motor timing; language/prosody; mathematics/pattern; history/culture; emotion, design, and technology.</x:v>
      </x:c>
      <x:c r="G1346" s="27" t="str">
        <x:v>S15</x:v>
      </x:c>
      <x:c r="H1346" s="27" t="str">
        <x:v>Music &amp; Arts</x:v>
      </x:c>
      <x:c r="I1346" s="27" t="str">
        <x:v>SRC13</x:v>
      </x:c>
      <x:c r="J1346" s="27" t="str">
        <x:v>Parallel subject and representation links.</x:v>
      </x:c>
    </x:row>
    <x:row r="1347">
      <x:c r="A1347" s="27" t="str">
        <x:v>E01343</x:v>
      </x:c>
      <x:c r="B1347" s="27" t="str">
        <x:v>S15-ARTS-01</x:v>
      </x:c>
      <x:c r="C1347" s="27" t="str">
        <x:v>Notation, ensemble, and form</x:v>
      </x:c>
      <x:c r="D1347" s="27" t="str">
        <x:v>UNLOCKS</x:v>
      </x:c>
      <x:c r="E1347" s="27" t="str">
        <x:v>S15-ARTS-01:NEXT</x:v>
      </x:c>
      <x:c r="F1347" s="27" t="str">
        <x:v>An independent part introduces simultaneous coordination and harmony.</x:v>
      </x:c>
      <x:c r="G1347" s="27" t="str">
        <x:v>S15</x:v>
      </x:c>
      <x:c r="H1347" s="27" t="str">
        <x:v>Music &amp; Arts</x:v>
      </x:c>
      <x:c r="I1347" s="27" t="str">
        <x:v>SRC13</x:v>
      </x:c>
      <x:c r="J1347" s="27" t="str">
        <x:v>Outgoing use and placement rationale.</x:v>
      </x:c>
    </x:row>
    <x:row r="1348">
      <x:c r="A1348" s="27" t="str">
        <x:v>E01344</x:v>
      </x:c>
      <x:c r="B1348" s="27" t="str">
        <x:v>S15-ARTS-01</x:v>
      </x:c>
      <x:c r="C1348" s="27" t="str">
        <x:v>Notation, ensemble, and form</x:v>
      </x:c>
      <x:c r="D1348" s="27" t="str">
        <x:v>VERIFIED_BY</x:v>
      </x:c>
      <x:c r="E1348" s="27" t="str">
        <x:v>S15-ARTS-01:EVIDENCE</x:v>
      </x:c>
      <x:c r="F1348" s="27" t="str">
        <x:v>Performs a part reliably and uses musical vocabulary to explain the work’s structure.</x:v>
      </x:c>
      <x:c r="G1348" s="27" t="str">
        <x:v>S15</x:v>
      </x:c>
      <x:c r="H1348" s="27" t="str">
        <x:v>Music &amp; Arts</x:v>
      </x:c>
      <x:c r="I1348" s="27" t="str">
        <x:v>SRC13</x:v>
      </x:c>
      <x:c r="J1348" s="27" t="str">
        <x:v>Observable evidence of usable learning.</x:v>
      </x:c>
    </x:row>
    <x:row r="1349">
      <x:c r="A1349" s="27" t="str">
        <x:v>E01345</x:v>
      </x:c>
      <x:c r="B1349" s="27" t="str">
        <x:v>S14-HLTH-01</x:v>
      </x:c>
      <x:c r="C1349" s="27" t="str">
        <x:v>Previous node in domain progression</x:v>
      </x:c>
      <x:c r="D1349" s="27" t="str">
        <x:v>DOMAIN_SEQUENCE</x:v>
      </x:c>
      <x:c r="E1349" s="27" t="str">
        <x:v>S15-HLTH-01</x:v>
      </x:c>
      <x:c r="F1349" s="27" t="str">
        <x:v>Movement concepts and personal fitness response</x:v>
      </x:c>
      <x:c r="G1349" s="27" t="str">
        <x:v>S15</x:v>
      </x:c>
      <x:c r="H1349" s="27" t="str">
        <x:v>Physical &amp; Health</x:v>
      </x:c>
      <x:c r="I1349" s="27" t="str">
        <x:v>SRC14; SRC15</x:v>
      </x:c>
      <x:c r="J1349" s="27" t="str">
        <x:v>Ordered spiral link; consult explicit prerequisites for logical dependency.</x:v>
      </x:c>
    </x:row>
    <x:row r="1350">
      <x:c r="A1350" s="27" t="str">
        <x:v>E01346</x:v>
      </x:c>
      <x:c r="B1350" s="27" t="str">
        <x:v>S15-HLTH-01:PREREQ</x:v>
      </x:c>
      <x:c r="C1350" s="27" t="str">
        <x:v>Grade 2 skill application, measurement, and body signals.</x:v>
      </x:c>
      <x:c r="D1350" s="27" t="str">
        <x:v>PREREQUISITE</x:v>
      </x:c>
      <x:c r="E1350" s="27" t="str">
        <x:v>S15-HLTH-01</x:v>
      </x:c>
      <x:c r="F1350" s="27" t="str">
        <x:v>Movement concepts and personal fitness response</x:v>
      </x:c>
      <x:c r="G1350" s="27" t="str">
        <x:v>S15</x:v>
      </x:c>
      <x:c r="H1350" s="27" t="str">
        <x:v>Physical &amp; Health</x:v>
      </x:c>
      <x:c r="I1350" s="27" t="str">
        <x:v>SRC14; SRC15</x:v>
      </x:c>
      <x:c r="J1350" s="27" t="str">
        <x:v>Incoming prerequisite relationship.</x:v>
      </x:c>
    </x:row>
    <x:row r="1351">
      <x:c r="A1351" s="27" t="str">
        <x:v>E01347</x:v>
      </x:c>
      <x:c r="B1351" s="27" t="str">
        <x:v>S15-HLTH-01:GROUND</x:v>
      </x:c>
      <x:c r="C1351" s="27" t="str">
        <x:v>G4/G5 — Concrete model linked to coordinated representations</x:v>
      </x:c>
      <x:c r="D1351" s="27" t="str">
        <x:v>GROUNDED_BY</x:v>
      </x:c>
      <x:c r="E1351" s="27" t="str">
        <x:v>S15-HLTH-01</x:v>
      </x:c>
      <x:c r="F1351" s="27" t="str">
        <x:v>Movement concepts and personal fitness response</x:v>
      </x:c>
      <x:c r="G1351" s="27" t="str">
        <x:v>S15</x:v>
      </x:c>
      <x:c r="H1351" s="27" t="str">
        <x:v>Physical &amp; Health</x:v>
      </x:c>
      <x:c r="I1351" s="27" t="str">
        <x:v>SRC14; SRC15</x:v>
      </x:c>
      <x:c r="J1351" s="27" t="str">
        <x:v>Grounding form used to preserve meaning.</x:v>
      </x:c>
    </x:row>
    <x:row r="1352">
      <x:c r="A1352" s="27" t="str">
        <x:v>E01348</x:v>
      </x:c>
      <x:c r="B1352" s="27" t="str">
        <x:v>S15-HLTH-01</x:v>
      </x:c>
      <x:c r="C1352" s="27" t="str">
        <x:v>Movement concepts and personal fitness response</x:v>
      </x:c>
      <x:c r="D1352" s="27" t="str">
        <x:v>CONNECTS_TO</x:v>
      </x:c>
      <x:c r="E1352" s="27" t="str">
        <x:v>S15-HLTH-01:CROSS</x:v>
      </x:c>
      <x:c r="F1352" s="27" t="str">
        <x:v>Motor/sensory development; life science; measurement/data; SEL/self-management; communication, safety, and decision-making.</x:v>
      </x:c>
      <x:c r="G1352" s="27" t="str">
        <x:v>S15</x:v>
      </x:c>
      <x:c r="H1352" s="27" t="str">
        <x:v>Physical &amp; Health</x:v>
      </x:c>
      <x:c r="I1352" s="27" t="str">
        <x:v>SRC14; SRC15</x:v>
      </x:c>
      <x:c r="J1352" s="27" t="str">
        <x:v>Parallel subject and representation links.</x:v>
      </x:c>
    </x:row>
    <x:row r="1353">
      <x:c r="A1353" s="27" t="str">
        <x:v>E01349</x:v>
      </x:c>
      <x:c r="B1353" s="27" t="str">
        <x:v>S15-HLTH-01</x:v>
      </x:c>
      <x:c r="C1353" s="27" t="str">
        <x:v>Movement concepts and personal fitness response</x:v>
      </x:c>
      <x:c r="D1353" s="27" t="str">
        <x:v>UNLOCKS</x:v>
      </x:c>
      <x:c r="E1353" s="27" t="str">
        <x:v>S15-HLTH-01:NEXT</x:v>
      </x:c>
      <x:c r="F1353" s="27" t="str">
        <x:v>Movement analysis and self-monitoring support purposeful fitness planning.</x:v>
      </x:c>
      <x:c r="G1353" s="27" t="str">
        <x:v>S15</x:v>
      </x:c>
      <x:c r="H1353" s="27" t="str">
        <x:v>Physical &amp; Health</x:v>
      </x:c>
      <x:c r="I1353" s="27" t="str">
        <x:v>SRC14; SRC15</x:v>
      </x:c>
      <x:c r="J1353" s="27" t="str">
        <x:v>Outgoing use and placement rationale.</x:v>
      </x:c>
    </x:row>
    <x:row r="1354">
      <x:c r="A1354" s="27" t="str">
        <x:v>E01350</x:v>
      </x:c>
      <x:c r="B1354" s="27" t="str">
        <x:v>S15-HLTH-01</x:v>
      </x:c>
      <x:c r="C1354" s="27" t="str">
        <x:v>Movement concepts and personal fitness response</x:v>
      </x:c>
      <x:c r="D1354" s="27" t="str">
        <x:v>VERIFIED_BY</x:v>
      </x:c>
      <x:c r="E1354" s="27" t="str">
        <x:v>S15-HLTH-01:EVIDENCE</x:v>
      </x:c>
      <x:c r="F1354" s="27" t="str">
        <x:v>Adjusts a movement using a stated concept and records/explains a body response.</x:v>
      </x:c>
      <x:c r="G1354" s="27" t="str">
        <x:v>S15</x:v>
      </x:c>
      <x:c r="H1354" s="27" t="str">
        <x:v>Physical &amp; Health</x:v>
      </x:c>
      <x:c r="I1354" s="27" t="str">
        <x:v>SRC14; SRC15</x:v>
      </x:c>
      <x:c r="J1354" s="27" t="str">
        <x:v>Observable evidence of usable learning.</x:v>
      </x:c>
    </x:row>
    <x:row r="1355">
      <x:c r="A1355" s="27" t="str">
        <x:v>E01351</x:v>
      </x:c>
      <x:c r="B1355" s="27" t="str">
        <x:v>S14-COMP-02</x:v>
      </x:c>
      <x:c r="C1355" s="27" t="str">
        <x:v>Previous node in domain progression</x:v>
      </x:c>
      <x:c r="D1355" s="27" t="str">
        <x:v>DOMAIN_SEQUENCE</x:v>
      </x:c>
      <x:c r="E1355" s="27" t="str">
        <x:v>S15-COMP-01</x:v>
      </x:c>
      <x:c r="F1355" s="27" t="str">
        <x:v>Variables and modular problem parts</x:v>
      </x:c>
      <x:c r="G1355" s="27" t="str">
        <x:v>S15</x:v>
      </x:c>
      <x:c r="H1355" s="27" t="str">
        <x:v>Computing &amp; Media</x:v>
      </x:c>
      <x:c r="I1355" s="27" t="str">
        <x:v>SRC16</x:v>
      </x:c>
      <x:c r="J1355" s="27" t="str">
        <x:v>Ordered spiral link; consult explicit prerequisites for logical dependency.</x:v>
      </x:c>
    </x:row>
    <x:row r="1356">
      <x:c r="A1356" s="27" t="str">
        <x:v>E01352</x:v>
      </x:c>
      <x:c r="B1356" s="27" t="str">
        <x:v>S15-COMP-01:PREREQ</x:v>
      </x:c>
      <x:c r="C1356" s="27" t="str">
        <x:v>Grade 2 decomposition, data representation, and unknowns.</x:v>
      </x:c>
      <x:c r="D1356" s="27" t="str">
        <x:v>PREREQUISITE</x:v>
      </x:c>
      <x:c r="E1356" s="27" t="str">
        <x:v>S15-COMP-01</x:v>
      </x:c>
      <x:c r="F1356" s="27" t="str">
        <x:v>Variables and modular problem parts</x:v>
      </x:c>
      <x:c r="G1356" s="27" t="str">
        <x:v>S15</x:v>
      </x:c>
      <x:c r="H1356" s="27" t="str">
        <x:v>Computing &amp; Media</x:v>
      </x:c>
      <x:c r="I1356" s="27" t="str">
        <x:v>SRC16</x:v>
      </x:c>
      <x:c r="J1356" s="27" t="str">
        <x:v>Incoming prerequisite relationship.</x:v>
      </x:c>
    </x:row>
    <x:row r="1357">
      <x:c r="A1357" s="27" t="str">
        <x:v>E01353</x:v>
      </x:c>
      <x:c r="B1357" s="27" t="str">
        <x:v>S15-COMP-01:GROUND</x:v>
      </x:c>
      <x:c r="C1357" s="27" t="str">
        <x:v>G4/G5 — Concrete model linked to coordinated representations</x:v>
      </x:c>
      <x:c r="D1357" s="27" t="str">
        <x:v>GROUNDED_BY</x:v>
      </x:c>
      <x:c r="E1357" s="27" t="str">
        <x:v>S15-COMP-01</x:v>
      </x:c>
      <x:c r="F1357" s="27" t="str">
        <x:v>Variables and modular problem parts</x:v>
      </x:c>
      <x:c r="G1357" s="27" t="str">
        <x:v>S15</x:v>
      </x:c>
      <x:c r="H1357" s="27" t="str">
        <x:v>Computing &amp; Media</x:v>
      </x:c>
      <x:c r="I1357" s="27" t="str">
        <x:v>SRC16</x:v>
      </x:c>
      <x:c r="J1357" s="27" t="str">
        <x:v>Grounding form used to preserve meaning.</x:v>
      </x:c>
    </x:row>
    <x:row r="1358">
      <x:c r="A1358" s="27" t="str">
        <x:v>E01354</x:v>
      </x:c>
      <x:c r="B1358" s="27" t="str">
        <x:v>S15-COMP-01</x:v>
      </x:c>
      <x:c r="C1358" s="27" t="str">
        <x:v>Variables and modular problem parts</x:v>
      </x:c>
      <x:c r="D1358" s="27" t="str">
        <x:v>CONNECTS_TO</x:v>
      </x:c>
      <x:c r="E1358" s="27" t="str">
        <x:v>S15-COMP-01:CROSS</x:v>
      </x:c>
      <x:c r="F1358" s="27" t="str">
        <x:v>Mathematics/logic/data; language and media evidence; science/engineering models; art/design; civics, privacy, finance, and ethics.</x:v>
      </x:c>
      <x:c r="G1358" s="27" t="str">
        <x:v>S15</x:v>
      </x:c>
      <x:c r="H1358" s="27" t="str">
        <x:v>Computing &amp; Media</x:v>
      </x:c>
      <x:c r="I1358" s="27" t="str">
        <x:v>SRC16</x:v>
      </x:c>
      <x:c r="J1358" s="27" t="str">
        <x:v>Parallel subject and representation links.</x:v>
      </x:c>
    </x:row>
    <x:row r="1359">
      <x:c r="A1359" s="27" t="str">
        <x:v>E01355</x:v>
      </x:c>
      <x:c r="B1359" s="27" t="str">
        <x:v>S15-COMP-01</x:v>
      </x:c>
      <x:c r="C1359" s="27" t="str">
        <x:v>Variables and modular problem parts</x:v>
      </x:c>
      <x:c r="D1359" s="27" t="str">
        <x:v>UNLOCKS</x:v>
      </x:c>
      <x:c r="E1359" s="27" t="str">
        <x:v>S15-COMP-01:NEXT</x:v>
      </x:c>
      <x:c r="F1359" s="27" t="str">
        <x:v>Variables and modules allow programs to model state and scale in complexity.</x:v>
      </x:c>
      <x:c r="G1359" s="27" t="str">
        <x:v>S15</x:v>
      </x:c>
      <x:c r="H1359" s="27" t="str">
        <x:v>Computing &amp; Media</x:v>
      </x:c>
      <x:c r="I1359" s="27" t="str">
        <x:v>SRC16</x:v>
      </x:c>
      <x:c r="J1359" s="27" t="str">
        <x:v>Outgoing use and placement rationale.</x:v>
      </x:c>
    </x:row>
    <x:row r="1360">
      <x:c r="A1360" s="27" t="str">
        <x:v>E01356</x:v>
      </x:c>
      <x:c r="B1360" s="27" t="str">
        <x:v>S15-COMP-01</x:v>
      </x:c>
      <x:c r="C1360" s="27" t="str">
        <x:v>Variables and modular problem parts</x:v>
      </x:c>
      <x:c r="D1360" s="27" t="str">
        <x:v>VERIFIED_BY</x:v>
      </x:c>
      <x:c r="E1360" s="27" t="str">
        <x:v>S15-COMP-01:EVIDENCE</x:v>
      </x:c>
      <x:c r="F1360" s="27" t="str">
        <x:v>Creates a program whose output changes with a variable and explains each part’s role.</x:v>
      </x:c>
      <x:c r="G1360" s="27" t="str">
        <x:v>S15</x:v>
      </x:c>
      <x:c r="H1360" s="27" t="str">
        <x:v>Computing &amp; Media</x:v>
      </x:c>
      <x:c r="I1360" s="27" t="str">
        <x:v>SRC16</x:v>
      </x:c>
      <x:c r="J1360" s="27" t="str">
        <x:v>Observable evidence of usable learning.</x:v>
      </x:c>
    </x:row>
    <x:row r="1361">
      <x:c r="A1361" s="27" t="str">
        <x:v>E01357</x:v>
      </x:c>
      <x:c r="B1361" s="27" t="str">
        <x:v>S15-COMP-01</x:v>
      </x:c>
      <x:c r="C1361" s="27" t="str">
        <x:v>Previous node in domain progression</x:v>
      </x:c>
      <x:c r="D1361" s="27" t="str">
        <x:v>DOMAIN_SEQUENCE</x:v>
      </x:c>
      <x:c r="E1361" s="27" t="str">
        <x:v>S15-COMP-02</x:v>
      </x:c>
      <x:c r="F1361" s="27" t="str">
        <x:v>Search terms, relevance, and corroboration</x:v>
      </x:c>
      <x:c r="G1361" s="27" t="str">
        <x:v>S15</x:v>
      </x:c>
      <x:c r="H1361" s="27" t="str">
        <x:v>Computing &amp; Media</x:v>
      </x:c>
      <x:c r="I1361" s="27" t="str">
        <x:v>SRC16; SRC20</x:v>
      </x:c>
      <x:c r="J1361" s="27" t="str">
        <x:v>Ordered spiral link; consult explicit prerequisites for logical dependency.</x:v>
      </x:c>
    </x:row>
    <x:row r="1362">
      <x:c r="A1362" s="27" t="str">
        <x:v>E01358</x:v>
      </x:c>
      <x:c r="B1362" s="27" t="str">
        <x:v>S15-COMP-02:PREREQ</x:v>
      </x:c>
      <x:c r="C1362" s="27" t="str">
        <x:v>Source clues, research questions, and cross-text comparison.</x:v>
      </x:c>
      <x:c r="D1362" s="27" t="str">
        <x:v>PREREQUISITE</x:v>
      </x:c>
      <x:c r="E1362" s="27" t="str">
        <x:v>S15-COMP-02</x:v>
      </x:c>
      <x:c r="F1362" s="27" t="str">
        <x:v>Search terms, relevance, and corroboration</x:v>
      </x:c>
      <x:c r="G1362" s="27" t="str">
        <x:v>S15</x:v>
      </x:c>
      <x:c r="H1362" s="27" t="str">
        <x:v>Computing &amp; Media</x:v>
      </x:c>
      <x:c r="I1362" s="27" t="str">
        <x:v>SRC16; SRC20</x:v>
      </x:c>
      <x:c r="J1362" s="27" t="str">
        <x:v>Incoming prerequisite relationship.</x:v>
      </x:c>
    </x:row>
    <x:row r="1363">
      <x:c r="A1363" s="27" t="str">
        <x:v>E01359</x:v>
      </x:c>
      <x:c r="B1363" s="27" t="str">
        <x:v>S15-COMP-02:GROUND</x:v>
      </x:c>
      <x:c r="C1363" s="27" t="str">
        <x:v>G4/G5 — Concrete model linked to coordinated representations</x:v>
      </x:c>
      <x:c r="D1363" s="27" t="str">
        <x:v>GROUNDED_BY</x:v>
      </x:c>
      <x:c r="E1363" s="27" t="str">
        <x:v>S15-COMP-02</x:v>
      </x:c>
      <x:c r="F1363" s="27" t="str">
        <x:v>Search terms, relevance, and corroboration</x:v>
      </x:c>
      <x:c r="G1363" s="27" t="str">
        <x:v>S15</x:v>
      </x:c>
      <x:c r="H1363" s="27" t="str">
        <x:v>Computing &amp; Media</x:v>
      </x:c>
      <x:c r="I1363" s="27" t="str">
        <x:v>SRC16; SRC20</x:v>
      </x:c>
      <x:c r="J1363" s="27" t="str">
        <x:v>Grounding form used to preserve meaning.</x:v>
      </x:c>
    </x:row>
    <x:row r="1364">
      <x:c r="A1364" s="27" t="str">
        <x:v>E01360</x:v>
      </x:c>
      <x:c r="B1364" s="27" t="str">
        <x:v>S15-COMP-02</x:v>
      </x:c>
      <x:c r="C1364" s="27" t="str">
        <x:v>Search terms, relevance, and corroboration</x:v>
      </x:c>
      <x:c r="D1364" s="27" t="str">
        <x:v>CONNECTS_TO</x:v>
      </x:c>
      <x:c r="E1364" s="27" t="str">
        <x:v>S15-COMP-02:CROSS</x:v>
      </x:c>
      <x:c r="F1364" s="27" t="str">
        <x:v>Mathematics/logic/data; language and media evidence; science/engineering models; art/design; civics, privacy, finance, and ethics.</x:v>
      </x:c>
      <x:c r="G1364" s="27" t="str">
        <x:v>S15</x:v>
      </x:c>
      <x:c r="H1364" s="27" t="str">
        <x:v>Computing &amp; Media</x:v>
      </x:c>
      <x:c r="I1364" s="27" t="str">
        <x:v>SRC16; SRC20</x:v>
      </x:c>
      <x:c r="J1364" s="27" t="str">
        <x:v>Parallel subject and representation links.</x:v>
      </x:c>
    </x:row>
    <x:row r="1365">
      <x:c r="A1365" s="27" t="str">
        <x:v>E01361</x:v>
      </x:c>
      <x:c r="B1365" s="27" t="str">
        <x:v>S15-COMP-02</x:v>
      </x:c>
      <x:c r="C1365" s="27" t="str">
        <x:v>Search terms, relevance, and corroboration</x:v>
      </x:c>
      <x:c r="D1365" s="27" t="str">
        <x:v>UNLOCKS</x:v>
      </x:c>
      <x:c r="E1365" s="27" t="str">
        <x:v>S15-COMP-02:NEXT</x:v>
      </x:c>
      <x:c r="F1365" s="27" t="str">
        <x:v>Search and corroboration establish a repeatable evidence-gathering process.</x:v>
      </x:c>
      <x:c r="G1365" s="27" t="str">
        <x:v>S15</x:v>
      </x:c>
      <x:c r="H1365" s="27" t="str">
        <x:v>Computing &amp; Media</x:v>
      </x:c>
      <x:c r="I1365" s="27" t="str">
        <x:v>SRC16; SRC20</x:v>
      </x:c>
      <x:c r="J1365" s="27" t="str">
        <x:v>Outgoing use and placement rationale.</x:v>
      </x:c>
    </x:row>
    <x:row r="1366">
      <x:c r="A1366" s="27" t="str">
        <x:v>E01362</x:v>
      </x:c>
      <x:c r="B1366" s="27" t="str">
        <x:v>S15-COMP-02</x:v>
      </x:c>
      <x:c r="C1366" s="27" t="str">
        <x:v>Search terms, relevance, and corroboration</x:v>
      </x:c>
      <x:c r="D1366" s="27" t="str">
        <x:v>VERIFIED_BY</x:v>
      </x:c>
      <x:c r="E1366" s="27" t="str">
        <x:v>S15-COMP-02:EVIDENCE</x:v>
      </x:c>
      <x:c r="F1366" s="27" t="str">
        <x:v>Finds a relevant source, records the query, and confirms a claim using a second source.</x:v>
      </x:c>
      <x:c r="G1366" s="27" t="str">
        <x:v>S15</x:v>
      </x:c>
      <x:c r="H1366" s="27" t="str">
        <x:v>Computing &amp; Media</x:v>
      </x:c>
      <x:c r="I1366" s="27" t="str">
        <x:v>SRC16; SRC20</x:v>
      </x:c>
      <x:c r="J1366" s="27" t="str">
        <x:v>Observable evidence of usable learning.</x:v>
      </x:c>
    </x:row>
    <x:row r="1367">
      <x:c r="A1367" s="27" t="str">
        <x:v>E01363</x:v>
      </x:c>
      <x:c r="B1367" s="27" t="str">
        <x:v>S14-LIFE-01</x:v>
      </x:c>
      <x:c r="C1367" s="27" t="str">
        <x:v>Previous node in domain progression</x:v>
      </x:c>
      <x:c r="D1367" s="27" t="str">
        <x:v>DOMAIN_SEQUENCE</x:v>
      </x:c>
      <x:c r="E1367" s="27" t="str">
        <x:v>S15-LIFE-01</x:v>
      </x:c>
      <x:c r="F1367" s="27" t="str">
        <x:v>Income, price comparison, and saving goals</x:v>
      </x:c>
      <x:c r="G1367" s="27" t="str">
        <x:v>S15</x:v>
      </x:c>
      <x:c r="H1367" s="27" t="str">
        <x:v>Life, Finance &amp; Career</x:v>
      </x:c>
      <x:c r="I1367" s="27" t="str">
        <x:v>SRC19</x:v>
      </x:c>
      <x:c r="J1367" s="27" t="str">
        <x:v>Ordered spiral link; consult explicit prerequisites for logical dependency.</x:v>
      </x:c>
    </x:row>
    <x:row r="1368">
      <x:c r="A1368" s="27" t="str">
        <x:v>E01364</x:v>
      </x:c>
      <x:c r="B1368" s="27" t="str">
        <x:v>S15-LIFE-01:PREREQ</x:v>
      </x:c>
      <x:c r="C1368" s="27" t="str">
        <x:v>Grade 2 budget, multiplication/division, and data comparison.</x:v>
      </x:c>
      <x:c r="D1368" s="27" t="str">
        <x:v>PREREQUISITE</x:v>
      </x:c>
      <x:c r="E1368" s="27" t="str">
        <x:v>S15-LIFE-01</x:v>
      </x:c>
      <x:c r="F1368" s="27" t="str">
        <x:v>Income, price comparison, and saving goals</x:v>
      </x:c>
      <x:c r="G1368" s="27" t="str">
        <x:v>S15</x:v>
      </x:c>
      <x:c r="H1368" s="27" t="str">
        <x:v>Life, Finance &amp; Career</x:v>
      </x:c>
      <x:c r="I1368" s="27" t="str">
        <x:v>SRC19</x:v>
      </x:c>
      <x:c r="J1368" s="27" t="str">
        <x:v>Incoming prerequisite relationship.</x:v>
      </x:c>
    </x:row>
    <x:row r="1369">
      <x:c r="A1369" s="27" t="str">
        <x:v>E01365</x:v>
      </x:c>
      <x:c r="B1369" s="27" t="str">
        <x:v>S15-LIFE-01:GROUND</x:v>
      </x:c>
      <x:c r="C1369" s="27" t="str">
        <x:v>G4/G5 — Concrete model linked to coordinated representations</x:v>
      </x:c>
      <x:c r="D1369" s="27" t="str">
        <x:v>GROUNDED_BY</x:v>
      </x:c>
      <x:c r="E1369" s="27" t="str">
        <x:v>S15-LIFE-01</x:v>
      </x:c>
      <x:c r="F1369" s="27" t="str">
        <x:v>Income, price comparison, and saving goals</x:v>
      </x:c>
      <x:c r="G1369" s="27" t="str">
        <x:v>S15</x:v>
      </x:c>
      <x:c r="H1369" s="27" t="str">
        <x:v>Life, Finance &amp; Career</x:v>
      </x:c>
      <x:c r="I1369" s="27" t="str">
        <x:v>SRC19</x:v>
      </x:c>
      <x:c r="J1369" s="27" t="str">
        <x:v>Grounding form used to preserve meaning.</x:v>
      </x:c>
    </x:row>
    <x:row r="1370">
      <x:c r="A1370" s="27" t="str">
        <x:v>E01366</x:v>
      </x:c>
      <x:c r="B1370" s="27" t="str">
        <x:v>S15-LIFE-01</x:v>
      </x:c>
      <x:c r="C1370" s="27" t="str">
        <x:v>Income, price comparison, and saving goals</x:v>
      </x:c>
      <x:c r="D1370" s="27" t="str">
        <x:v>CONNECTS_TO</x:v>
      </x:c>
      <x:c r="E1370" s="27" t="str">
        <x:v>S15-LIFE-01:CROSS</x:v>
      </x:c>
      <x:c r="F1370" s="27" t="str">
        <x:v>Mathematics/percent/growth; economics/civics; reading contracts/sources; computing/privacy; SEL, planning, and risk decisions.</x:v>
      </x:c>
      <x:c r="G1370" s="27" t="str">
        <x:v>S15</x:v>
      </x:c>
      <x:c r="H1370" s="27" t="str">
        <x:v>Life, Finance &amp; Career</x:v>
      </x:c>
      <x:c r="I1370" s="27" t="str">
        <x:v>SRC19</x:v>
      </x:c>
      <x:c r="J1370" s="27" t="str">
        <x:v>Parallel subject and representation links.</x:v>
      </x:c>
    </x:row>
    <x:row r="1371">
      <x:c r="A1371" s="27" t="str">
        <x:v>E01367</x:v>
      </x:c>
      <x:c r="B1371" s="27" t="str">
        <x:v>S15-LIFE-01</x:v>
      </x:c>
      <x:c r="C1371" s="27" t="str">
        <x:v>Income, price comparison, and saving goals</x:v>
      </x:c>
      <x:c r="D1371" s="27" t="str">
        <x:v>UNLOCKS</x:v>
      </x:c>
      <x:c r="E1371" s="27" t="str">
        <x:v>S15-LIFE-01:NEXT</x:v>
      </x:c>
      <x:c r="F1371" s="27" t="str">
        <x:v>Quantified choices connect arithmetic to financial planning.</x:v>
      </x:c>
      <x:c r="G1371" s="27" t="str">
        <x:v>S15</x:v>
      </x:c>
      <x:c r="H1371" s="27" t="str">
        <x:v>Life, Finance &amp; Career</x:v>
      </x:c>
      <x:c r="I1371" s="27" t="str">
        <x:v>SRC19</x:v>
      </x:c>
      <x:c r="J1371" s="27" t="str">
        <x:v>Outgoing use and placement rationale.</x:v>
      </x:c>
    </x:row>
    <x:row r="1372">
      <x:c r="A1372" s="27" t="str">
        <x:v>E01368</x:v>
      </x:c>
      <x:c r="B1372" s="27" t="str">
        <x:v>S15-LIFE-01</x:v>
      </x:c>
      <x:c r="C1372" s="27" t="str">
        <x:v>Income, price comparison, and saving goals</x:v>
      </x:c>
      <x:c r="D1372" s="27" t="str">
        <x:v>VERIFIED_BY</x:v>
      </x:c>
      <x:c r="E1372" s="27" t="str">
        <x:v>S15-LIFE-01:EVIDENCE</x:v>
      </x:c>
      <x:c r="F1372" s="27" t="str">
        <x:v>Creates a saving plan and defends a purchase choice using price and goal evidence.</x:v>
      </x:c>
      <x:c r="G1372" s="27" t="str">
        <x:v>S15</x:v>
      </x:c>
      <x:c r="H1372" s="27" t="str">
        <x:v>Life, Finance &amp; Career</x:v>
      </x:c>
      <x:c r="I1372" s="27" t="str">
        <x:v>SRC19</x:v>
      </x:c>
      <x:c r="J1372" s="27" t="str">
        <x:v>Observable evidence of usable learning.</x:v>
      </x:c>
    </x:row>
    <x:row r="1373">
      <x:c r="A1373" s="27" t="str">
        <x:v>E01369</x:v>
      </x:c>
      <x:c r="B1373" s="27" t="str">
        <x:v>S15-LEARN-01</x:v>
      </x:c>
      <x:c r="C1373" s="27" t="str">
        <x:v>Previous node in domain progression</x:v>
      </x:c>
      <x:c r="D1373" s="27" t="str">
        <x:v>DOMAIN_SEQUENCE</x:v>
      </x:c>
      <x:c r="E1373" s="27" t="str">
        <x:v>S16-LEARN-01</x:v>
      </x:c>
      <x:c r="F1373" s="27" t="str">
        <x:v>Error classification and correction</x:v>
      </x:c>
      <x:c r="G1373" s="27" t="str">
        <x:v>S16</x:v>
      </x:c>
      <x:c r="H1373" s="27" t="str">
        <x:v>Learning Foundations</x:v>
      </x:c>
      <x:c r="I1373" s="27" t="str">
        <x:v>SRC05; SRC23</x:v>
      </x:c>
      <x:c r="J1373" s="27" t="str">
        <x:v>Ordered spiral link; consult explicit prerequisites for logical dependency.</x:v>
      </x:c>
    </x:row>
    <x:row r="1374">
      <x:c r="A1374" s="27" t="str">
        <x:v>E01370</x:v>
      </x:c>
      <x:c r="B1374" s="27" t="str">
        <x:v>S16-LEARN-01:PREREQ</x:v>
      </x:c>
      <x:c r="C1374" s="27" t="str">
        <x:v>Strategy selection and worked-example comparison.</x:v>
      </x:c>
      <x:c r="D1374" s="27" t="str">
        <x:v>PREREQUISITE</x:v>
      </x:c>
      <x:c r="E1374" s="27" t="str">
        <x:v>S16-LEARN-01</x:v>
      </x:c>
      <x:c r="F1374" s="27" t="str">
        <x:v>Error classification and correction</x:v>
      </x:c>
      <x:c r="G1374" s="27" t="str">
        <x:v>S16</x:v>
      </x:c>
      <x:c r="H1374" s="27" t="str">
        <x:v>Learning Foundations</x:v>
      </x:c>
      <x:c r="I1374" s="27" t="str">
        <x:v>SRC05; SRC23</x:v>
      </x:c>
      <x:c r="J1374" s="27" t="str">
        <x:v>Incoming prerequisite relationship.</x:v>
      </x:c>
    </x:row>
    <x:row r="1375">
      <x:c r="A1375" s="27" t="str">
        <x:v>E01371</x:v>
      </x:c>
      <x:c r="B1375" s="27" t="str">
        <x:v>S16-LEARN-01:GROUND</x:v>
      </x:c>
      <x:c r="C1375" s="27" t="str">
        <x:v>G4/G5 — Concrete model linked to coordinated representations</x:v>
      </x:c>
      <x:c r="D1375" s="27" t="str">
        <x:v>GROUNDED_BY</x:v>
      </x:c>
      <x:c r="E1375" s="27" t="str">
        <x:v>S16-LEARN-01</x:v>
      </x:c>
      <x:c r="F1375" s="27" t="str">
        <x:v>Error classification and correction</x:v>
      </x:c>
      <x:c r="G1375" s="27" t="str">
        <x:v>S16</x:v>
      </x:c>
      <x:c r="H1375" s="27" t="str">
        <x:v>Learning Foundations</x:v>
      </x:c>
      <x:c r="I1375" s="27" t="str">
        <x:v>SRC05; SRC23</x:v>
      </x:c>
      <x:c r="J1375" s="27" t="str">
        <x:v>Grounding form used to preserve meaning.</x:v>
      </x:c>
    </x:row>
    <x:row r="1376">
      <x:c r="A1376" s="27" t="str">
        <x:v>E01372</x:v>
      </x:c>
      <x:c r="B1376" s="27" t="str">
        <x:v>S16-LEARN-01</x:v>
      </x:c>
      <x:c r="C1376" s="27" t="str">
        <x:v>Error classification and correction</x:v>
      </x:c>
      <x:c r="D1376" s="27" t="str">
        <x:v>CONNECTS_TO</x:v>
      </x:c>
      <x:c r="E1376" s="27" t="str">
        <x:v>S16-LEARN-01:CROSS</x:v>
      </x:c>
      <x:c r="F1376" s="27" t="str">
        <x:v>All domains: attention, memory, strategy choice, monitoring, retrieval, and transfer.</x:v>
      </x:c>
      <x:c r="G1376" s="27" t="str">
        <x:v>S16</x:v>
      </x:c>
      <x:c r="H1376" s="27" t="str">
        <x:v>Learning Foundations</x:v>
      </x:c>
      <x:c r="I1376" s="27" t="str">
        <x:v>SRC05; SRC23</x:v>
      </x:c>
      <x:c r="J1376" s="27" t="str">
        <x:v>Parallel subject and representation links.</x:v>
      </x:c>
    </x:row>
    <x:row r="1377">
      <x:c r="A1377" s="27" t="str">
        <x:v>E01373</x:v>
      </x:c>
      <x:c r="B1377" s="27" t="str">
        <x:v>S16-LEARN-01</x:v>
      </x:c>
      <x:c r="C1377" s="27" t="str">
        <x:v>Error classification and correction</x:v>
      </x:c>
      <x:c r="D1377" s="27" t="str">
        <x:v>UNLOCKS</x:v>
      </x:c>
      <x:c r="E1377" s="27" t="str">
        <x:v>S16-LEARN-01:NEXT</x:v>
      </x:c>
      <x:c r="F1377" s="27" t="str">
        <x:v>Diagnosing the error type produces durable improvement beyond fixing one answer.</x:v>
      </x:c>
      <x:c r="G1377" s="27" t="str">
        <x:v>S16</x:v>
      </x:c>
      <x:c r="H1377" s="27" t="str">
        <x:v>Learning Foundations</x:v>
      </x:c>
      <x:c r="I1377" s="27" t="str">
        <x:v>SRC05; SRC23</x:v>
      </x:c>
      <x:c r="J1377" s="27" t="str">
        <x:v>Outgoing use and placement rationale.</x:v>
      </x:c>
    </x:row>
    <x:row r="1378">
      <x:c r="A1378" s="27" t="str">
        <x:v>E01374</x:v>
      </x:c>
      <x:c r="B1378" s="27" t="str">
        <x:v>S16-LEARN-01</x:v>
      </x:c>
      <x:c r="C1378" s="27" t="str">
        <x:v>Error classification and correction</x:v>
      </x:c>
      <x:c r="D1378" s="27" t="str">
        <x:v>VERIFIED_BY</x:v>
      </x:c>
      <x:c r="E1378" s="27" t="str">
        <x:v>S16-LEARN-01:EVIDENCE</x:v>
      </x:c>
      <x:c r="F1378" s="27" t="str">
        <x:v>Labels an error source, corrects it, and states a prevention/check strategy.</x:v>
      </x:c>
      <x:c r="G1378" s="27" t="str">
        <x:v>S16</x:v>
      </x:c>
      <x:c r="H1378" s="27" t="str">
        <x:v>Learning Foundations</x:v>
      </x:c>
      <x:c r="I1378" s="27" t="str">
        <x:v>SRC05; SRC23</x:v>
      </x:c>
      <x:c r="J1378" s="27" t="str">
        <x:v>Observable evidence of usable learning.</x:v>
      </x:c>
    </x:row>
    <x:row r="1379">
      <x:c r="A1379" s="27" t="str">
        <x:v>E01375</x:v>
      </x:c>
      <x:c r="B1379" s="27" t="str">
        <x:v>S15-SEL-01</x:v>
      </x:c>
      <x:c r="C1379" s="27" t="str">
        <x:v>Previous node in domain progression</x:v>
      </x:c>
      <x:c r="D1379" s="27" t="str">
        <x:v>DOMAIN_SEQUENCE</x:v>
      </x:c>
      <x:c r="E1379" s="27" t="str">
        <x:v>S16-SEL-01</x:v>
      </x:c>
      <x:c r="F1379" s="27" t="str">
        <x:v>Perspective, disagreement, and consensus</x:v>
      </x:c>
      <x:c r="G1379" s="27" t="str">
        <x:v>S16</x:v>
      </x:c>
      <x:c r="H1379" s="27" t="str">
        <x:v>Social-Emotional</x:v>
      </x:c>
      <x:c r="I1379" s="27" t="str">
        <x:v>SRC18</x:v>
      </x:c>
      <x:c r="J1379" s="27" t="str">
        <x:v>Ordered spiral link; consult explicit prerequisites for logical dependency.</x:v>
      </x:c>
    </x:row>
    <x:row r="1380">
      <x:c r="A1380" s="27" t="str">
        <x:v>E01376</x:v>
      </x:c>
      <x:c r="B1380" s="27" t="str">
        <x:v>S16-SEL-01:PREREQ</x:v>
      </x:c>
      <x:c r="C1380" s="27" t="str">
        <x:v>Shared-goal feedback, consequences, and evidence paragraphs.</x:v>
      </x:c>
      <x:c r="D1380" s="27" t="str">
        <x:v>PREREQUISITE</x:v>
      </x:c>
      <x:c r="E1380" s="27" t="str">
        <x:v>S16-SEL-01</x:v>
      </x:c>
      <x:c r="F1380" s="27" t="str">
        <x:v>Perspective, disagreement, and consensus</x:v>
      </x:c>
      <x:c r="G1380" s="27" t="str">
        <x:v>S16</x:v>
      </x:c>
      <x:c r="H1380" s="27" t="str">
        <x:v>Social-Emotional</x:v>
      </x:c>
      <x:c r="I1380" s="27" t="str">
        <x:v>SRC18</x:v>
      </x:c>
      <x:c r="J1380" s="27" t="str">
        <x:v>Incoming prerequisite relationship.</x:v>
      </x:c>
    </x:row>
    <x:row r="1381">
      <x:c r="A1381" s="27" t="str">
        <x:v>E01377</x:v>
      </x:c>
      <x:c r="B1381" s="27" t="str">
        <x:v>S16-SEL-01:GROUND</x:v>
      </x:c>
      <x:c r="C1381" s="27" t="str">
        <x:v>G4/G5 — Concrete model linked to coordinated representations</x:v>
      </x:c>
      <x:c r="D1381" s="27" t="str">
        <x:v>GROUNDED_BY</x:v>
      </x:c>
      <x:c r="E1381" s="27" t="str">
        <x:v>S16-SEL-01</x:v>
      </x:c>
      <x:c r="F1381" s="27" t="str">
        <x:v>Perspective, disagreement, and consensus</x:v>
      </x:c>
      <x:c r="G1381" s="27" t="str">
        <x:v>S16</x:v>
      </x:c>
      <x:c r="H1381" s="27" t="str">
        <x:v>Social-Emotional</x:v>
      </x:c>
      <x:c r="I1381" s="27" t="str">
        <x:v>SRC18</x:v>
      </x:c>
      <x:c r="J1381" s="27" t="str">
        <x:v>Grounding form used to preserve meaning.</x:v>
      </x:c>
    </x:row>
    <x:row r="1382">
      <x:c r="A1382" s="27" t="str">
        <x:v>E01378</x:v>
      </x:c>
      <x:c r="B1382" s="27" t="str">
        <x:v>S16-SEL-01</x:v>
      </x:c>
      <x:c r="C1382" s="27" t="str">
        <x:v>Perspective, disagreement, and consensus</x:v>
      </x:c>
      <x:c r="D1382" s="27" t="str">
        <x:v>CONNECTS_TO</x:v>
      </x:c>
      <x:c r="E1382" s="27" t="str">
        <x:v>S16-SEL-01:CROSS</x:v>
      </x:c>
      <x:c r="F1382" s="27" t="str">
        <x:v>Language and communication; health; collaboration in science, arts, civics, and projects; responsible digital/financial decisions.</x:v>
      </x:c>
      <x:c r="G1382" s="27" t="str">
        <x:v>S16</x:v>
      </x:c>
      <x:c r="H1382" s="27" t="str">
        <x:v>Social-Emotional</x:v>
      </x:c>
      <x:c r="I1382" s="27" t="str">
        <x:v>SRC18</x:v>
      </x:c>
      <x:c r="J1382" s="27" t="str">
        <x:v>Parallel subject and representation links.</x:v>
      </x:c>
    </x:row>
    <x:row r="1383">
      <x:c r="A1383" s="27" t="str">
        <x:v>E01379</x:v>
      </x:c>
      <x:c r="B1383" s="27" t="str">
        <x:v>S16-SEL-01</x:v>
      </x:c>
      <x:c r="C1383" s="27" t="str">
        <x:v>Perspective, disagreement, and consensus</x:v>
      </x:c>
      <x:c r="D1383" s="27" t="str">
        <x:v>UNLOCKS</x:v>
      </x:c>
      <x:c r="E1383" s="27" t="str">
        <x:v>S16-SEL-01:NEXT</x:v>
      </x:c>
      <x:c r="F1383" s="27" t="str">
        <x:v>Evidence-based disagreement supports inquiry, civics, and collaborative design.</x:v>
      </x:c>
      <x:c r="G1383" s="27" t="str">
        <x:v>S16</x:v>
      </x:c>
      <x:c r="H1383" s="27" t="str">
        <x:v>Social-Emotional</x:v>
      </x:c>
      <x:c r="I1383" s="27" t="str">
        <x:v>SRC18</x:v>
      </x:c>
      <x:c r="J1383" s="27" t="str">
        <x:v>Outgoing use and placement rationale.</x:v>
      </x:c>
    </x:row>
    <x:row r="1384">
      <x:c r="A1384" s="27" t="str">
        <x:v>E01380</x:v>
      </x:c>
      <x:c r="B1384" s="27" t="str">
        <x:v>S16-SEL-01</x:v>
      </x:c>
      <x:c r="C1384" s="27" t="str">
        <x:v>Perspective, disagreement, and consensus</x:v>
      </x:c>
      <x:c r="D1384" s="27" t="str">
        <x:v>VERIFIED_BY</x:v>
      </x:c>
      <x:c r="E1384" s="27" t="str">
        <x:v>S16-SEL-01:EVIDENCE</x:v>
      </x:c>
      <x:c r="F1384" s="27" t="str">
        <x:v>Restates a peer’s position fairly and contributes to a reasoned group decision.</x:v>
      </x:c>
      <x:c r="G1384" s="27" t="str">
        <x:v>S16</x:v>
      </x:c>
      <x:c r="H1384" s="27" t="str">
        <x:v>Social-Emotional</x:v>
      </x:c>
      <x:c r="I1384" s="27" t="str">
        <x:v>SRC18</x:v>
      </x:c>
      <x:c r="J1384" s="27" t="str">
        <x:v>Observable evidence of usable learning.</x:v>
      </x:c>
    </x:row>
    <x:row r="1385">
      <x:c r="A1385" s="27" t="str">
        <x:v>E01381</x:v>
      </x:c>
      <x:c r="B1385" s="27" t="str">
        <x:v>S15-READ-05</x:v>
      </x:c>
      <x:c r="C1385" s="27" t="str">
        <x:v>Previous node in domain progression</x:v>
      </x:c>
      <x:c r="D1385" s="27" t="str">
        <x:v>DOMAIN_SEQUENCE</x:v>
      </x:c>
      <x:c r="E1385" s="27" t="str">
        <x:v>S16-READ-01</x:v>
      </x:c>
      <x:c r="F1385" s="27" t="str">
        <x:v>Greek/Latin roots and morphological families</x:v>
      </x:c>
      <x:c r="G1385" s="27" t="str">
        <x:v>S16</x:v>
      </x:c>
      <x:c r="H1385" s="27" t="str">
        <x:v>Reading</x:v>
      </x:c>
      <x:c r="I1385" s="27" t="str">
        <x:v>SRC10</x:v>
      </x:c>
      <x:c r="J1385" s="27" t="str">
        <x:v>Ordered spiral link; consult explicit prerequisites for logical dependency.</x:v>
      </x:c>
    </x:row>
    <x:row r="1386">
      <x:c r="A1386" s="27" t="str">
        <x:v>E01382</x:v>
      </x:c>
      <x:c r="B1386" s="27" t="str">
        <x:v>S16-READ-01:PREREQ</x:v>
      </x:c>
      <x:c r="C1386" s="27" t="str">
        <x:v>Grade 3 derivational morphology and multisyllable decoding.</x:v>
      </x:c>
      <x:c r="D1386" s="27" t="str">
        <x:v>PREREQUISITE</x:v>
      </x:c>
      <x:c r="E1386" s="27" t="str">
        <x:v>S16-READ-01</x:v>
      </x:c>
      <x:c r="F1386" s="27" t="str">
        <x:v>Greek/Latin roots and morphological families</x:v>
      </x:c>
      <x:c r="G1386" s="27" t="str">
        <x:v>S16</x:v>
      </x:c>
      <x:c r="H1386" s="27" t="str">
        <x:v>Reading</x:v>
      </x:c>
      <x:c r="I1386" s="27" t="str">
        <x:v>SRC10</x:v>
      </x:c>
      <x:c r="J1386" s="27" t="str">
        <x:v>Incoming prerequisite relationship.</x:v>
      </x:c>
    </x:row>
    <x:row r="1387">
      <x:c r="A1387" s="27" t="str">
        <x:v>E01383</x:v>
      </x:c>
      <x:c r="B1387" s="27" t="str">
        <x:v>S16-READ-01:GROUND</x:v>
      </x:c>
      <x:c r="C1387" s="27" t="str">
        <x:v>G4/G5 — Concrete model linked to coordinated representations</x:v>
      </x:c>
      <x:c r="D1387" s="27" t="str">
        <x:v>GROUNDED_BY</x:v>
      </x:c>
      <x:c r="E1387" s="27" t="str">
        <x:v>S16-READ-01</x:v>
      </x:c>
      <x:c r="F1387" s="27" t="str">
        <x:v>Greek/Latin roots and morphological families</x:v>
      </x:c>
      <x:c r="G1387" s="27" t="str">
        <x:v>S16</x:v>
      </x:c>
      <x:c r="H1387" s="27" t="str">
        <x:v>Reading</x:v>
      </x:c>
      <x:c r="I1387" s="27" t="str">
        <x:v>SRC10</x:v>
      </x:c>
      <x:c r="J1387" s="27" t="str">
        <x:v>Grounding form used to preserve meaning.</x:v>
      </x:c>
    </x:row>
    <x:row r="1388">
      <x:c r="A1388" s="27" t="str">
        <x:v>E01384</x:v>
      </x:c>
      <x:c r="B1388" s="27" t="str">
        <x:v>S16-READ-01</x:v>
      </x:c>
      <x:c r="C1388" s="27" t="str">
        <x:v>Greek/Latin roots and morphological families</x:v>
      </x:c>
      <x:c r="D1388" s="27" t="str">
        <x:v>CONNECTS_TO</x:v>
      </x:c>
      <x:c r="E1388" s="27" t="str">
        <x:v>S16-READ-01:CROSS</x:v>
      </x:c>
      <x:c r="F1388" s="27" t="str">
        <x:v>Oral language and writing; evidence in science/social studies; mathematical and technical problem interpretation; media verification.</x:v>
      </x:c>
      <x:c r="G1388" s="27" t="str">
        <x:v>S16</x:v>
      </x:c>
      <x:c r="H1388" s="27" t="str">
        <x:v>Reading</x:v>
      </x:c>
      <x:c r="I1388" s="27" t="str">
        <x:v>SRC10</x:v>
      </x:c>
      <x:c r="J1388" s="27" t="str">
        <x:v>Parallel subject and representation links.</x:v>
      </x:c>
    </x:row>
    <x:row r="1389">
      <x:c r="A1389" s="27" t="str">
        <x:v>E01385</x:v>
      </x:c>
      <x:c r="B1389" s="27" t="str">
        <x:v>S16-READ-01</x:v>
      </x:c>
      <x:c r="C1389" s="27" t="str">
        <x:v>Greek/Latin roots and morphological families</x:v>
      </x:c>
      <x:c r="D1389" s="27" t="str">
        <x:v>UNLOCKS</x:v>
      </x:c>
      <x:c r="E1389" s="27" t="str">
        <x:v>S16-READ-01:NEXT</x:v>
      </x:c>
      <x:c r="F1389" s="27" t="str">
        <x:v>Morphological families accelerate vocabulary growth and reveal conceptual connections.</x:v>
      </x:c>
      <x:c r="G1389" s="27" t="str">
        <x:v>S16</x:v>
      </x:c>
      <x:c r="H1389" s="27" t="str">
        <x:v>Reading</x:v>
      </x:c>
      <x:c r="I1389" s="27" t="str">
        <x:v>SRC10</x:v>
      </x:c>
      <x:c r="J1389" s="27" t="str">
        <x:v>Outgoing use and placement rationale.</x:v>
      </x:c>
    </x:row>
    <x:row r="1390">
      <x:c r="A1390" s="27" t="str">
        <x:v>E01386</x:v>
      </x:c>
      <x:c r="B1390" s="27" t="str">
        <x:v>S16-READ-01</x:v>
      </x:c>
      <x:c r="C1390" s="27" t="str">
        <x:v>Greek/Latin roots and morphological families</x:v>
      </x:c>
      <x:c r="D1390" s="27" t="str">
        <x:v>VERIFIED_BY</x:v>
      </x:c>
      <x:c r="E1390" s="27" t="str">
        <x:v>S16-READ-01:EVIDENCE</x:v>
      </x:c>
      <x:c r="F1390" s="27" t="str">
        <x:v>Explains how a root/affix contributes to meaning across two or more related words.</x:v>
      </x:c>
      <x:c r="G1390" s="27" t="str">
        <x:v>S16</x:v>
      </x:c>
      <x:c r="H1390" s="27" t="str">
        <x:v>Reading</x:v>
      </x:c>
      <x:c r="I1390" s="27" t="str">
        <x:v>SRC10</x:v>
      </x:c>
      <x:c r="J1390" s="27" t="str">
        <x:v>Observable evidence of usable learning.</x:v>
      </x:c>
    </x:row>
    <x:row r="1391">
      <x:c r="A1391" s="27" t="str">
        <x:v>E01387</x:v>
      </x:c>
      <x:c r="B1391" s="27" t="str">
        <x:v>S16-READ-01</x:v>
      </x:c>
      <x:c r="C1391" s="27" t="str">
        <x:v>Previous node in domain progression</x:v>
      </x:c>
      <x:c r="D1391" s="27" t="str">
        <x:v>DOMAIN_SEQUENCE</x:v>
      </x:c>
      <x:c r="E1391" s="27" t="str">
        <x:v>S16-READ-02</x:v>
      </x:c>
      <x:c r="F1391" s="27" t="str">
        <x:v>Theme, evidence, structure, and comparison</x:v>
      </x:c>
      <x:c r="G1391" s="27" t="str">
        <x:v>S16</x:v>
      </x:c>
      <x:c r="H1391" s="27" t="str">
        <x:v>Reading</x:v>
      </x:c>
      <x:c r="I1391" s="27" t="str">
        <x:v>SRC10</x:v>
      </x:c>
      <x:c r="J1391" s="27" t="str">
        <x:v>Ordered spiral link; consult explicit prerequisites for logical dependency.</x:v>
      </x:c>
    </x:row>
    <x:row r="1392">
      <x:c r="A1392" s="27" t="str">
        <x:v>E01388</x:v>
      </x:c>
      <x:c r="B1392" s="27" t="str">
        <x:v>S16-READ-02:PREREQ</x:v>
      </x:c>
      <x:c r="C1392" s="27" t="str">
        <x:v>Grade 3 theme/perspective and source integration.</x:v>
      </x:c>
      <x:c r="D1392" s="27" t="str">
        <x:v>PREREQUISITE</x:v>
      </x:c>
      <x:c r="E1392" s="27" t="str">
        <x:v>S16-READ-02</x:v>
      </x:c>
      <x:c r="F1392" s="27" t="str">
        <x:v>Theme, evidence, structure, and comparison</x:v>
      </x:c>
      <x:c r="G1392" s="27" t="str">
        <x:v>S16</x:v>
      </x:c>
      <x:c r="H1392" s="27" t="str">
        <x:v>Reading</x:v>
      </x:c>
      <x:c r="I1392" s="27" t="str">
        <x:v>SRC10</x:v>
      </x:c>
      <x:c r="J1392" s="27" t="str">
        <x:v>Incoming prerequisite relationship.</x:v>
      </x:c>
    </x:row>
    <x:row r="1393">
      <x:c r="A1393" s="27" t="str">
        <x:v>E01389</x:v>
      </x:c>
      <x:c r="B1393" s="27" t="str">
        <x:v>S16-READ-02:GROUND</x:v>
      </x:c>
      <x:c r="C1393" s="27" t="str">
        <x:v>G4/G5 — Concrete model linked to coordinated representations</x:v>
      </x:c>
      <x:c r="D1393" s="27" t="str">
        <x:v>GROUNDED_BY</x:v>
      </x:c>
      <x:c r="E1393" s="27" t="str">
        <x:v>S16-READ-02</x:v>
      </x:c>
      <x:c r="F1393" s="27" t="str">
        <x:v>Theme, evidence, structure, and comparison</x:v>
      </x:c>
      <x:c r="G1393" s="27" t="str">
        <x:v>S16</x:v>
      </x:c>
      <x:c r="H1393" s="27" t="str">
        <x:v>Reading</x:v>
      </x:c>
      <x:c r="I1393" s="27" t="str">
        <x:v>SRC10</x:v>
      </x:c>
      <x:c r="J1393" s="27" t="str">
        <x:v>Grounding form used to preserve meaning.</x:v>
      </x:c>
    </x:row>
    <x:row r="1394">
      <x:c r="A1394" s="27" t="str">
        <x:v>E01390</x:v>
      </x:c>
      <x:c r="B1394" s="27" t="str">
        <x:v>S16-READ-02</x:v>
      </x:c>
      <x:c r="C1394" s="27" t="str">
        <x:v>Theme, evidence, structure, and comparison</x:v>
      </x:c>
      <x:c r="D1394" s="27" t="str">
        <x:v>CONNECTS_TO</x:v>
      </x:c>
      <x:c r="E1394" s="27" t="str">
        <x:v>S16-READ-02:CROSS</x:v>
      </x:c>
      <x:c r="F1394" s="27" t="str">
        <x:v>Oral language and writing; evidence in science/social studies; mathematical and technical problem interpretation; media verification.</x:v>
      </x:c>
      <x:c r="G1394" s="27" t="str">
        <x:v>S16</x:v>
      </x:c>
      <x:c r="H1394" s="27" t="str">
        <x:v>Reading</x:v>
      </x:c>
      <x:c r="I1394" s="27" t="str">
        <x:v>SRC10</x:v>
      </x:c>
      <x:c r="J1394" s="27" t="str">
        <x:v>Parallel subject and representation links.</x:v>
      </x:c>
    </x:row>
    <x:row r="1395">
      <x:c r="A1395" s="27" t="str">
        <x:v>E01391</x:v>
      </x:c>
      <x:c r="B1395" s="27" t="str">
        <x:v>S16-READ-02</x:v>
      </x:c>
      <x:c r="C1395" s="27" t="str">
        <x:v>Theme, evidence, structure, and comparison</x:v>
      </x:c>
      <x:c r="D1395" s="27" t="str">
        <x:v>UNLOCKS</x:v>
      </x:c>
      <x:c r="E1395" s="27" t="str">
        <x:v>S16-READ-02:NEXT</x:v>
      </x:c>
      <x:c r="F1395" s="27" t="str">
        <x:v>Structural comparison strengthens claims about author choices.</x:v>
      </x:c>
      <x:c r="G1395" s="27" t="str">
        <x:v>S16</x:v>
      </x:c>
      <x:c r="H1395" s="27" t="str">
        <x:v>Reading</x:v>
      </x:c>
      <x:c r="I1395" s="27" t="str">
        <x:v>SRC10</x:v>
      </x:c>
      <x:c r="J1395" s="27" t="str">
        <x:v>Outgoing use and placement rationale.</x:v>
      </x:c>
    </x:row>
    <x:row r="1396">
      <x:c r="A1396" s="27" t="str">
        <x:v>E01392</x:v>
      </x:c>
      <x:c r="B1396" s="27" t="str">
        <x:v>S16-READ-02</x:v>
      </x:c>
      <x:c r="C1396" s="27" t="str">
        <x:v>Theme, evidence, structure, and comparison</x:v>
      </x:c>
      <x:c r="D1396" s="27" t="str">
        <x:v>VERIFIED_BY</x:v>
      </x:c>
      <x:c r="E1396" s="27" t="str">
        <x:v>S16-READ-02:EVIDENCE</x:v>
      </x:c>
      <x:c r="F1396" s="27" t="str">
        <x:v>Supports a thematic or structural comparison with evidence from both works.</x:v>
      </x:c>
      <x:c r="G1396" s="27" t="str">
        <x:v>S16</x:v>
      </x:c>
      <x:c r="H1396" s="27" t="str">
        <x:v>Reading</x:v>
      </x:c>
      <x:c r="I1396" s="27" t="str">
        <x:v>SRC10</x:v>
      </x:c>
      <x:c r="J1396" s="27" t="str">
        <x:v>Observable evidence of usable learning.</x:v>
      </x:c>
    </x:row>
    <x:row r="1397">
      <x:c r="A1397" s="27" t="str">
        <x:v>E01393</x:v>
      </x:c>
      <x:c r="B1397" s="27" t="str">
        <x:v>S16-READ-02</x:v>
      </x:c>
      <x:c r="C1397" s="27" t="str">
        <x:v>Previous node in domain progression</x:v>
      </x:c>
      <x:c r="D1397" s="27" t="str">
        <x:v>DOMAIN_SEQUENCE</x:v>
      </x:c>
      <x:c r="E1397" s="27" t="str">
        <x:v>S16-READ-03</x:v>
      </x:c>
      <x:c r="F1397" s="27" t="str">
        <x:v>Main ideas, reasons/evidence, and text integration</x:v>
      </x:c>
      <x:c r="G1397" s="27" t="str">
        <x:v>S16</x:v>
      </x:c>
      <x:c r="H1397" s="27" t="str">
        <x:v>Reading</x:v>
      </x:c>
      <x:c r="I1397" s="27" t="str">
        <x:v>SRC10</x:v>
      </x:c>
      <x:c r="J1397" s="27" t="str">
        <x:v>Ordered spiral link; consult explicit prerequisites for logical dependency.</x:v>
      </x:c>
    </x:row>
    <x:row r="1398">
      <x:c r="A1398" s="27" t="str">
        <x:v>E01394</x:v>
      </x:c>
      <x:c r="B1398" s="27" t="str">
        <x:v>S16-READ-03:PREREQ</x:v>
      </x:c>
      <x:c r="C1398" s="27" t="str">
        <x:v>Grade 3 informational structure, paragraph reasoning, and data displays.</x:v>
      </x:c>
      <x:c r="D1398" s="27" t="str">
        <x:v>PREREQUISITE</x:v>
      </x:c>
      <x:c r="E1398" s="27" t="str">
        <x:v>S16-READ-03</x:v>
      </x:c>
      <x:c r="F1398" s="27" t="str">
        <x:v>Main ideas, reasons/evidence, and text integration</x:v>
      </x:c>
      <x:c r="G1398" s="27" t="str">
        <x:v>S16</x:v>
      </x:c>
      <x:c r="H1398" s="27" t="str">
        <x:v>Reading</x:v>
      </x:c>
      <x:c r="I1398" s="27" t="str">
        <x:v>SRC10</x:v>
      </x:c>
      <x:c r="J1398" s="27" t="str">
        <x:v>Incoming prerequisite relationship.</x:v>
      </x:c>
    </x:row>
    <x:row r="1399">
      <x:c r="A1399" s="27" t="str">
        <x:v>E01395</x:v>
      </x:c>
      <x:c r="B1399" s="27" t="str">
        <x:v>S16-READ-03:GROUND</x:v>
      </x:c>
      <x:c r="C1399" s="27" t="str">
        <x:v>G4/G5 — Concrete model linked to coordinated representations</x:v>
      </x:c>
      <x:c r="D1399" s="27" t="str">
        <x:v>GROUNDED_BY</x:v>
      </x:c>
      <x:c r="E1399" s="27" t="str">
        <x:v>S16-READ-03</x:v>
      </x:c>
      <x:c r="F1399" s="27" t="str">
        <x:v>Main ideas, reasons/evidence, and text integration</x:v>
      </x:c>
      <x:c r="G1399" s="27" t="str">
        <x:v>S16</x:v>
      </x:c>
      <x:c r="H1399" s="27" t="str">
        <x:v>Reading</x:v>
      </x:c>
      <x:c r="I1399" s="27" t="str">
        <x:v>SRC10</x:v>
      </x:c>
      <x:c r="J1399" s="27" t="str">
        <x:v>Grounding form used to preserve meaning.</x:v>
      </x:c>
    </x:row>
    <x:row r="1400">
      <x:c r="A1400" s="27" t="str">
        <x:v>E01396</x:v>
      </x:c>
      <x:c r="B1400" s="27" t="str">
        <x:v>S16-READ-03</x:v>
      </x:c>
      <x:c r="C1400" s="27" t="str">
        <x:v>Main ideas, reasons/evidence, and text integration</x:v>
      </x:c>
      <x:c r="D1400" s="27" t="str">
        <x:v>CONNECTS_TO</x:v>
      </x:c>
      <x:c r="E1400" s="27" t="str">
        <x:v>S16-READ-03:CROSS</x:v>
      </x:c>
      <x:c r="F1400" s="27" t="str">
        <x:v>Oral language and writing; evidence in science/social studies; mathematical and technical problem interpretation; media verification.</x:v>
      </x:c>
      <x:c r="G1400" s="27" t="str">
        <x:v>S16</x:v>
      </x:c>
      <x:c r="H1400" s="27" t="str">
        <x:v>Reading</x:v>
      </x:c>
      <x:c r="I1400" s="27" t="str">
        <x:v>SRC10</x:v>
      </x:c>
      <x:c r="J1400" s="27" t="str">
        <x:v>Parallel subject and representation links.</x:v>
      </x:c>
    </x:row>
    <x:row r="1401">
      <x:c r="A1401" s="27" t="str">
        <x:v>E01397</x:v>
      </x:c>
      <x:c r="B1401" s="27" t="str">
        <x:v>S16-READ-03</x:v>
      </x:c>
      <x:c r="C1401" s="27" t="str">
        <x:v>Main ideas, reasons/evidence, and text integration</x:v>
      </x:c>
      <x:c r="D1401" s="27" t="str">
        <x:v>UNLOCKS</x:v>
      </x:c>
      <x:c r="E1401" s="27" t="str">
        <x:v>S16-READ-03:NEXT</x:v>
      </x:c>
      <x:c r="F1401" s="27" t="str">
        <x:v>Multi-representation integration is required in science, history, and technical learning.</x:v>
      </x:c>
      <x:c r="G1401" s="27" t="str">
        <x:v>S16</x:v>
      </x:c>
      <x:c r="H1401" s="27" t="str">
        <x:v>Reading</x:v>
      </x:c>
      <x:c r="I1401" s="27" t="str">
        <x:v>SRC10</x:v>
      </x:c>
      <x:c r="J1401" s="27" t="str">
        <x:v>Outgoing use and placement rationale.</x:v>
      </x:c>
    </x:row>
    <x:row r="1402">
      <x:c r="A1402" s="27" t="str">
        <x:v>E01398</x:v>
      </x:c>
      <x:c r="B1402" s="27" t="str">
        <x:v>S16-READ-03</x:v>
      </x:c>
      <x:c r="C1402" s="27" t="str">
        <x:v>Main ideas, reasons/evidence, and text integration</x:v>
      </x:c>
      <x:c r="D1402" s="27" t="str">
        <x:v>VERIFIED_BY</x:v>
      </x:c>
      <x:c r="E1402" s="27" t="str">
        <x:v>S16-READ-03:EVIDENCE</x:v>
      </x:c>
      <x:c r="F1402" s="27" t="str">
        <x:v>Creates an accurate synthesis that connects prose claims to a visual or quantitative source.</x:v>
      </x:c>
      <x:c r="G1402" s="27" t="str">
        <x:v>S16</x:v>
      </x:c>
      <x:c r="H1402" s="27" t="str">
        <x:v>Reading</x:v>
      </x:c>
      <x:c r="I1402" s="27" t="str">
        <x:v>SRC10</x:v>
      </x:c>
      <x:c r="J1402" s="27" t="str">
        <x:v>Observable evidence of usable learning.</x:v>
      </x:c>
    </x:row>
    <x:row r="1403">
      <x:c r="A1403" s="27" t="str">
        <x:v>E01399</x:v>
      </x:c>
      <x:c r="B1403" s="27" t="str">
        <x:v>S16-READ-03</x:v>
      </x:c>
      <x:c r="C1403" s="27" t="str">
        <x:v>Previous node in domain progression</x:v>
      </x:c>
      <x:c r="D1403" s="27" t="str">
        <x:v>DOMAIN_SEQUENCE</x:v>
      </x:c>
      <x:c r="E1403" s="27" t="str">
        <x:v>S16-READ-04</x:v>
      </x:c>
      <x:c r="F1403" s="27" t="str">
        <x:v>Firsthand/secondhand and viewpoint</x:v>
      </x:c>
      <x:c r="G1403" s="27" t="str">
        <x:v>S16</x:v>
      </x:c>
      <x:c r="H1403" s="27" t="str">
        <x:v>Reading</x:v>
      </x:c>
      <x:c r="I1403" s="27" t="str">
        <x:v>SRC10; SRC12; SRC20</x:v>
      </x:c>
      <x:c r="J1403" s="27" t="str">
        <x:v>Ordered spiral link; consult explicit prerequisites for logical dependency.</x:v>
      </x:c>
    </x:row>
    <x:row r="1404">
      <x:c r="A1404" s="27" t="str">
        <x:v>E01400</x:v>
      </x:c>
      <x:c r="B1404" s="27" t="str">
        <x:v>S16-READ-04:PREREQ</x:v>
      </x:c>
      <x:c r="C1404" s="27" t="str">
        <x:v>Grade 3 account comparison and perspective reasoning.</x:v>
      </x:c>
      <x:c r="D1404" s="27" t="str">
        <x:v>PREREQUISITE</x:v>
      </x:c>
      <x:c r="E1404" s="27" t="str">
        <x:v>S16-READ-04</x:v>
      </x:c>
      <x:c r="F1404" s="27" t="str">
        <x:v>Firsthand/secondhand and viewpoint</x:v>
      </x:c>
      <x:c r="G1404" s="27" t="str">
        <x:v>S16</x:v>
      </x:c>
      <x:c r="H1404" s="27" t="str">
        <x:v>Reading</x:v>
      </x:c>
      <x:c r="I1404" s="27" t="str">
        <x:v>SRC10; SRC12; SRC20</x:v>
      </x:c>
      <x:c r="J1404" s="27" t="str">
        <x:v>Incoming prerequisite relationship.</x:v>
      </x:c>
    </x:row>
    <x:row r="1405">
      <x:c r="A1405" s="27" t="str">
        <x:v>E01401</x:v>
      </x:c>
      <x:c r="B1405" s="27" t="str">
        <x:v>S16-READ-04:GROUND</x:v>
      </x:c>
      <x:c r="C1405" s="27" t="str">
        <x:v>G4/G5 — Concrete model linked to coordinated representations</x:v>
      </x:c>
      <x:c r="D1405" s="27" t="str">
        <x:v>GROUNDED_BY</x:v>
      </x:c>
      <x:c r="E1405" s="27" t="str">
        <x:v>S16-READ-04</x:v>
      </x:c>
      <x:c r="F1405" s="27" t="str">
        <x:v>Firsthand/secondhand and viewpoint</x:v>
      </x:c>
      <x:c r="G1405" s="27" t="str">
        <x:v>S16</x:v>
      </x:c>
      <x:c r="H1405" s="27" t="str">
        <x:v>Reading</x:v>
      </x:c>
      <x:c r="I1405" s="27" t="str">
        <x:v>SRC10; SRC12; SRC20</x:v>
      </x:c>
      <x:c r="J1405" s="27" t="str">
        <x:v>Grounding form used to preserve meaning.</x:v>
      </x:c>
    </x:row>
    <x:row r="1406">
      <x:c r="A1406" s="27" t="str">
        <x:v>E01402</x:v>
      </x:c>
      <x:c r="B1406" s="27" t="str">
        <x:v>S16-READ-04</x:v>
      </x:c>
      <x:c r="C1406" s="27" t="str">
        <x:v>Firsthand/secondhand and viewpoint</x:v>
      </x:c>
      <x:c r="D1406" s="27" t="str">
        <x:v>CONNECTS_TO</x:v>
      </x:c>
      <x:c r="E1406" s="27" t="str">
        <x:v>S16-READ-04:CROSS</x:v>
      </x:c>
      <x:c r="F1406" s="27" t="str">
        <x:v>Oral language and writing; evidence in science/social studies; mathematical and technical problem interpretation; media verification.</x:v>
      </x:c>
      <x:c r="G1406" s="27" t="str">
        <x:v>S16</x:v>
      </x:c>
      <x:c r="H1406" s="27" t="str">
        <x:v>Reading</x:v>
      </x:c>
      <x:c r="I1406" s="27" t="str">
        <x:v>SRC10; SRC12; SRC20</x:v>
      </x:c>
      <x:c r="J1406" s="27" t="str">
        <x:v>Parallel subject and representation links.</x:v>
      </x:c>
    </x:row>
    <x:row r="1407">
      <x:c r="A1407" s="27" t="str">
        <x:v>E01403</x:v>
      </x:c>
      <x:c r="B1407" s="27" t="str">
        <x:v>S16-READ-04</x:v>
      </x:c>
      <x:c r="C1407" s="27" t="str">
        <x:v>Firsthand/secondhand and viewpoint</x:v>
      </x:c>
      <x:c r="D1407" s="27" t="str">
        <x:v>UNLOCKS</x:v>
      </x:c>
      <x:c r="E1407" s="27" t="str">
        <x:v>S16-READ-04:NEXT</x:v>
      </x:c>
      <x:c r="F1407" s="27" t="str">
        <x:v>Source position affects evidence and interpretation; recognizing it prepares historical and media analysis.</x:v>
      </x:c>
      <x:c r="G1407" s="27" t="str">
        <x:v>S16</x:v>
      </x:c>
      <x:c r="H1407" s="27" t="str">
        <x:v>Reading</x:v>
      </x:c>
      <x:c r="I1407" s="27" t="str">
        <x:v>SRC10; SRC12; SRC20</x:v>
      </x:c>
      <x:c r="J1407" s="27" t="str">
        <x:v>Outgoing use and placement rationale.</x:v>
      </x:c>
    </x:row>
    <x:row r="1408">
      <x:c r="A1408" s="27" t="str">
        <x:v>E01404</x:v>
      </x:c>
      <x:c r="B1408" s="27" t="str">
        <x:v>S16-READ-04</x:v>
      </x:c>
      <x:c r="C1408" s="27" t="str">
        <x:v>Firsthand/secondhand and viewpoint</x:v>
      </x:c>
      <x:c r="D1408" s="27" t="str">
        <x:v>VERIFIED_BY</x:v>
      </x:c>
      <x:c r="E1408" s="27" t="str">
        <x:v>S16-READ-04:EVIDENCE</x:v>
      </x:c>
      <x:c r="F1408" s="27" t="str">
        <x:v>Explains how source type or viewpoint changes what an account emphasizes.</x:v>
      </x:c>
      <x:c r="G1408" s="27" t="str">
        <x:v>S16</x:v>
      </x:c>
      <x:c r="H1408" s="27" t="str">
        <x:v>Reading</x:v>
      </x:c>
      <x:c r="I1408" s="27" t="str">
        <x:v>SRC10; SRC12; SRC20</x:v>
      </x:c>
      <x:c r="J1408" s="27" t="str">
        <x:v>Observable evidence of usable learning.</x:v>
      </x:c>
    </x:row>
    <x:row r="1409">
      <x:c r="A1409" s="27" t="str">
        <x:v>E01405</x:v>
      </x:c>
      <x:c r="B1409" s="27" t="str">
        <x:v>S15-WRITE-04</x:v>
      </x:c>
      <x:c r="C1409" s="27" t="str">
        <x:v>Previous node in domain progression</x:v>
      </x:c>
      <x:c r="D1409" s="27" t="str">
        <x:v>DOMAIN_SEQUENCE</x:v>
      </x:c>
      <x:c r="E1409" s="27" t="str">
        <x:v>S16-WRITE-01</x:v>
      </x:c>
      <x:c r="F1409" s="27" t="str">
        <x:v>Multi-paragraph composition</x:v>
      </x:c>
      <x:c r="G1409" s="27" t="str">
        <x:v>S16</x:v>
      </x:c>
      <x:c r="H1409" s="27" t="str">
        <x:v>Writing &amp; Language</x:v>
      </x:c>
      <x:c r="I1409" s="27" t="str">
        <x:v>SRC10; SRC21</x:v>
      </x:c>
      <x:c r="J1409" s="27" t="str">
        <x:v>Ordered spiral link; consult explicit prerequisites for logical dependency.</x:v>
      </x:c>
    </x:row>
    <x:row r="1410">
      <x:c r="A1410" s="27" t="str">
        <x:v>E01406</x:v>
      </x:c>
      <x:c r="B1410" s="27" t="str">
        <x:v>S16-WRITE-01:PREREQ</x:v>
      </x:c>
      <x:c r="C1410" s="27" t="str">
        <x:v>Grade 3 paragraph development and genre schemas.</x:v>
      </x:c>
      <x:c r="D1410" s="27" t="str">
        <x:v>PREREQUISITE</x:v>
      </x:c>
      <x:c r="E1410" s="27" t="str">
        <x:v>S16-WRITE-01</x:v>
      </x:c>
      <x:c r="F1410" s="27" t="str">
        <x:v>Multi-paragraph composition</x:v>
      </x:c>
      <x:c r="G1410" s="27" t="str">
        <x:v>S16</x:v>
      </x:c>
      <x:c r="H1410" s="27" t="str">
        <x:v>Writing &amp; Language</x:v>
      </x:c>
      <x:c r="I1410" s="27" t="str">
        <x:v>SRC10; SRC21</x:v>
      </x:c>
      <x:c r="J1410" s="27" t="str">
        <x:v>Incoming prerequisite relationship.</x:v>
      </x:c>
    </x:row>
    <x:row r="1411">
      <x:c r="A1411" s="27" t="str">
        <x:v>E01407</x:v>
      </x:c>
      <x:c r="B1411" s="27" t="str">
        <x:v>S16-WRITE-01:GROUND</x:v>
      </x:c>
      <x:c r="C1411" s="27" t="str">
        <x:v>G4/G5 — Concrete model linked to coordinated representations</x:v>
      </x:c>
      <x:c r="D1411" s="27" t="str">
        <x:v>GROUNDED_BY</x:v>
      </x:c>
      <x:c r="E1411" s="27" t="str">
        <x:v>S16-WRITE-01</x:v>
      </x:c>
      <x:c r="F1411" s="27" t="str">
        <x:v>Multi-paragraph composition</x:v>
      </x:c>
      <x:c r="G1411" s="27" t="str">
        <x:v>S16</x:v>
      </x:c>
      <x:c r="H1411" s="27" t="str">
        <x:v>Writing &amp; Language</x:v>
      </x:c>
      <x:c r="I1411" s="27" t="str">
        <x:v>SRC10; SRC21</x:v>
      </x:c>
      <x:c r="J1411" s="27" t="str">
        <x:v>Grounding form used to preserve meaning.</x:v>
      </x:c>
    </x:row>
    <x:row r="1412">
      <x:c r="A1412" s="27" t="str">
        <x:v>E01408</x:v>
      </x:c>
      <x:c r="B1412" s="27" t="str">
        <x:v>S16-WRITE-01</x:v>
      </x:c>
      <x:c r="C1412" s="27" t="str">
        <x:v>Multi-paragraph composition</x:v>
      </x:c>
      <x:c r="D1412" s="27" t="str">
        <x:v>CONNECTS_TO</x:v>
      </x:c>
      <x:c r="E1412" s="27" t="str">
        <x:v>S16-WRITE-01:CROSS</x:v>
      </x:c>
      <x:c r="F1412" s="27" t="str">
        <x:v>Reading models; evidence from science/social studies; mathematical explanation; research, media, and presentation.</x:v>
      </x:c>
      <x:c r="G1412" s="27" t="str">
        <x:v>S16</x:v>
      </x:c>
      <x:c r="H1412" s="27" t="str">
        <x:v>Writing &amp; Language</x:v>
      </x:c>
      <x:c r="I1412" s="27" t="str">
        <x:v>SRC10; SRC21</x:v>
      </x:c>
      <x:c r="J1412" s="27" t="str">
        <x:v>Parallel subject and representation links.</x:v>
      </x:c>
    </x:row>
    <x:row r="1413">
      <x:c r="A1413" s="27" t="str">
        <x:v>E01409</x:v>
      </x:c>
      <x:c r="B1413" s="27" t="str">
        <x:v>S16-WRITE-01</x:v>
      </x:c>
      <x:c r="C1413" s="27" t="str">
        <x:v>Multi-paragraph composition</x:v>
      </x:c>
      <x:c r="D1413" s="27" t="str">
        <x:v>UNLOCKS</x:v>
      </x:c>
      <x:c r="E1413" s="27" t="str">
        <x:v>S16-WRITE-01:NEXT</x:v>
      </x:c>
      <x:c r="F1413" s="27" t="str">
        <x:v>Sectioned composition manages more evidence and a sustained line of thought.</x:v>
      </x:c>
      <x:c r="G1413" s="27" t="str">
        <x:v>S16</x:v>
      </x:c>
      <x:c r="H1413" s="27" t="str">
        <x:v>Writing &amp; Language</x:v>
      </x:c>
      <x:c r="I1413" s="27" t="str">
        <x:v>SRC10; SRC21</x:v>
      </x:c>
      <x:c r="J1413" s="27" t="str">
        <x:v>Outgoing use and placement rationale.</x:v>
      </x:c>
    </x:row>
    <x:row r="1414">
      <x:c r="A1414" s="27" t="str">
        <x:v>E01410</x:v>
      </x:c>
      <x:c r="B1414" s="27" t="str">
        <x:v>S16-WRITE-01</x:v>
      </x:c>
      <x:c r="C1414" s="27" t="str">
        <x:v>Multi-paragraph composition</x:v>
      </x:c>
      <x:c r="D1414" s="27" t="str">
        <x:v>VERIFIED_BY</x:v>
      </x:c>
      <x:c r="E1414" s="27" t="str">
        <x:v>S16-WRITE-01:EVIDENCE</x:v>
      </x:c>
      <x:c r="F1414" s="27" t="str">
        <x:v>Produces an organized multi-paragraph piece with no orphan or unrelated paragraph.</x:v>
      </x:c>
      <x:c r="G1414" s="27" t="str">
        <x:v>S16</x:v>
      </x:c>
      <x:c r="H1414" s="27" t="str">
        <x:v>Writing &amp; Language</x:v>
      </x:c>
      <x:c r="I1414" s="27" t="str">
        <x:v>SRC10; SRC21</x:v>
      </x:c>
      <x:c r="J1414" s="27" t="str">
        <x:v>Observable evidence of usable learning.</x:v>
      </x:c>
    </x:row>
    <x:row r="1415">
      <x:c r="A1415" s="27" t="str">
        <x:v>E01411</x:v>
      </x:c>
      <x:c r="B1415" s="27" t="str">
        <x:v>S16-WRITE-01</x:v>
      </x:c>
      <x:c r="C1415" s="27" t="str">
        <x:v>Previous node in domain progression</x:v>
      </x:c>
      <x:c r="D1415" s="27" t="str">
        <x:v>DOMAIN_SEQUENCE</x:v>
      </x:c>
      <x:c r="E1415" s="27" t="str">
        <x:v>S16-WRITE-02</x:v>
      </x:c>
      <x:c r="F1415" s="27" t="str">
        <x:v>Quote and paraphrase distinction</x:v>
      </x:c>
      <x:c r="G1415" s="27" t="str">
        <x:v>S16</x:v>
      </x:c>
      <x:c r="H1415" s="27" t="str">
        <x:v>Writing &amp; Language</x:v>
      </x:c>
      <x:c r="I1415" s="27" t="str">
        <x:v>SRC10; SRC21</x:v>
      </x:c>
      <x:c r="J1415" s="27" t="str">
        <x:v>Ordered spiral link; consult explicit prerequisites for logical dependency.</x:v>
      </x:c>
    </x:row>
    <x:row r="1416">
      <x:c r="A1416" s="27" t="str">
        <x:v>E01412</x:v>
      </x:c>
      <x:c r="B1416" s="27" t="str">
        <x:v>S16-WRITE-02:PREREQ</x:v>
      </x:c>
      <x:c r="C1416" s="27" t="str">
        <x:v>Grade 3 paraphrase/source labels and critical reading.</x:v>
      </x:c>
      <x:c r="D1416" s="27" t="str">
        <x:v>PREREQUISITE</x:v>
      </x:c>
      <x:c r="E1416" s="27" t="str">
        <x:v>S16-WRITE-02</x:v>
      </x:c>
      <x:c r="F1416" s="27" t="str">
        <x:v>Quote and paraphrase distinction</x:v>
      </x:c>
      <x:c r="G1416" s="27" t="str">
        <x:v>S16</x:v>
      </x:c>
      <x:c r="H1416" s="27" t="str">
        <x:v>Writing &amp; Language</x:v>
      </x:c>
      <x:c r="I1416" s="27" t="str">
        <x:v>SRC10; SRC21</x:v>
      </x:c>
      <x:c r="J1416" s="27" t="str">
        <x:v>Incoming prerequisite relationship.</x:v>
      </x:c>
    </x:row>
    <x:row r="1417">
      <x:c r="A1417" s="27" t="str">
        <x:v>E01413</x:v>
      </x:c>
      <x:c r="B1417" s="27" t="str">
        <x:v>S16-WRITE-02:GROUND</x:v>
      </x:c>
      <x:c r="C1417" s="27" t="str">
        <x:v>G4/G5 — Concrete model linked to coordinated representations</x:v>
      </x:c>
      <x:c r="D1417" s="27" t="str">
        <x:v>GROUNDED_BY</x:v>
      </x:c>
      <x:c r="E1417" s="27" t="str">
        <x:v>S16-WRITE-02</x:v>
      </x:c>
      <x:c r="F1417" s="27" t="str">
        <x:v>Quote and paraphrase distinction</x:v>
      </x:c>
      <x:c r="G1417" s="27" t="str">
        <x:v>S16</x:v>
      </x:c>
      <x:c r="H1417" s="27" t="str">
        <x:v>Writing &amp; Language</x:v>
      </x:c>
      <x:c r="I1417" s="27" t="str">
        <x:v>SRC10; SRC21</x:v>
      </x:c>
      <x:c r="J1417" s="27" t="str">
        <x:v>Grounding form used to preserve meaning.</x:v>
      </x:c>
    </x:row>
    <x:row r="1418">
      <x:c r="A1418" s="27" t="str">
        <x:v>E01414</x:v>
      </x:c>
      <x:c r="B1418" s="27" t="str">
        <x:v>S16-WRITE-02</x:v>
      </x:c>
      <x:c r="C1418" s="27" t="str">
        <x:v>Quote and paraphrase distinction</x:v>
      </x:c>
      <x:c r="D1418" s="27" t="str">
        <x:v>CONNECTS_TO</x:v>
      </x:c>
      <x:c r="E1418" s="27" t="str">
        <x:v>S16-WRITE-02:CROSS</x:v>
      </x:c>
      <x:c r="F1418" s="27" t="str">
        <x:v>Reading models; evidence from science/social studies; mathematical explanation; research, media, and presentation.</x:v>
      </x:c>
      <x:c r="G1418" s="27" t="str">
        <x:v>S16</x:v>
      </x:c>
      <x:c r="H1418" s="27" t="str">
        <x:v>Writing &amp; Language</x:v>
      </x:c>
      <x:c r="I1418" s="27" t="str">
        <x:v>SRC10; SRC21</x:v>
      </x:c>
      <x:c r="J1418" s="27" t="str">
        <x:v>Parallel subject and representation links.</x:v>
      </x:c>
    </x:row>
    <x:row r="1419">
      <x:c r="A1419" s="27" t="str">
        <x:v>E01415</x:v>
      </x:c>
      <x:c r="B1419" s="27" t="str">
        <x:v>S16-WRITE-02</x:v>
      </x:c>
      <x:c r="C1419" s="27" t="str">
        <x:v>Quote and paraphrase distinction</x:v>
      </x:c>
      <x:c r="D1419" s="27" t="str">
        <x:v>UNLOCKS</x:v>
      </x:c>
      <x:c r="E1419" s="27" t="str">
        <x:v>S16-WRITE-02:NEXT</x:v>
      </x:c>
      <x:c r="F1419" s="27" t="str">
        <x:v>Distinguishing borrowed words from borrowed ideas is foundational citation practice.</x:v>
      </x:c>
      <x:c r="G1419" s="27" t="str">
        <x:v>S16</x:v>
      </x:c>
      <x:c r="H1419" s="27" t="str">
        <x:v>Writing &amp; Language</x:v>
      </x:c>
      <x:c r="I1419" s="27" t="str">
        <x:v>SRC10; SRC21</x:v>
      </x:c>
      <x:c r="J1419" s="27" t="str">
        <x:v>Outgoing use and placement rationale.</x:v>
      </x:c>
    </x:row>
    <x:row r="1420">
      <x:c r="A1420" s="27" t="str">
        <x:v>E01416</x:v>
      </x:c>
      <x:c r="B1420" s="27" t="str">
        <x:v>S16-WRITE-02</x:v>
      </x:c>
      <x:c r="C1420" s="27" t="str">
        <x:v>Quote and paraphrase distinction</x:v>
      </x:c>
      <x:c r="D1420" s="27" t="str">
        <x:v>VERIFIED_BY</x:v>
      </x:c>
      <x:c r="E1420" s="27" t="str">
        <x:v>S16-WRITE-02:EVIDENCE</x:v>
      </x:c>
      <x:c r="F1420" s="27" t="str">
        <x:v>Uses one accurate quotation and one accurate paraphrase with clear source attribution.</x:v>
      </x:c>
      <x:c r="G1420" s="27" t="str">
        <x:v>S16</x:v>
      </x:c>
      <x:c r="H1420" s="27" t="str">
        <x:v>Writing &amp; Language</x:v>
      </x:c>
      <x:c r="I1420" s="27" t="str">
        <x:v>SRC10; SRC21</x:v>
      </x:c>
      <x:c r="J1420" s="27" t="str">
        <x:v>Observable evidence of usable learning.</x:v>
      </x:c>
    </x:row>
    <x:row r="1421">
      <x:c r="A1421" s="27" t="str">
        <x:v>E01417</x:v>
      </x:c>
      <x:c r="B1421" s="27" t="str">
        <x:v>S16-WRITE-02</x:v>
      </x:c>
      <x:c r="C1421" s="27" t="str">
        <x:v>Previous node in domain progression</x:v>
      </x:c>
      <x:c r="D1421" s="27" t="str">
        <x:v>DOMAIN_SEQUENCE</x:v>
      </x:c>
      <x:c r="E1421" s="27" t="str">
        <x:v>S16-WRITE-03</x:v>
      </x:c>
      <x:c r="F1421" s="27" t="str">
        <x:v>Coherence and precision</x:v>
      </x:c>
      <x:c r="G1421" s="27" t="str">
        <x:v>S16</x:v>
      </x:c>
      <x:c r="H1421" s="27" t="str">
        <x:v>Writing &amp; Language</x:v>
      </x:c>
      <x:c r="I1421" s="27" t="str">
        <x:v>SRC10; SRC21</x:v>
      </x:c>
      <x:c r="J1421" s="27" t="str">
        <x:v>Ordered spiral link; consult explicit prerequisites for logical dependency.</x:v>
      </x:c>
    </x:row>
    <x:row r="1422">
      <x:c r="A1422" s="27" t="str">
        <x:v>E01418</x:v>
      </x:c>
      <x:c r="B1422" s="27" t="str">
        <x:v>S16-WRITE-03:PREREQ</x:v>
      </x:c>
      <x:c r="C1422" s="27" t="str">
        <x:v>Multi-paragraph organization, morphology, and error classification.</x:v>
      </x:c>
      <x:c r="D1422" s="27" t="str">
        <x:v>PREREQUISITE</x:v>
      </x:c>
      <x:c r="E1422" s="27" t="str">
        <x:v>S16-WRITE-03</x:v>
      </x:c>
      <x:c r="F1422" s="27" t="str">
        <x:v>Coherence and precision</x:v>
      </x:c>
      <x:c r="G1422" s="27" t="str">
        <x:v>S16</x:v>
      </x:c>
      <x:c r="H1422" s="27" t="str">
        <x:v>Writing &amp; Language</x:v>
      </x:c>
      <x:c r="I1422" s="27" t="str">
        <x:v>SRC10; SRC21</x:v>
      </x:c>
      <x:c r="J1422" s="27" t="str">
        <x:v>Incoming prerequisite relationship.</x:v>
      </x:c>
    </x:row>
    <x:row r="1423">
      <x:c r="A1423" s="27" t="str">
        <x:v>E01419</x:v>
      </x:c>
      <x:c r="B1423" s="27" t="str">
        <x:v>S16-WRITE-03:GROUND</x:v>
      </x:c>
      <x:c r="C1423" s="27" t="str">
        <x:v>G4/G5 — Concrete model linked to coordinated representations</x:v>
      </x:c>
      <x:c r="D1423" s="27" t="str">
        <x:v>GROUNDED_BY</x:v>
      </x:c>
      <x:c r="E1423" s="27" t="str">
        <x:v>S16-WRITE-03</x:v>
      </x:c>
      <x:c r="F1423" s="27" t="str">
        <x:v>Coherence and precision</x:v>
      </x:c>
      <x:c r="G1423" s="27" t="str">
        <x:v>S16</x:v>
      </x:c>
      <x:c r="H1423" s="27" t="str">
        <x:v>Writing &amp; Language</x:v>
      </x:c>
      <x:c r="I1423" s="27" t="str">
        <x:v>SRC10; SRC21</x:v>
      </x:c>
      <x:c r="J1423" s="27" t="str">
        <x:v>Grounding form used to preserve meaning.</x:v>
      </x:c>
    </x:row>
    <x:row r="1424">
      <x:c r="A1424" s="27" t="str">
        <x:v>E01420</x:v>
      </x:c>
      <x:c r="B1424" s="27" t="str">
        <x:v>S16-WRITE-03</x:v>
      </x:c>
      <x:c r="C1424" s="27" t="str">
        <x:v>Coherence and precision</x:v>
      </x:c>
      <x:c r="D1424" s="27" t="str">
        <x:v>CONNECTS_TO</x:v>
      </x:c>
      <x:c r="E1424" s="27" t="str">
        <x:v>S16-WRITE-03:CROSS</x:v>
      </x:c>
      <x:c r="F1424" s="27" t="str">
        <x:v>Reading models; evidence from science/social studies; mathematical explanation; research, media, and presentation.</x:v>
      </x:c>
      <x:c r="G1424" s="27" t="str">
        <x:v>S16</x:v>
      </x:c>
      <x:c r="H1424" s="27" t="str">
        <x:v>Writing &amp; Language</x:v>
      </x:c>
      <x:c r="I1424" s="27" t="str">
        <x:v>SRC10; SRC21</x:v>
      </x:c>
      <x:c r="J1424" s="27" t="str">
        <x:v>Parallel subject and representation links.</x:v>
      </x:c>
    </x:row>
    <x:row r="1425">
      <x:c r="A1425" s="27" t="str">
        <x:v>E01421</x:v>
      </x:c>
      <x:c r="B1425" s="27" t="str">
        <x:v>S16-WRITE-03</x:v>
      </x:c>
      <x:c r="C1425" s="27" t="str">
        <x:v>Coherence and precision</x:v>
      </x:c>
      <x:c r="D1425" s="27" t="str">
        <x:v>UNLOCKS</x:v>
      </x:c>
      <x:c r="E1425" s="27" t="str">
        <x:v>S16-WRITE-03:NEXT</x:v>
      </x:c>
      <x:c r="F1425" s="27" t="str">
        <x:v>Revision at structure and sentence levels develops clarity rather than surface-only correction.</x:v>
      </x:c>
      <x:c r="G1425" s="27" t="str">
        <x:v>S16</x:v>
      </x:c>
      <x:c r="H1425" s="27" t="str">
        <x:v>Writing &amp; Language</x:v>
      </x:c>
      <x:c r="I1425" s="27" t="str">
        <x:v>SRC10; SRC21</x:v>
      </x:c>
      <x:c r="J1425" s="27" t="str">
        <x:v>Outgoing use and placement rationale.</x:v>
      </x:c>
    </x:row>
    <x:row r="1426">
      <x:c r="A1426" s="27" t="str">
        <x:v>E01422</x:v>
      </x:c>
      <x:c r="B1426" s="27" t="str">
        <x:v>S16-WRITE-03</x:v>
      </x:c>
      <x:c r="C1426" s="27" t="str">
        <x:v>Coherence and precision</x:v>
      </x:c>
      <x:c r="D1426" s="27" t="str">
        <x:v>VERIFIED_BY</x:v>
      </x:c>
      <x:c r="E1426" s="27" t="str">
        <x:v>S16-WRITE-03:EVIDENCE</x:v>
      </x:c>
      <x:c r="F1426" s="27" t="str">
        <x:v>Shows a before/after revision and explains the improvement in meaning or flow.</x:v>
      </x:c>
      <x:c r="G1426" s="27" t="str">
        <x:v>S16</x:v>
      </x:c>
      <x:c r="H1426" s="27" t="str">
        <x:v>Writing &amp; Language</x:v>
      </x:c>
      <x:c r="I1426" s="27" t="str">
        <x:v>SRC10; SRC21</x:v>
      </x:c>
      <x:c r="J1426" s="27" t="str">
        <x:v>Observable evidence of usable learning.</x:v>
      </x:c>
    </x:row>
    <x:row r="1427">
      <x:c r="A1427" s="27" t="str">
        <x:v>E01423</x:v>
      </x:c>
      <x:c r="B1427" s="27" t="str">
        <x:v>S15-MATH-05</x:v>
      </x:c>
      <x:c r="C1427" s="27" t="str">
        <x:v>Previous node in domain progression</x:v>
      </x:c>
      <x:c r="D1427" s="27" t="str">
        <x:v>DOMAIN_SEQUENCE</x:v>
      </x:c>
      <x:c r="E1427" s="27" t="str">
        <x:v>S16-MATH-01</x:v>
      </x:c>
      <x:c r="F1427" s="27" t="str">
        <x:v>Whole numbers through 1,000,000</x:v>
      </x:c>
      <x:c r="G1427" s="27" t="str">
        <x:v>S16</x:v>
      </x:c>
      <x:c r="H1427" s="27" t="str">
        <x:v>Mathematics</x:v>
      </x:c>
      <x:c r="I1427" s="27" t="str">
        <x:v>SRC09</x:v>
      </x:c>
      <x:c r="J1427" s="27" t="str">
        <x:v>Ordered spiral link; consult explicit prerequisites for logical dependency.</x:v>
      </x:c>
    </x:row>
    <x:row r="1428">
      <x:c r="A1428" s="27" t="str">
        <x:v>E01424</x:v>
      </x:c>
      <x:c r="B1428" s="27" t="str">
        <x:v>S16-MATH-01:PREREQ</x:v>
      </x:c>
      <x:c r="C1428" s="27" t="str">
        <x:v>Grade 3 rounding and base-ten units to 1,000.</x:v>
      </x:c>
      <x:c r="D1428" s="27" t="str">
        <x:v>PREREQUISITE</x:v>
      </x:c>
      <x:c r="E1428" s="27" t="str">
        <x:v>S16-MATH-01</x:v>
      </x:c>
      <x:c r="F1428" s="27" t="str">
        <x:v>Whole numbers through 1,000,000</x:v>
      </x:c>
      <x:c r="G1428" s="27" t="str">
        <x:v>S16</x:v>
      </x:c>
      <x:c r="H1428" s="27" t="str">
        <x:v>Mathematics</x:v>
      </x:c>
      <x:c r="I1428" s="27" t="str">
        <x:v>SRC09</x:v>
      </x:c>
      <x:c r="J1428" s="27" t="str">
        <x:v>Incoming prerequisite relationship.</x:v>
      </x:c>
    </x:row>
    <x:row r="1429">
      <x:c r="A1429" s="27" t="str">
        <x:v>E01425</x:v>
      </x:c>
      <x:c r="B1429" s="27" t="str">
        <x:v>S16-MATH-01:GROUND</x:v>
      </x:c>
      <x:c r="C1429" s="27" t="str">
        <x:v>G4/G5 — Concrete model linked to coordinated representations</x:v>
      </x:c>
      <x:c r="D1429" s="27" t="str">
        <x:v>GROUNDED_BY</x:v>
      </x:c>
      <x:c r="E1429" s="27" t="str">
        <x:v>S16-MATH-01</x:v>
      </x:c>
      <x:c r="F1429" s="27" t="str">
        <x:v>Whole numbers through 1,000,000</x:v>
      </x:c>
      <x:c r="G1429" s="27" t="str">
        <x:v>S16</x:v>
      </x:c>
      <x:c r="H1429" s="27" t="str">
        <x:v>Mathematics</x:v>
      </x:c>
      <x:c r="I1429" s="27" t="str">
        <x:v>SRC09</x:v>
      </x:c>
      <x:c r="J1429" s="27" t="str">
        <x:v>Grounding form used to preserve meaning.</x:v>
      </x:c>
    </x:row>
    <x:row r="1430">
      <x:c r="A1430" s="27" t="str">
        <x:v>E01426</x:v>
      </x:c>
      <x:c r="B1430" s="27" t="str">
        <x:v>S16-MATH-01</x:v>
      </x:c>
      <x:c r="C1430" s="27" t="str">
        <x:v>Whole numbers through 1,000,000</x:v>
      </x:c>
      <x:c r="D1430" s="27" t="str">
        <x:v>CONNECTS_TO</x:v>
      </x:c>
      <x:c r="E1430" s="27" t="str">
        <x:v>S16-MATH-01:CROSS</x:v>
      </x:c>
      <x:c r="F1430" s="27" t="str">
        <x:v>Physical quantity and spatial action; science measurement/models; computing/algorithms; finance; music rhythm/pattern; geographic data.</x:v>
      </x:c>
      <x:c r="G1430" s="27" t="str">
        <x:v>S16</x:v>
      </x:c>
      <x:c r="H1430" s="27" t="str">
        <x:v>Mathematics</x:v>
      </x:c>
      <x:c r="I1430" s="27" t="str">
        <x:v>SRC09</x:v>
      </x:c>
      <x:c r="J1430" s="27" t="str">
        <x:v>Parallel subject and representation links.</x:v>
      </x:c>
    </x:row>
    <x:row r="1431">
      <x:c r="A1431" s="27" t="str">
        <x:v>E01427</x:v>
      </x:c>
      <x:c r="B1431" s="27" t="str">
        <x:v>S16-MATH-01</x:v>
      </x:c>
      <x:c r="C1431" s="27" t="str">
        <x:v>Whole numbers through 1,000,000</x:v>
      </x:c>
      <x:c r="D1431" s="27" t="str">
        <x:v>UNLOCKS</x:v>
      </x:c>
      <x:c r="E1431" s="27" t="str">
        <x:v>S16-MATH-01:NEXT</x:v>
      </x:c>
      <x:c r="F1431" s="27" t="str">
        <x:v>Multiplicative place-value structure supports algorithms, decimals, and scientific notation.</x:v>
      </x:c>
      <x:c r="G1431" s="27" t="str">
        <x:v>S16</x:v>
      </x:c>
      <x:c r="H1431" s="27" t="str">
        <x:v>Mathematics</x:v>
      </x:c>
      <x:c r="I1431" s="27" t="str">
        <x:v>SRC09</x:v>
      </x:c>
      <x:c r="J1431" s="27" t="str">
        <x:v>Outgoing use and placement rationale.</x:v>
      </x:c>
    </x:row>
    <x:row r="1432">
      <x:c r="A1432" s="27" t="str">
        <x:v>E01428</x:v>
      </x:c>
      <x:c r="B1432" s="27" t="str">
        <x:v>S16-MATH-01</x:v>
      </x:c>
      <x:c r="C1432" s="27" t="str">
        <x:v>Whole numbers through 1,000,000</x:v>
      </x:c>
      <x:c r="D1432" s="27" t="str">
        <x:v>VERIFIED_BY</x:v>
      </x:c>
      <x:c r="E1432" s="27" t="str">
        <x:v>S16-MATH-01:EVIDENCE</x:v>
      </x:c>
      <x:c r="F1432" s="27" t="str">
        <x:v>Explains a digit’s value relationally and uses place value to justify rounding.</x:v>
      </x:c>
      <x:c r="G1432" s="27" t="str">
        <x:v>S16</x:v>
      </x:c>
      <x:c r="H1432" s="27" t="str">
        <x:v>Mathematics</x:v>
      </x:c>
      <x:c r="I1432" s="27" t="str">
        <x:v>SRC09</x:v>
      </x:c>
      <x:c r="J1432" s="27" t="str">
        <x:v>Observable evidence of usable learning.</x:v>
      </x:c>
    </x:row>
    <x:row r="1433">
      <x:c r="A1433" s="27" t="str">
        <x:v>E01429</x:v>
      </x:c>
      <x:c r="B1433" s="27" t="str">
        <x:v>S16-MATH-01</x:v>
      </x:c>
      <x:c r="C1433" s="27" t="str">
        <x:v>Previous node in domain progression</x:v>
      </x:c>
      <x:c r="D1433" s="27" t="str">
        <x:v>DOMAIN_SEQUENCE</x:v>
      </x:c>
      <x:c r="E1433" s="27" t="str">
        <x:v>S16-MATH-02</x:v>
      </x:c>
      <x:c r="F1433" s="27" t="str">
        <x:v>Multi-digit multiplication and division</x:v>
      </x:c>
      <x:c r="G1433" s="27" t="str">
        <x:v>S16</x:v>
      </x:c>
      <x:c r="H1433" s="27" t="str">
        <x:v>Mathematics</x:v>
      </x:c>
      <x:c r="I1433" s="27" t="str">
        <x:v>SRC09</x:v>
      </x:c>
      <x:c r="J1433" s="27" t="str">
        <x:v>Ordered spiral link; consult explicit prerequisites for logical dependency.</x:v>
      </x:c>
    </x:row>
    <x:row r="1434">
      <x:c r="A1434" s="27" t="str">
        <x:v>E01430</x:v>
      </x:c>
      <x:c r="B1434" s="27" t="str">
        <x:v>S16-MATH-02:PREREQ</x:v>
      </x:c>
      <x:c r="C1434" s="27" t="str">
        <x:v>Multiplication/division within 100, place value, area models, and properties.</x:v>
      </x:c>
      <x:c r="D1434" s="27" t="str">
        <x:v>PREREQUISITE</x:v>
      </x:c>
      <x:c r="E1434" s="27" t="str">
        <x:v>S16-MATH-02</x:v>
      </x:c>
      <x:c r="F1434" s="27" t="str">
        <x:v>Multi-digit multiplication and division</x:v>
      </x:c>
      <x:c r="G1434" s="27" t="str">
        <x:v>S16</x:v>
      </x:c>
      <x:c r="H1434" s="27" t="str">
        <x:v>Mathematics</x:v>
      </x:c>
      <x:c r="I1434" s="27" t="str">
        <x:v>SRC09</x:v>
      </x:c>
      <x:c r="J1434" s="27" t="str">
        <x:v>Incoming prerequisite relationship.</x:v>
      </x:c>
    </x:row>
    <x:row r="1435">
      <x:c r="A1435" s="27" t="str">
        <x:v>E01431</x:v>
      </x:c>
      <x:c r="B1435" s="27" t="str">
        <x:v>S16-MATH-02:GROUND</x:v>
      </x:c>
      <x:c r="C1435" s="27" t="str">
        <x:v>G4/G5 — Concrete model linked to coordinated representations</x:v>
      </x:c>
      <x:c r="D1435" s="27" t="str">
        <x:v>GROUNDED_BY</x:v>
      </x:c>
      <x:c r="E1435" s="27" t="str">
        <x:v>S16-MATH-02</x:v>
      </x:c>
      <x:c r="F1435" s="27" t="str">
        <x:v>Multi-digit multiplication and division</x:v>
      </x:c>
      <x:c r="G1435" s="27" t="str">
        <x:v>S16</x:v>
      </x:c>
      <x:c r="H1435" s="27" t="str">
        <x:v>Mathematics</x:v>
      </x:c>
      <x:c r="I1435" s="27" t="str">
        <x:v>SRC09</x:v>
      </x:c>
      <x:c r="J1435" s="27" t="str">
        <x:v>Grounding form used to preserve meaning.</x:v>
      </x:c>
    </x:row>
    <x:row r="1436">
      <x:c r="A1436" s="27" t="str">
        <x:v>E01432</x:v>
      </x:c>
      <x:c r="B1436" s="27" t="str">
        <x:v>S16-MATH-02</x:v>
      </x:c>
      <x:c r="C1436" s="27" t="str">
        <x:v>Multi-digit multiplication and division</x:v>
      </x:c>
      <x:c r="D1436" s="27" t="str">
        <x:v>CONNECTS_TO</x:v>
      </x:c>
      <x:c r="E1436" s="27" t="str">
        <x:v>S16-MATH-02:CROSS</x:v>
      </x:c>
      <x:c r="F1436" s="27" t="str">
        <x:v>Physical quantity and spatial action; science measurement/models; computing/algorithms; finance; music rhythm/pattern; geographic data.</x:v>
      </x:c>
      <x:c r="G1436" s="27" t="str">
        <x:v>S16</x:v>
      </x:c>
      <x:c r="H1436" s="27" t="str">
        <x:v>Mathematics</x:v>
      </x:c>
      <x:c r="I1436" s="27" t="str">
        <x:v>SRC09</x:v>
      </x:c>
      <x:c r="J1436" s="27" t="str">
        <x:v>Parallel subject and representation links.</x:v>
      </x:c>
    </x:row>
    <x:row r="1437">
      <x:c r="A1437" s="27" t="str">
        <x:v>E01433</x:v>
      </x:c>
      <x:c r="B1437" s="27" t="str">
        <x:v>S16-MATH-02</x:v>
      </x:c>
      <x:c r="C1437" s="27" t="str">
        <x:v>Multi-digit multiplication and division</x:v>
      </x:c>
      <x:c r="D1437" s="27" t="str">
        <x:v>UNLOCKS</x:v>
      </x:c>
      <x:c r="E1437" s="27" t="str">
        <x:v>S16-MATH-02:NEXT</x:v>
      </x:c>
      <x:c r="F1437" s="27" t="str">
        <x:v>Partial products/quotients connect distributive reasoning to standard algorithms.</x:v>
      </x:c>
      <x:c r="G1437" s="27" t="str">
        <x:v>S16</x:v>
      </x:c>
      <x:c r="H1437" s="27" t="str">
        <x:v>Mathematics</x:v>
      </x:c>
      <x:c r="I1437" s="27" t="str">
        <x:v>SRC09</x:v>
      </x:c>
      <x:c r="J1437" s="27" t="str">
        <x:v>Outgoing use and placement rationale.</x:v>
      </x:c>
    </x:row>
    <x:row r="1438">
      <x:c r="A1438" s="27" t="str">
        <x:v>E01434</x:v>
      </x:c>
      <x:c r="B1438" s="27" t="str">
        <x:v>S16-MATH-02</x:v>
      </x:c>
      <x:c r="C1438" s="27" t="str">
        <x:v>Multi-digit multiplication and division</x:v>
      </x:c>
      <x:c r="D1438" s="27" t="str">
        <x:v>VERIFIED_BY</x:v>
      </x:c>
      <x:c r="E1438" s="27" t="str">
        <x:v>S16-MATH-02:EVIDENCE</x:v>
      </x:c>
      <x:c r="F1438" s="27" t="str">
        <x:v>Computes and explains the units and partial results represented in an algorithm.</x:v>
      </x:c>
      <x:c r="G1438" s="27" t="str">
        <x:v>S16</x:v>
      </x:c>
      <x:c r="H1438" s="27" t="str">
        <x:v>Mathematics</x:v>
      </x:c>
      <x:c r="I1438" s="27" t="str">
        <x:v>SRC09</x:v>
      </x:c>
      <x:c r="J1438" s="27" t="str">
        <x:v>Observable evidence of usable learning.</x:v>
      </x:c>
    </x:row>
    <x:row r="1439">
      <x:c r="A1439" s="27" t="str">
        <x:v>E01435</x:v>
      </x:c>
      <x:c r="B1439" s="27" t="str">
        <x:v>S16-MATH-02</x:v>
      </x:c>
      <x:c r="C1439" s="27" t="str">
        <x:v>Previous node in domain progression</x:v>
      </x:c>
      <x:c r="D1439" s="27" t="str">
        <x:v>DOMAIN_SEQUENCE</x:v>
      </x:c>
      <x:c r="E1439" s="27" t="str">
        <x:v>S16-MATH-03</x:v>
      </x:c>
      <x:c r="F1439" s="27" t="str">
        <x:v>Factors, multiples, prime/composite, and rules</x:v>
      </x:c>
      <x:c r="G1439" s="27" t="str">
        <x:v>S16</x:v>
      </x:c>
      <x:c r="H1439" s="27" t="str">
        <x:v>Mathematics</x:v>
      </x:c>
      <x:c r="I1439" s="27" t="str">
        <x:v>SRC09</x:v>
      </x:c>
      <x:c r="J1439" s="27" t="str">
        <x:v>Ordered spiral link; consult explicit prerequisites for logical dependency.</x:v>
      </x:c>
    </x:row>
    <x:row r="1440">
      <x:c r="A1440" s="27" t="str">
        <x:v>E01436</x:v>
      </x:c>
      <x:c r="B1440" s="27" t="str">
        <x:v>S16-MATH-03:PREREQ</x:v>
      </x:c>
      <x:c r="C1440" s="27" t="str">
        <x:v>Multiplication fluency and repeating-pattern generalization.</x:v>
      </x:c>
      <x:c r="D1440" s="27" t="str">
        <x:v>PREREQUISITE</x:v>
      </x:c>
      <x:c r="E1440" s="27" t="str">
        <x:v>S16-MATH-03</x:v>
      </x:c>
      <x:c r="F1440" s="27" t="str">
        <x:v>Factors, multiples, prime/composite, and rules</x:v>
      </x:c>
      <x:c r="G1440" s="27" t="str">
        <x:v>S16</x:v>
      </x:c>
      <x:c r="H1440" s="27" t="str">
        <x:v>Mathematics</x:v>
      </x:c>
      <x:c r="I1440" s="27" t="str">
        <x:v>SRC09</x:v>
      </x:c>
      <x:c r="J1440" s="27" t="str">
        <x:v>Incoming prerequisite relationship.</x:v>
      </x:c>
    </x:row>
    <x:row r="1441">
      <x:c r="A1441" s="27" t="str">
        <x:v>E01437</x:v>
      </x:c>
      <x:c r="B1441" s="27" t="str">
        <x:v>S16-MATH-03:GROUND</x:v>
      </x:c>
      <x:c r="C1441" s="27" t="str">
        <x:v>G4/G5 — Concrete model linked to coordinated representations</x:v>
      </x:c>
      <x:c r="D1441" s="27" t="str">
        <x:v>GROUNDED_BY</x:v>
      </x:c>
      <x:c r="E1441" s="27" t="str">
        <x:v>S16-MATH-03</x:v>
      </x:c>
      <x:c r="F1441" s="27" t="str">
        <x:v>Factors, multiples, prime/composite, and rules</x:v>
      </x:c>
      <x:c r="G1441" s="27" t="str">
        <x:v>S16</x:v>
      </x:c>
      <x:c r="H1441" s="27" t="str">
        <x:v>Mathematics</x:v>
      </x:c>
      <x:c r="I1441" s="27" t="str">
        <x:v>SRC09</x:v>
      </x:c>
      <x:c r="J1441" s="27" t="str">
        <x:v>Grounding form used to preserve meaning.</x:v>
      </x:c>
    </x:row>
    <x:row r="1442">
      <x:c r="A1442" s="27" t="str">
        <x:v>E01438</x:v>
      </x:c>
      <x:c r="B1442" s="27" t="str">
        <x:v>S16-MATH-03</x:v>
      </x:c>
      <x:c r="C1442" s="27" t="str">
        <x:v>Factors, multiples, prime/composite, and rules</x:v>
      </x:c>
      <x:c r="D1442" s="27" t="str">
        <x:v>CONNECTS_TO</x:v>
      </x:c>
      <x:c r="E1442" s="27" t="str">
        <x:v>S16-MATH-03:CROSS</x:v>
      </x:c>
      <x:c r="F1442" s="27" t="str">
        <x:v>Physical quantity and spatial action; science measurement/models; computing/algorithms; finance; music rhythm/pattern; geographic data.</x:v>
      </x:c>
      <x:c r="G1442" s="27" t="str">
        <x:v>S16</x:v>
      </x:c>
      <x:c r="H1442" s="27" t="str">
        <x:v>Mathematics</x:v>
      </x:c>
      <x:c r="I1442" s="27" t="str">
        <x:v>SRC09</x:v>
      </x:c>
      <x:c r="J1442" s="27" t="str">
        <x:v>Parallel subject and representation links.</x:v>
      </x:c>
    </x:row>
    <x:row r="1443">
      <x:c r="A1443" s="27" t="str">
        <x:v>E01439</x:v>
      </x:c>
      <x:c r="B1443" s="27" t="str">
        <x:v>S16-MATH-03</x:v>
      </x:c>
      <x:c r="C1443" s="27" t="str">
        <x:v>Factors, multiples, prime/composite, and rules</x:v>
      </x:c>
      <x:c r="D1443" s="27" t="str">
        <x:v>UNLOCKS</x:v>
      </x:c>
      <x:c r="E1443" s="27" t="str">
        <x:v>S16-MATH-03:NEXT</x:v>
      </x:c>
      <x:c r="F1443" s="27" t="str">
        <x:v>Factor structure supports fraction equivalence, divisibility, algebra, and number theory.</x:v>
      </x:c>
      <x:c r="G1443" s="27" t="str">
        <x:v>S16</x:v>
      </x:c>
      <x:c r="H1443" s="27" t="str">
        <x:v>Mathematics</x:v>
      </x:c>
      <x:c r="I1443" s="27" t="str">
        <x:v>SRC09</x:v>
      </x:c>
      <x:c r="J1443" s="27" t="str">
        <x:v>Outgoing use and placement rationale.</x:v>
      </x:c>
    </x:row>
    <x:row r="1444">
      <x:c r="A1444" s="27" t="str">
        <x:v>E01440</x:v>
      </x:c>
      <x:c r="B1444" s="27" t="str">
        <x:v>S16-MATH-03</x:v>
      </x:c>
      <x:c r="C1444" s="27" t="str">
        <x:v>Factors, multiples, prime/composite, and rules</x:v>
      </x:c>
      <x:c r="D1444" s="27" t="str">
        <x:v>VERIFIED_BY</x:v>
      </x:c>
      <x:c r="E1444" s="27" t="str">
        <x:v>S16-MATH-03:EVIDENCE</x:v>
      </x:c>
      <x:c r="F1444" s="27" t="str">
        <x:v>Generates factors/multiples and explains a pattern feature beyond the stated rule.</x:v>
      </x:c>
      <x:c r="G1444" s="27" t="str">
        <x:v>S16</x:v>
      </x:c>
      <x:c r="H1444" s="27" t="str">
        <x:v>Mathematics</x:v>
      </x:c>
      <x:c r="I1444" s="27" t="str">
        <x:v>SRC09</x:v>
      </x:c>
      <x:c r="J1444" s="27" t="str">
        <x:v>Observable evidence of usable learning.</x:v>
      </x:c>
    </x:row>
    <x:row r="1445">
      <x:c r="A1445" s="27" t="str">
        <x:v>E01441</x:v>
      </x:c>
      <x:c r="B1445" s="27" t="str">
        <x:v>S16-MATH-03</x:v>
      </x:c>
      <x:c r="C1445" s="27" t="str">
        <x:v>Previous node in domain progression</x:v>
      </x:c>
      <x:c r="D1445" s="27" t="str">
        <x:v>DOMAIN_SEQUENCE</x:v>
      </x:c>
      <x:c r="E1445" s="27" t="str">
        <x:v>S16-MATH-04</x:v>
      </x:c>
      <x:c r="F1445" s="27" t="str">
        <x:v>Equivalence, comparison, and common-denominator addition</x:v>
      </x:c>
      <x:c r="G1445" s="27" t="str">
        <x:v>S16</x:v>
      </x:c>
      <x:c r="H1445" s="27" t="str">
        <x:v>Mathematics</x:v>
      </x:c>
      <x:c r="I1445" s="27" t="str">
        <x:v>SRC09</x:v>
      </x:c>
      <x:c r="J1445" s="27" t="str">
        <x:v>Ordered spiral link; consult explicit prerequisites for logical dependency.</x:v>
      </x:c>
    </x:row>
    <x:row r="1446">
      <x:c r="A1446" s="27" t="str">
        <x:v>E01442</x:v>
      </x:c>
      <x:c r="B1446" s="27" t="str">
        <x:v>S16-MATH-04:PREREQ</x:v>
      </x:c>
      <x:c r="C1446" s="27" t="str">
        <x:v>Fractions as numbers, multiplication, and factors.</x:v>
      </x:c>
      <x:c r="D1446" s="27" t="str">
        <x:v>PREREQUISITE</x:v>
      </x:c>
      <x:c r="E1446" s="27" t="str">
        <x:v>S16-MATH-04</x:v>
      </x:c>
      <x:c r="F1446" s="27" t="str">
        <x:v>Equivalence, comparison, and common-denominator addition</x:v>
      </x:c>
      <x:c r="G1446" s="27" t="str">
        <x:v>S16</x:v>
      </x:c>
      <x:c r="H1446" s="27" t="str">
        <x:v>Mathematics</x:v>
      </x:c>
      <x:c r="I1446" s="27" t="str">
        <x:v>SRC09</x:v>
      </x:c>
      <x:c r="J1446" s="27" t="str">
        <x:v>Incoming prerequisite relationship.</x:v>
      </x:c>
    </x:row>
    <x:row r="1447">
      <x:c r="A1447" s="27" t="str">
        <x:v>E01443</x:v>
      </x:c>
      <x:c r="B1447" s="27" t="str">
        <x:v>S16-MATH-04:GROUND</x:v>
      </x:c>
      <x:c r="C1447" s="27" t="str">
        <x:v>G4/G5 — Concrete model linked to coordinated representations</x:v>
      </x:c>
      <x:c r="D1447" s="27" t="str">
        <x:v>GROUNDED_BY</x:v>
      </x:c>
      <x:c r="E1447" s="27" t="str">
        <x:v>S16-MATH-04</x:v>
      </x:c>
      <x:c r="F1447" s="27" t="str">
        <x:v>Equivalence, comparison, and common-denominator addition</x:v>
      </x:c>
      <x:c r="G1447" s="27" t="str">
        <x:v>S16</x:v>
      </x:c>
      <x:c r="H1447" s="27" t="str">
        <x:v>Mathematics</x:v>
      </x:c>
      <x:c r="I1447" s="27" t="str">
        <x:v>SRC09</x:v>
      </x:c>
      <x:c r="J1447" s="27" t="str">
        <x:v>Grounding form used to preserve meaning.</x:v>
      </x:c>
    </x:row>
    <x:row r="1448">
      <x:c r="A1448" s="27" t="str">
        <x:v>E01444</x:v>
      </x:c>
      <x:c r="B1448" s="27" t="str">
        <x:v>S16-MATH-04</x:v>
      </x:c>
      <x:c r="C1448" s="27" t="str">
        <x:v>Equivalence, comparison, and common-denominator addition</x:v>
      </x:c>
      <x:c r="D1448" s="27" t="str">
        <x:v>CONNECTS_TO</x:v>
      </x:c>
      <x:c r="E1448" s="27" t="str">
        <x:v>S16-MATH-04:CROSS</x:v>
      </x:c>
      <x:c r="F1448" s="27" t="str">
        <x:v>Physical quantity and spatial action; science measurement/models; computing/algorithms; finance; music rhythm/pattern; geographic data.</x:v>
      </x:c>
      <x:c r="G1448" s="27" t="str">
        <x:v>S16</x:v>
      </x:c>
      <x:c r="H1448" s="27" t="str">
        <x:v>Mathematics</x:v>
      </x:c>
      <x:c r="I1448" s="27" t="str">
        <x:v>SRC09</x:v>
      </x:c>
      <x:c r="J1448" s="27" t="str">
        <x:v>Parallel subject and representation links.</x:v>
      </x:c>
    </x:row>
    <x:row r="1449">
      <x:c r="A1449" s="27" t="str">
        <x:v>E01445</x:v>
      </x:c>
      <x:c r="B1449" s="27" t="str">
        <x:v>S16-MATH-04</x:v>
      </x:c>
      <x:c r="C1449" s="27" t="str">
        <x:v>Equivalence, comparison, and common-denominator addition</x:v>
      </x:c>
      <x:c r="D1449" s="27" t="str">
        <x:v>UNLOCKS</x:v>
      </x:c>
      <x:c r="E1449" s="27" t="str">
        <x:v>S16-MATH-04:NEXT</x:v>
      </x:c>
      <x:c r="F1449" s="27" t="str">
        <x:v>Equivalent units are the prerequisite for operations with unlike denominators.</x:v>
      </x:c>
      <x:c r="G1449" s="27" t="str">
        <x:v>S16</x:v>
      </x:c>
      <x:c r="H1449" s="27" t="str">
        <x:v>Mathematics</x:v>
      </x:c>
      <x:c r="I1449" s="27" t="str">
        <x:v>SRC09</x:v>
      </x:c>
      <x:c r="J1449" s="27" t="str">
        <x:v>Outgoing use and placement rationale.</x:v>
      </x:c>
    </x:row>
    <x:row r="1450">
      <x:c r="A1450" s="27" t="str">
        <x:v>E01446</x:v>
      </x:c>
      <x:c r="B1450" s="27" t="str">
        <x:v>S16-MATH-04</x:v>
      </x:c>
      <x:c r="C1450" s="27" t="str">
        <x:v>Equivalence, comparison, and common-denominator addition</x:v>
      </x:c>
      <x:c r="D1450" s="27" t="str">
        <x:v>VERIFIED_BY</x:v>
      </x:c>
      <x:c r="E1450" s="27" t="str">
        <x:v>S16-MATH-04:EVIDENCE</x:v>
      </x:c>
      <x:c r="F1450" s="27" t="str">
        <x:v>Uses a model or equation to justify equivalence and an addition/subtraction result.</x:v>
      </x:c>
      <x:c r="G1450" s="27" t="str">
        <x:v>S16</x:v>
      </x:c>
      <x:c r="H1450" s="27" t="str">
        <x:v>Mathematics</x:v>
      </x:c>
      <x:c r="I1450" s="27" t="str">
        <x:v>SRC09</x:v>
      </x:c>
      <x:c r="J1450" s="27" t="str">
        <x:v>Observable evidence of usable learning.</x:v>
      </x:c>
    </x:row>
    <x:row r="1451">
      <x:c r="A1451" s="27" t="str">
        <x:v>E01447</x:v>
      </x:c>
      <x:c r="B1451" s="27" t="str">
        <x:v>S16-MATH-04</x:v>
      </x:c>
      <x:c r="C1451" s="27" t="str">
        <x:v>Previous node in domain progression</x:v>
      </x:c>
      <x:c r="D1451" s="27" t="str">
        <x:v>DOMAIN_SEQUENCE</x:v>
      </x:c>
      <x:c r="E1451" s="27" t="str">
        <x:v>S16-MATH-05</x:v>
      </x:c>
      <x:c r="F1451" s="27" t="str">
        <x:v>Fraction by whole number</x:v>
      </x:c>
      <x:c r="G1451" s="27" t="str">
        <x:v>S16</x:v>
      </x:c>
      <x:c r="H1451" s="27" t="str">
        <x:v>Mathematics</x:v>
      </x:c>
      <x:c r="I1451" s="27" t="str">
        <x:v>SRC09</x:v>
      </x:c>
      <x:c r="J1451" s="27" t="str">
        <x:v>Ordered spiral link; consult explicit prerequisites for logical dependency.</x:v>
      </x:c>
    </x:row>
    <x:row r="1452">
      <x:c r="A1452" s="27" t="str">
        <x:v>E01448</x:v>
      </x:c>
      <x:c r="B1452" s="27" t="str">
        <x:v>S16-MATH-05:PREREQ</x:v>
      </x:c>
      <x:c r="C1452" s="27" t="str">
        <x:v>Fraction meaning and whole-number multiplication.</x:v>
      </x:c>
      <x:c r="D1452" s="27" t="str">
        <x:v>PREREQUISITE</x:v>
      </x:c>
      <x:c r="E1452" s="27" t="str">
        <x:v>S16-MATH-05</x:v>
      </x:c>
      <x:c r="F1452" s="27" t="str">
        <x:v>Fraction by whole number</x:v>
      </x:c>
      <x:c r="G1452" s="27" t="str">
        <x:v>S16</x:v>
      </x:c>
      <x:c r="H1452" s="27" t="str">
        <x:v>Mathematics</x:v>
      </x:c>
      <x:c r="I1452" s="27" t="str">
        <x:v>SRC09</x:v>
      </x:c>
      <x:c r="J1452" s="27" t="str">
        <x:v>Incoming prerequisite relationship.</x:v>
      </x:c>
    </x:row>
    <x:row r="1453">
      <x:c r="A1453" s="27" t="str">
        <x:v>E01449</x:v>
      </x:c>
      <x:c r="B1453" s="27" t="str">
        <x:v>S16-MATH-05:GROUND</x:v>
      </x:c>
      <x:c r="C1453" s="27" t="str">
        <x:v>G4/G5 — Concrete model linked to coordinated representations</x:v>
      </x:c>
      <x:c r="D1453" s="27" t="str">
        <x:v>GROUNDED_BY</x:v>
      </x:c>
      <x:c r="E1453" s="27" t="str">
        <x:v>S16-MATH-05</x:v>
      </x:c>
      <x:c r="F1453" s="27" t="str">
        <x:v>Fraction by whole number</x:v>
      </x:c>
      <x:c r="G1453" s="27" t="str">
        <x:v>S16</x:v>
      </x:c>
      <x:c r="H1453" s="27" t="str">
        <x:v>Mathematics</x:v>
      </x:c>
      <x:c r="I1453" s="27" t="str">
        <x:v>SRC09</x:v>
      </x:c>
      <x:c r="J1453" s="27" t="str">
        <x:v>Grounding form used to preserve meaning.</x:v>
      </x:c>
    </x:row>
    <x:row r="1454">
      <x:c r="A1454" s="27" t="str">
        <x:v>E01450</x:v>
      </x:c>
      <x:c r="B1454" s="27" t="str">
        <x:v>S16-MATH-05</x:v>
      </x:c>
      <x:c r="C1454" s="27" t="str">
        <x:v>Fraction by whole number</x:v>
      </x:c>
      <x:c r="D1454" s="27" t="str">
        <x:v>CONNECTS_TO</x:v>
      </x:c>
      <x:c r="E1454" s="27" t="str">
        <x:v>S16-MATH-05:CROSS</x:v>
      </x:c>
      <x:c r="F1454" s="27" t="str">
        <x:v>Physical quantity and spatial action; science measurement/models; computing/algorithms; finance; music rhythm/pattern; geographic data.</x:v>
      </x:c>
      <x:c r="G1454" s="27" t="str">
        <x:v>S16</x:v>
      </x:c>
      <x:c r="H1454" s="27" t="str">
        <x:v>Mathematics</x:v>
      </x:c>
      <x:c r="I1454" s="27" t="str">
        <x:v>SRC09</x:v>
      </x:c>
      <x:c r="J1454" s="27" t="str">
        <x:v>Parallel subject and representation links.</x:v>
      </x:c>
    </x:row>
    <x:row r="1455">
      <x:c r="A1455" s="27" t="str">
        <x:v>E01451</x:v>
      </x:c>
      <x:c r="B1455" s="27" t="str">
        <x:v>S16-MATH-05</x:v>
      </x:c>
      <x:c r="C1455" s="27" t="str">
        <x:v>Fraction by whole number</x:v>
      </x:c>
      <x:c r="D1455" s="27" t="str">
        <x:v>UNLOCKS</x:v>
      </x:c>
      <x:c r="E1455" s="27" t="str">
        <x:v>S16-MATH-05:NEXT</x:v>
      </x:c>
      <x:c r="F1455" s="27" t="str">
        <x:v>Fraction multiplication generalizes multiplication beyond whole-number repeated addition.</x:v>
      </x:c>
      <x:c r="G1455" s="27" t="str">
        <x:v>S16</x:v>
      </x:c>
      <x:c r="H1455" s="27" t="str">
        <x:v>Mathematics</x:v>
      </x:c>
      <x:c r="I1455" s="27" t="str">
        <x:v>SRC09</x:v>
      </x:c>
      <x:c r="J1455" s="27" t="str">
        <x:v>Outgoing use and placement rationale.</x:v>
      </x:c>
    </x:row>
    <x:row r="1456">
      <x:c r="A1456" s="27" t="str">
        <x:v>E01452</x:v>
      </x:c>
      <x:c r="B1456" s="27" t="str">
        <x:v>S16-MATH-05</x:v>
      </x:c>
      <x:c r="C1456" s="27" t="str">
        <x:v>Fraction by whole number</x:v>
      </x:c>
      <x:c r="D1456" s="27" t="str">
        <x:v>VERIFIED_BY</x:v>
      </x:c>
      <x:c r="E1456" s="27" t="str">
        <x:v>S16-MATH-05:EVIDENCE</x:v>
      </x:c>
      <x:c r="F1456" s="27" t="str">
        <x:v>Models and solves a fraction-of-a-whole-number situation and explains the unit.</x:v>
      </x:c>
      <x:c r="G1456" s="27" t="str">
        <x:v>S16</x:v>
      </x:c>
      <x:c r="H1456" s="27" t="str">
        <x:v>Mathematics</x:v>
      </x:c>
      <x:c r="I1456" s="27" t="str">
        <x:v>SRC09</x:v>
      </x:c>
      <x:c r="J1456" s="27" t="str">
        <x:v>Observable evidence of usable learning.</x:v>
      </x:c>
    </x:row>
    <x:row r="1457">
      <x:c r="A1457" s="27" t="str">
        <x:v>E01453</x:v>
      </x:c>
      <x:c r="B1457" s="27" t="str">
        <x:v>S16-MATH-05</x:v>
      </x:c>
      <x:c r="C1457" s="27" t="str">
        <x:v>Previous node in domain progression</x:v>
      </x:c>
      <x:c r="D1457" s="27" t="str">
        <x:v>DOMAIN_SEQUENCE</x:v>
      </x:c>
      <x:c r="E1457" s="27" t="str">
        <x:v>S16-MATH-06</x:v>
      </x:c>
      <x:c r="F1457" s="27" t="str">
        <x:v>Tenths and hundredths</x:v>
      </x:c>
      <x:c r="G1457" s="27" t="str">
        <x:v>S16</x:v>
      </x:c>
      <x:c r="H1457" s="27" t="str">
        <x:v>Mathematics</x:v>
      </x:c>
      <x:c r="I1457" s="27" t="str">
        <x:v>SRC09</x:v>
      </x:c>
      <x:c r="J1457" s="27" t="str">
        <x:v>Ordered spiral link; consult explicit prerequisites for logical dependency.</x:v>
      </x:c>
    </x:row>
    <x:row r="1458">
      <x:c r="A1458" s="27" t="str">
        <x:v>E01454</x:v>
      </x:c>
      <x:c r="B1458" s="27" t="str">
        <x:v>S16-MATH-06:PREREQ</x:v>
      </x:c>
      <x:c r="C1458" s="27" t="str">
        <x:v>Base-ten structure and fraction equivalence.</x:v>
      </x:c>
      <x:c r="D1458" s="27" t="str">
        <x:v>PREREQUISITE</x:v>
      </x:c>
      <x:c r="E1458" s="27" t="str">
        <x:v>S16-MATH-06</x:v>
      </x:c>
      <x:c r="F1458" s="27" t="str">
        <x:v>Tenths and hundredths</x:v>
      </x:c>
      <x:c r="G1458" s="27" t="str">
        <x:v>S16</x:v>
      </x:c>
      <x:c r="H1458" s="27" t="str">
        <x:v>Mathematics</x:v>
      </x:c>
      <x:c r="I1458" s="27" t="str">
        <x:v>SRC09</x:v>
      </x:c>
      <x:c r="J1458" s="27" t="str">
        <x:v>Incoming prerequisite relationship.</x:v>
      </x:c>
    </x:row>
    <x:row r="1459">
      <x:c r="A1459" s="27" t="str">
        <x:v>E01455</x:v>
      </x:c>
      <x:c r="B1459" s="27" t="str">
        <x:v>S16-MATH-06:GROUND</x:v>
      </x:c>
      <x:c r="C1459" s="27" t="str">
        <x:v>G4/G5 — Concrete model linked to coordinated representations</x:v>
      </x:c>
      <x:c r="D1459" s="27" t="str">
        <x:v>GROUNDED_BY</x:v>
      </x:c>
      <x:c r="E1459" s="27" t="str">
        <x:v>S16-MATH-06</x:v>
      </x:c>
      <x:c r="F1459" s="27" t="str">
        <x:v>Tenths and hundredths</x:v>
      </x:c>
      <x:c r="G1459" s="27" t="str">
        <x:v>S16</x:v>
      </x:c>
      <x:c r="H1459" s="27" t="str">
        <x:v>Mathematics</x:v>
      </x:c>
      <x:c r="I1459" s="27" t="str">
        <x:v>SRC09</x:v>
      </x:c>
      <x:c r="J1459" s="27" t="str">
        <x:v>Grounding form used to preserve meaning.</x:v>
      </x:c>
    </x:row>
    <x:row r="1460">
      <x:c r="A1460" s="27" t="str">
        <x:v>E01456</x:v>
      </x:c>
      <x:c r="B1460" s="27" t="str">
        <x:v>S16-MATH-06</x:v>
      </x:c>
      <x:c r="C1460" s="27" t="str">
        <x:v>Tenths and hundredths</x:v>
      </x:c>
      <x:c r="D1460" s="27" t="str">
        <x:v>CONNECTS_TO</x:v>
      </x:c>
      <x:c r="E1460" s="27" t="str">
        <x:v>S16-MATH-06:CROSS</x:v>
      </x:c>
      <x:c r="F1460" s="27" t="str">
        <x:v>Physical quantity and spatial action; science measurement/models; computing/algorithms; finance; music rhythm/pattern; geographic data.</x:v>
      </x:c>
      <x:c r="G1460" s="27" t="str">
        <x:v>S16</x:v>
      </x:c>
      <x:c r="H1460" s="27" t="str">
        <x:v>Mathematics</x:v>
      </x:c>
      <x:c r="I1460" s="27" t="str">
        <x:v>SRC09</x:v>
      </x:c>
      <x:c r="J1460" s="27" t="str">
        <x:v>Parallel subject and representation links.</x:v>
      </x:c>
    </x:row>
    <x:row r="1461">
      <x:c r="A1461" s="27" t="str">
        <x:v>E01457</x:v>
      </x:c>
      <x:c r="B1461" s="27" t="str">
        <x:v>S16-MATH-06</x:v>
      </x:c>
      <x:c r="C1461" s="27" t="str">
        <x:v>Tenths and hundredths</x:v>
      </x:c>
      <x:c r="D1461" s="27" t="str">
        <x:v>UNLOCKS</x:v>
      </x:c>
      <x:c r="E1461" s="27" t="str">
        <x:v>S16-MATH-06:NEXT</x:v>
      </x:c>
      <x:c r="F1461" s="27" t="str">
        <x:v>Decimals join place value and fractions and prepare metric/financial calculations.</x:v>
      </x:c>
      <x:c r="G1461" s="27" t="str">
        <x:v>S16</x:v>
      </x:c>
      <x:c r="H1461" s="27" t="str">
        <x:v>Mathematics</x:v>
      </x:c>
      <x:c r="I1461" s="27" t="str">
        <x:v>SRC09</x:v>
      </x:c>
      <x:c r="J1461" s="27" t="str">
        <x:v>Outgoing use and placement rationale.</x:v>
      </x:c>
    </x:row>
    <x:row r="1462">
      <x:c r="A1462" s="27" t="str">
        <x:v>E01458</x:v>
      </x:c>
      <x:c r="B1462" s="27" t="str">
        <x:v>S16-MATH-06</x:v>
      </x:c>
      <x:c r="C1462" s="27" t="str">
        <x:v>Tenths and hundredths</x:v>
      </x:c>
      <x:c r="D1462" s="27" t="str">
        <x:v>VERIFIED_BY</x:v>
      </x:c>
      <x:c r="E1462" s="27" t="str">
        <x:v>S16-MATH-06:EVIDENCE</x:v>
      </x:c>
      <x:c r="F1462" s="27" t="str">
        <x:v>Represents the same value as fraction, decimal, grid, and number-line point.</x:v>
      </x:c>
      <x:c r="G1462" s="27" t="str">
        <x:v>S16</x:v>
      </x:c>
      <x:c r="H1462" s="27" t="str">
        <x:v>Mathematics</x:v>
      </x:c>
      <x:c r="I1462" s="27" t="str">
        <x:v>SRC09</x:v>
      </x:c>
      <x:c r="J1462" s="27" t="str">
        <x:v>Observable evidence of usable learning.</x:v>
      </x:c>
    </x:row>
    <x:row r="1463">
      <x:c r="A1463" s="27" t="str">
        <x:v>E01459</x:v>
      </x:c>
      <x:c r="B1463" s="27" t="str">
        <x:v>S16-MATH-06</x:v>
      </x:c>
      <x:c r="C1463" s="27" t="str">
        <x:v>Previous node in domain progression</x:v>
      </x:c>
      <x:c r="D1463" s="27" t="str">
        <x:v>DOMAIN_SEQUENCE</x:v>
      </x:c>
      <x:c r="E1463" s="27" t="str">
        <x:v>S16-MATH-07</x:v>
      </x:c>
      <x:c r="F1463" s="27" t="str">
        <x:v>Angles, lines, symmetry, and measurement conversion</x:v>
      </x:c>
      <x:c r="G1463" s="27" t="str">
        <x:v>S16</x:v>
      </x:c>
      <x:c r="H1463" s="27" t="str">
        <x:v>Mathematics</x:v>
      </x:c>
      <x:c r="I1463" s="27" t="str">
        <x:v>SRC09</x:v>
      </x:c>
      <x:c r="J1463" s="27" t="str">
        <x:v>Ordered spiral link; consult explicit prerequisites for logical dependency.</x:v>
      </x:c>
    </x:row>
    <x:row r="1464">
      <x:c r="A1464" s="27" t="str">
        <x:v>E01460</x:v>
      </x:c>
      <x:c r="B1464" s="27" t="str">
        <x:v>S16-MATH-07:PREREQ</x:v>
      </x:c>
      <x:c r="C1464" s="27" t="str">
        <x:v>Shape attributes, fraction turns, standard units, and multiplication.</x:v>
      </x:c>
      <x:c r="D1464" s="27" t="str">
        <x:v>PREREQUISITE</x:v>
      </x:c>
      <x:c r="E1464" s="27" t="str">
        <x:v>S16-MATH-07</x:v>
      </x:c>
      <x:c r="F1464" s="27" t="str">
        <x:v>Angles, lines, symmetry, and measurement conversion</x:v>
      </x:c>
      <x:c r="G1464" s="27" t="str">
        <x:v>S16</x:v>
      </x:c>
      <x:c r="H1464" s="27" t="str">
        <x:v>Mathematics</x:v>
      </x:c>
      <x:c r="I1464" s="27" t="str">
        <x:v>SRC09</x:v>
      </x:c>
      <x:c r="J1464" s="27" t="str">
        <x:v>Incoming prerequisite relationship.</x:v>
      </x:c>
    </x:row>
    <x:row r="1465">
      <x:c r="A1465" s="27" t="str">
        <x:v>E01461</x:v>
      </x:c>
      <x:c r="B1465" s="27" t="str">
        <x:v>S16-MATH-07:GROUND</x:v>
      </x:c>
      <x:c r="C1465" s="27" t="str">
        <x:v>G4/G5 — Concrete model linked to coordinated representations</x:v>
      </x:c>
      <x:c r="D1465" s="27" t="str">
        <x:v>GROUNDED_BY</x:v>
      </x:c>
      <x:c r="E1465" s="27" t="str">
        <x:v>S16-MATH-07</x:v>
      </x:c>
      <x:c r="F1465" s="27" t="str">
        <x:v>Angles, lines, symmetry, and measurement conversion</x:v>
      </x:c>
      <x:c r="G1465" s="27" t="str">
        <x:v>S16</x:v>
      </x:c>
      <x:c r="H1465" s="27" t="str">
        <x:v>Mathematics</x:v>
      </x:c>
      <x:c r="I1465" s="27" t="str">
        <x:v>SRC09</x:v>
      </x:c>
      <x:c r="J1465" s="27" t="str">
        <x:v>Grounding form used to preserve meaning.</x:v>
      </x:c>
    </x:row>
    <x:row r="1466">
      <x:c r="A1466" s="27" t="str">
        <x:v>E01462</x:v>
      </x:c>
      <x:c r="B1466" s="27" t="str">
        <x:v>S16-MATH-07</x:v>
      </x:c>
      <x:c r="C1466" s="27" t="str">
        <x:v>Angles, lines, symmetry, and measurement conversion</x:v>
      </x:c>
      <x:c r="D1466" s="27" t="str">
        <x:v>CONNECTS_TO</x:v>
      </x:c>
      <x:c r="E1466" s="27" t="str">
        <x:v>S16-MATH-07:CROSS</x:v>
      </x:c>
      <x:c r="F1466" s="27" t="str">
        <x:v>Physical quantity and spatial action; science measurement/models; computing/algorithms; finance; music rhythm/pattern; geographic data.</x:v>
      </x:c>
      <x:c r="G1466" s="27" t="str">
        <x:v>S16</x:v>
      </x:c>
      <x:c r="H1466" s="27" t="str">
        <x:v>Mathematics</x:v>
      </x:c>
      <x:c r="I1466" s="27" t="str">
        <x:v>SRC09</x:v>
      </x:c>
      <x:c r="J1466" s="27" t="str">
        <x:v>Parallel subject and representation links.</x:v>
      </x:c>
    </x:row>
    <x:row r="1467">
      <x:c r="A1467" s="27" t="str">
        <x:v>E01463</x:v>
      </x:c>
      <x:c r="B1467" s="27" t="str">
        <x:v>S16-MATH-07</x:v>
      </x:c>
      <x:c r="C1467" s="27" t="str">
        <x:v>Angles, lines, symmetry, and measurement conversion</x:v>
      </x:c>
      <x:c r="D1467" s="27" t="str">
        <x:v>UNLOCKS</x:v>
      </x:c>
      <x:c r="E1467" s="27" t="str">
        <x:v>S16-MATH-07:NEXT</x:v>
      </x:c>
      <x:c r="F1467" s="27" t="str">
        <x:v>Angle measure and hierarchical classification formalize geometry; conversions use multiplicative scaling.</x:v>
      </x:c>
      <x:c r="G1467" s="27" t="str">
        <x:v>S16</x:v>
      </x:c>
      <x:c r="H1467" s="27" t="str">
        <x:v>Mathematics</x:v>
      </x:c>
      <x:c r="I1467" s="27" t="str">
        <x:v>SRC09</x:v>
      </x:c>
      <x:c r="J1467" s="27" t="str">
        <x:v>Outgoing use and placement rationale.</x:v>
      </x:c>
    </x:row>
    <x:row r="1468">
      <x:c r="A1468" s="27" t="str">
        <x:v>E01464</x:v>
      </x:c>
      <x:c r="B1468" s="27" t="str">
        <x:v>S16-MATH-07</x:v>
      </x:c>
      <x:c r="C1468" s="27" t="str">
        <x:v>Angles, lines, symmetry, and measurement conversion</x:v>
      </x:c>
      <x:c r="D1468" s="27" t="str">
        <x:v>VERIFIED_BY</x:v>
      </x:c>
      <x:c r="E1468" s="27" t="str">
        <x:v>S16-MATH-07:EVIDENCE</x:v>
      </x:c>
      <x:c r="F1468" s="27" t="str">
        <x:v>Measures/classifies a figure and justifies the category or conversion relationship.</x:v>
      </x:c>
      <x:c r="G1468" s="27" t="str">
        <x:v>S16</x:v>
      </x:c>
      <x:c r="H1468" s="27" t="str">
        <x:v>Mathematics</x:v>
      </x:c>
      <x:c r="I1468" s="27" t="str">
        <x:v>SRC09</x:v>
      </x:c>
      <x:c r="J1468" s="27" t="str">
        <x:v>Observable evidence of usable learning.</x:v>
      </x:c>
    </x:row>
    <x:row r="1469">
      <x:c r="A1469" s="27" t="str">
        <x:v>E01465</x:v>
      </x:c>
      <x:c r="B1469" s="27" t="str">
        <x:v>S15-SCI-03</x:v>
      </x:c>
      <x:c r="C1469" s="27" t="str">
        <x:v>Previous node in domain progression</x:v>
      </x:c>
      <x:c r="D1469" s="27" t="str">
        <x:v>DOMAIN_SEQUENCE</x:v>
      </x:c>
      <x:c r="E1469" s="27" t="str">
        <x:v>S16-SCI-01</x:v>
      </x:c>
      <x:c r="F1469" s="27" t="str">
        <x:v>Energy, motion, waves, and information</x:v>
      </x:c>
      <x:c r="G1469" s="27" t="str">
        <x:v>S16</x:v>
      </x:c>
      <x:c r="H1469" s="27" t="str">
        <x:v>Science &amp; Engineering</x:v>
      </x:c>
      <x:c r="I1469" s="27" t="str">
        <x:v>SRC11</x:v>
      </x:c>
      <x:c r="J1469" s="27" t="str">
        <x:v>Ordered spiral link; consult explicit prerequisites for logical dependency.</x:v>
      </x:c>
    </x:row>
    <x:row r="1470">
      <x:c r="A1470" s="27" t="str">
        <x:v>E01466</x:v>
      </x:c>
      <x:c r="B1470" s="27" t="str">
        <x:v>S16-SCI-01:PREREQ</x:v>
      </x:c>
      <x:c r="C1470" s="27" t="str">
        <x:v>Grade 3 forces/motion, light/sound, measurement, and fractions/graphs.</x:v>
      </x:c>
      <x:c r="D1470" s="27" t="str">
        <x:v>PREREQUISITE</x:v>
      </x:c>
      <x:c r="E1470" s="27" t="str">
        <x:v>S16-SCI-01</x:v>
      </x:c>
      <x:c r="F1470" s="27" t="str">
        <x:v>Energy, motion, waves, and information</x:v>
      </x:c>
      <x:c r="G1470" s="27" t="str">
        <x:v>S16</x:v>
      </x:c>
      <x:c r="H1470" s="27" t="str">
        <x:v>Science &amp; Engineering</x:v>
      </x:c>
      <x:c r="I1470" s="27" t="str">
        <x:v>SRC11</x:v>
      </x:c>
      <x:c r="J1470" s="27" t="str">
        <x:v>Incoming prerequisite relationship.</x:v>
      </x:c>
    </x:row>
    <x:row r="1471">
      <x:c r="A1471" s="27" t="str">
        <x:v>E01467</x:v>
      </x:c>
      <x:c r="B1471" s="27" t="str">
        <x:v>S16-SCI-01:GROUND</x:v>
      </x:c>
      <x:c r="C1471" s="27" t="str">
        <x:v>G4/G5 — Concrete model linked to coordinated representations</x:v>
      </x:c>
      <x:c r="D1471" s="27" t="str">
        <x:v>GROUNDED_BY</x:v>
      </x:c>
      <x:c r="E1471" s="27" t="str">
        <x:v>S16-SCI-01</x:v>
      </x:c>
      <x:c r="F1471" s="27" t="str">
        <x:v>Energy, motion, waves, and information</x:v>
      </x:c>
      <x:c r="G1471" s="27" t="str">
        <x:v>S16</x:v>
      </x:c>
      <x:c r="H1471" s="27" t="str">
        <x:v>Science &amp; Engineering</x:v>
      </x:c>
      <x:c r="I1471" s="27" t="str">
        <x:v>SRC11</x:v>
      </x:c>
      <x:c r="J1471" s="27" t="str">
        <x:v>Grounding form used to preserve meaning.</x:v>
      </x:c>
    </x:row>
    <x:row r="1472">
      <x:c r="A1472" s="27" t="str">
        <x:v>E01468</x:v>
      </x:c>
      <x:c r="B1472" s="27" t="str">
        <x:v>S16-SCI-01</x:v>
      </x:c>
      <x:c r="C1472" s="27" t="str">
        <x:v>Energy, motion, waves, and information</x:v>
      </x:c>
      <x:c r="D1472" s="27" t="str">
        <x:v>CONNECTS_TO</x:v>
      </x:c>
      <x:c r="E1472" s="27" t="str">
        <x:v>S16-SCI-01:CROSS</x:v>
      </x:c>
      <x:c r="F1472" s="27" t="str">
        <x:v>Sensory observation and action; mathematics/data; reading/writing evidence; computing/models; health and environmental/civic decisions.</x:v>
      </x:c>
      <x:c r="G1472" s="27" t="str">
        <x:v>S16</x:v>
      </x:c>
      <x:c r="H1472" s="27" t="str">
        <x:v>Science &amp; Engineering</x:v>
      </x:c>
      <x:c r="I1472" s="27" t="str">
        <x:v>SRC11</x:v>
      </x:c>
      <x:c r="J1472" s="27" t="str">
        <x:v>Parallel subject and representation links.</x:v>
      </x:c>
    </x:row>
    <x:row r="1473">
      <x:c r="A1473" s="27" t="str">
        <x:v>E01469</x:v>
      </x:c>
      <x:c r="B1473" s="27" t="str">
        <x:v>S16-SCI-01</x:v>
      </x:c>
      <x:c r="C1473" s="27" t="str">
        <x:v>Energy, motion, waves, and information</x:v>
      </x:c>
      <x:c r="D1473" s="27" t="str">
        <x:v>UNLOCKS</x:v>
      </x:c>
      <x:c r="E1473" s="27" t="str">
        <x:v>S16-SCI-01:NEXT</x:v>
      </x:c>
      <x:c r="F1473" s="27" t="str">
        <x:v>Energy and waves provide unifying mechanisms across physical systems.</x:v>
      </x:c>
      <x:c r="G1473" s="27" t="str">
        <x:v>S16</x:v>
      </x:c>
      <x:c r="H1473" s="27" t="str">
        <x:v>Science &amp; Engineering</x:v>
      </x:c>
      <x:c r="I1473" s="27" t="str">
        <x:v>SRC11</x:v>
      </x:c>
      <x:c r="J1473" s="27" t="str">
        <x:v>Outgoing use and placement rationale.</x:v>
      </x:c>
    </x:row>
    <x:row r="1474">
      <x:c r="A1474" s="27" t="str">
        <x:v>E01470</x:v>
      </x:c>
      <x:c r="B1474" s="27" t="str">
        <x:v>S16-SCI-01</x:v>
      </x:c>
      <x:c r="C1474" s="27" t="str">
        <x:v>Energy, motion, waves, and information</x:v>
      </x:c>
      <x:c r="D1474" s="27" t="str">
        <x:v>VERIFIED_BY</x:v>
      </x:c>
      <x:c r="E1474" s="27" t="str">
        <x:v>S16-SCI-01:EVIDENCE</x:v>
      </x:c>
      <x:c r="F1474" s="27" t="str">
        <x:v>Uses a model or data to trace energy or information through a system.</x:v>
      </x:c>
      <x:c r="G1474" s="27" t="str">
        <x:v>S16</x:v>
      </x:c>
      <x:c r="H1474" s="27" t="str">
        <x:v>Science &amp; Engineering</x:v>
      </x:c>
      <x:c r="I1474" s="27" t="str">
        <x:v>SRC11</x:v>
      </x:c>
      <x:c r="J1474" s="27" t="str">
        <x:v>Observable evidence of usable learning.</x:v>
      </x:c>
    </x:row>
    <x:row r="1475">
      <x:c r="A1475" s="27" t="str">
        <x:v>E01471</x:v>
      </x:c>
      <x:c r="B1475" s="27" t="str">
        <x:v>S16-SCI-01</x:v>
      </x:c>
      <x:c r="C1475" s="27" t="str">
        <x:v>Previous node in domain progression</x:v>
      </x:c>
      <x:c r="D1475" s="27" t="str">
        <x:v>DOMAIN_SEQUENCE</x:v>
      </x:c>
      <x:c r="E1475" s="27" t="str">
        <x:v>S16-SCI-02</x:v>
      </x:c>
      <x:c r="F1475" s="27" t="str">
        <x:v>Internal/external structures and sensing</x:v>
      </x:c>
      <x:c r="G1475" s="27" t="str">
        <x:v>S16</x:v>
      </x:c>
      <x:c r="H1475" s="27" t="str">
        <x:v>Science &amp; Engineering</x:v>
      </x:c>
      <x:c r="I1475" s="27" t="str">
        <x:v>SRC11</x:v>
      </x:c>
      <x:c r="J1475" s="27" t="str">
        <x:v>Ordered spiral link; consult explicit prerequisites for logical dependency.</x:v>
      </x:c>
    </x:row>
    <x:row r="1476">
      <x:c r="A1476" s="27" t="str">
        <x:v>E01472</x:v>
      </x:c>
      <x:c r="B1476" s="27" t="str">
        <x:v>S16-SCI-02:PREREQ</x:v>
      </x:c>
      <x:c r="C1476" s="27" t="str">
        <x:v>Grade 1/3 structure-function and traits.</x:v>
      </x:c>
      <x:c r="D1476" s="27" t="str">
        <x:v>PREREQUISITE</x:v>
      </x:c>
      <x:c r="E1476" s="27" t="str">
        <x:v>S16-SCI-02</x:v>
      </x:c>
      <x:c r="F1476" s="27" t="str">
        <x:v>Internal/external structures and sensing</x:v>
      </x:c>
      <x:c r="G1476" s="27" t="str">
        <x:v>S16</x:v>
      </x:c>
      <x:c r="H1476" s="27" t="str">
        <x:v>Science &amp; Engineering</x:v>
      </x:c>
      <x:c r="I1476" s="27" t="str">
        <x:v>SRC11</x:v>
      </x:c>
      <x:c r="J1476" s="27" t="str">
        <x:v>Incoming prerequisite relationship.</x:v>
      </x:c>
    </x:row>
    <x:row r="1477">
      <x:c r="A1477" s="27" t="str">
        <x:v>E01473</x:v>
      </x:c>
      <x:c r="B1477" s="27" t="str">
        <x:v>S16-SCI-02:GROUND</x:v>
      </x:c>
      <x:c r="C1477" s="27" t="str">
        <x:v>G4/G5 — Concrete model linked to coordinated representations</x:v>
      </x:c>
      <x:c r="D1477" s="27" t="str">
        <x:v>GROUNDED_BY</x:v>
      </x:c>
      <x:c r="E1477" s="27" t="str">
        <x:v>S16-SCI-02</x:v>
      </x:c>
      <x:c r="F1477" s="27" t="str">
        <x:v>Internal/external structures and sensing</x:v>
      </x:c>
      <x:c r="G1477" s="27" t="str">
        <x:v>S16</x:v>
      </x:c>
      <x:c r="H1477" s="27" t="str">
        <x:v>Science &amp; Engineering</x:v>
      </x:c>
      <x:c r="I1477" s="27" t="str">
        <x:v>SRC11</x:v>
      </x:c>
      <x:c r="J1477" s="27" t="str">
        <x:v>Grounding form used to preserve meaning.</x:v>
      </x:c>
    </x:row>
    <x:row r="1478">
      <x:c r="A1478" s="27" t="str">
        <x:v>E01474</x:v>
      </x:c>
      <x:c r="B1478" s="27" t="str">
        <x:v>S16-SCI-02</x:v>
      </x:c>
      <x:c r="C1478" s="27" t="str">
        <x:v>Internal/external structures and sensing</x:v>
      </x:c>
      <x:c r="D1478" s="27" t="str">
        <x:v>CONNECTS_TO</x:v>
      </x:c>
      <x:c r="E1478" s="27" t="str">
        <x:v>S16-SCI-02:CROSS</x:v>
      </x:c>
      <x:c r="F1478" s="27" t="str">
        <x:v>Sensory observation and action; mathematics/data; reading/writing evidence; computing/models; health and environmental/civic decisions.</x:v>
      </x:c>
      <x:c r="G1478" s="27" t="str">
        <x:v>S16</x:v>
      </x:c>
      <x:c r="H1478" s="27" t="str">
        <x:v>Science &amp; Engineering</x:v>
      </x:c>
      <x:c r="I1478" s="27" t="str">
        <x:v>SRC11</x:v>
      </x:c>
      <x:c r="J1478" s="27" t="str">
        <x:v>Parallel subject and representation links.</x:v>
      </x:c>
    </x:row>
    <x:row r="1479">
      <x:c r="A1479" s="27" t="str">
        <x:v>E01475</x:v>
      </x:c>
      <x:c r="B1479" s="27" t="str">
        <x:v>S16-SCI-02</x:v>
      </x:c>
      <x:c r="C1479" s="27" t="str">
        <x:v>Internal/external structures and sensing</x:v>
      </x:c>
      <x:c r="D1479" s="27" t="str">
        <x:v>UNLOCKS</x:v>
      </x:c>
      <x:c r="E1479" s="27" t="str">
        <x:v>S16-SCI-02:NEXT</x:v>
      </x:c>
      <x:c r="F1479" s="27" t="str">
        <x:v>Nested structures and sensory processing prepare cells, organ systems, and neuroscience.</x:v>
      </x:c>
      <x:c r="G1479" s="27" t="str">
        <x:v>S16</x:v>
      </x:c>
      <x:c r="H1479" s="27" t="str">
        <x:v>Science &amp; Engineering</x:v>
      </x:c>
      <x:c r="I1479" s="27" t="str">
        <x:v>SRC11</x:v>
      </x:c>
      <x:c r="J1479" s="27" t="str">
        <x:v>Outgoing use and placement rationale.</x:v>
      </x:c>
    </x:row>
    <x:row r="1480">
      <x:c r="A1480" s="27" t="str">
        <x:v>E01476</x:v>
      </x:c>
      <x:c r="B1480" s="27" t="str">
        <x:v>S16-SCI-02</x:v>
      </x:c>
      <x:c r="C1480" s="27" t="str">
        <x:v>Internal/external structures and sensing</x:v>
      </x:c>
      <x:c r="D1480" s="27" t="str">
        <x:v>VERIFIED_BY</x:v>
      </x:c>
      <x:c r="E1480" s="27" t="str">
        <x:v>S16-SCI-02:EVIDENCE</x:v>
      </x:c>
      <x:c r="F1480" s="27" t="str">
        <x:v>Connects a structure to a function and predicts an effect if the structure changes.</x:v>
      </x:c>
      <x:c r="G1480" s="27" t="str">
        <x:v>S16</x:v>
      </x:c>
      <x:c r="H1480" s="27" t="str">
        <x:v>Science &amp; Engineering</x:v>
      </x:c>
      <x:c r="I1480" s="27" t="str">
        <x:v>SRC11</x:v>
      </x:c>
      <x:c r="J1480" s="27" t="str">
        <x:v>Observable evidence of usable learning.</x:v>
      </x:c>
    </x:row>
    <x:row r="1481">
      <x:c r="A1481" s="27" t="str">
        <x:v>E01477</x:v>
      </x:c>
      <x:c r="B1481" s="27" t="str">
        <x:v>S16-SCI-02</x:v>
      </x:c>
      <x:c r="C1481" s="27" t="str">
        <x:v>Previous node in domain progression</x:v>
      </x:c>
      <x:c r="D1481" s="27" t="str">
        <x:v>DOMAIN_SEQUENCE</x:v>
      </x:c>
      <x:c r="E1481" s="27" t="str">
        <x:v>S16-SCI-03</x:v>
      </x:c>
      <x:c r="F1481" s="27" t="str">
        <x:v>Weathering, erosion, and Earth features</x:v>
      </x:c>
      <x:c r="G1481" s="27" t="str">
        <x:v>S16</x:v>
      </x:c>
      <x:c r="H1481" s="27" t="str">
        <x:v>Science &amp; Engineering</x:v>
      </x:c>
      <x:c r="I1481" s="27" t="str">
        <x:v>SRC11</x:v>
      </x:c>
      <x:c r="J1481" s="27" t="str">
        <x:v>Ordered spiral link; consult explicit prerequisites for logical dependency.</x:v>
      </x:c>
    </x:row>
    <x:row r="1482">
      <x:c r="A1482" s="27" t="str">
        <x:v>E01478</x:v>
      </x:c>
      <x:c r="B1482" s="27" t="str">
        <x:v>S16-SCI-03:PREREQ</x:v>
      </x:c>
      <x:c r="C1482" s="27" t="str">
        <x:v>Grade 2 Earth changes, Grade 3 weather/climate, and map/data integration.</x:v>
      </x:c>
      <x:c r="D1482" s="27" t="str">
        <x:v>PREREQUISITE</x:v>
      </x:c>
      <x:c r="E1482" s="27" t="str">
        <x:v>S16-SCI-03</x:v>
      </x:c>
      <x:c r="F1482" s="27" t="str">
        <x:v>Weathering, erosion, and Earth features</x:v>
      </x:c>
      <x:c r="G1482" s="27" t="str">
        <x:v>S16</x:v>
      </x:c>
      <x:c r="H1482" s="27" t="str">
        <x:v>Science &amp; Engineering</x:v>
      </x:c>
      <x:c r="I1482" s="27" t="str">
        <x:v>SRC11</x:v>
      </x:c>
      <x:c r="J1482" s="27" t="str">
        <x:v>Incoming prerequisite relationship.</x:v>
      </x:c>
    </x:row>
    <x:row r="1483">
      <x:c r="A1483" s="27" t="str">
        <x:v>E01479</x:v>
      </x:c>
      <x:c r="B1483" s="27" t="str">
        <x:v>S16-SCI-03:GROUND</x:v>
      </x:c>
      <x:c r="C1483" s="27" t="str">
        <x:v>G4/G5 — Concrete model linked to coordinated representations</x:v>
      </x:c>
      <x:c r="D1483" s="27" t="str">
        <x:v>GROUNDED_BY</x:v>
      </x:c>
      <x:c r="E1483" s="27" t="str">
        <x:v>S16-SCI-03</x:v>
      </x:c>
      <x:c r="F1483" s="27" t="str">
        <x:v>Weathering, erosion, and Earth features</x:v>
      </x:c>
      <x:c r="G1483" s="27" t="str">
        <x:v>S16</x:v>
      </x:c>
      <x:c r="H1483" s="27" t="str">
        <x:v>Science &amp; Engineering</x:v>
      </x:c>
      <x:c r="I1483" s="27" t="str">
        <x:v>SRC11</x:v>
      </x:c>
      <x:c r="J1483" s="27" t="str">
        <x:v>Grounding form used to preserve meaning.</x:v>
      </x:c>
    </x:row>
    <x:row r="1484">
      <x:c r="A1484" s="27" t="str">
        <x:v>E01480</x:v>
      </x:c>
      <x:c r="B1484" s="27" t="str">
        <x:v>S16-SCI-03</x:v>
      </x:c>
      <x:c r="C1484" s="27" t="str">
        <x:v>Weathering, erosion, and Earth features</x:v>
      </x:c>
      <x:c r="D1484" s="27" t="str">
        <x:v>CONNECTS_TO</x:v>
      </x:c>
      <x:c r="E1484" s="27" t="str">
        <x:v>S16-SCI-03:CROSS</x:v>
      </x:c>
      <x:c r="F1484" s="27" t="str">
        <x:v>Sensory observation and action; mathematics/data; reading/writing evidence; computing/models; health and environmental/civic decisions.</x:v>
      </x:c>
      <x:c r="G1484" s="27" t="str">
        <x:v>S16</x:v>
      </x:c>
      <x:c r="H1484" s="27" t="str">
        <x:v>Science &amp; Engineering</x:v>
      </x:c>
      <x:c r="I1484" s="27" t="str">
        <x:v>SRC11</x:v>
      </x:c>
      <x:c r="J1484" s="27" t="str">
        <x:v>Parallel subject and representation links.</x:v>
      </x:c>
    </x:row>
    <x:row r="1485">
      <x:c r="A1485" s="27" t="str">
        <x:v>E01481</x:v>
      </x:c>
      <x:c r="B1485" s="27" t="str">
        <x:v>S16-SCI-03</x:v>
      </x:c>
      <x:c r="C1485" s="27" t="str">
        <x:v>Weathering, erosion, and Earth features</x:v>
      </x:c>
      <x:c r="D1485" s="27" t="str">
        <x:v>UNLOCKS</x:v>
      </x:c>
      <x:c r="E1485" s="27" t="str">
        <x:v>S16-SCI-03:NEXT</x:v>
      </x:c>
      <x:c r="F1485" s="27" t="str">
        <x:v>Evidence from present processes and past records prepares geologic history reasoning.</x:v>
      </x:c>
      <x:c r="G1485" s="27" t="str">
        <x:v>S16</x:v>
      </x:c>
      <x:c r="H1485" s="27" t="str">
        <x:v>Science &amp; Engineering</x:v>
      </x:c>
      <x:c r="I1485" s="27" t="str">
        <x:v>SRC11</x:v>
      </x:c>
      <x:c r="J1485" s="27" t="str">
        <x:v>Outgoing use and placement rationale.</x:v>
      </x:c>
    </x:row>
    <x:row r="1486">
      <x:c r="A1486" s="27" t="str">
        <x:v>E01482</x:v>
      </x:c>
      <x:c r="B1486" s="27" t="str">
        <x:v>S16-SCI-03</x:v>
      </x:c>
      <x:c r="C1486" s="27" t="str">
        <x:v>Weathering, erosion, and Earth features</x:v>
      </x:c>
      <x:c r="D1486" s="27" t="str">
        <x:v>VERIFIED_BY</x:v>
      </x:c>
      <x:c r="E1486" s="27" t="str">
        <x:v>S16-SCI-03:EVIDENCE</x:v>
      </x:c>
      <x:c r="F1486" s="27" t="str">
        <x:v>Explains a landform pattern using process evidence from a map, model, or material record.</x:v>
      </x:c>
      <x:c r="G1486" s="27" t="str">
        <x:v>S16</x:v>
      </x:c>
      <x:c r="H1486" s="27" t="str">
        <x:v>Science &amp; Engineering</x:v>
      </x:c>
      <x:c r="I1486" s="27" t="str">
        <x:v>SRC11</x:v>
      </x:c>
      <x:c r="J1486" s="27" t="str">
        <x:v>Observable evidence of usable learning.</x:v>
      </x:c>
    </x:row>
    <x:row r="1487">
      <x:c r="A1487" s="27" t="str">
        <x:v>E01483</x:v>
      </x:c>
      <x:c r="B1487" s="27" t="str">
        <x:v>S15-SST-01</x:v>
      </x:c>
      <x:c r="C1487" s="27" t="str">
        <x:v>Previous node in domain progression</x:v>
      </x:c>
      <x:c r="D1487" s="27" t="str">
        <x:v>DOMAIN_SEQUENCE</x:v>
      </x:c>
      <x:c r="E1487" s="27" t="str">
        <x:v>S16-SST-01</x:v>
      </x:c>
      <x:c r="F1487" s="27" t="str">
        <x:v>State/region systems and multiple perspectives</x:v>
      </x:c>
      <x:c r="G1487" s="27" t="str">
        <x:v>S16</x:v>
      </x:c>
      <x:c r="H1487" s="27" t="str">
        <x:v>Social Studies</x:v>
      </x:c>
      <x:c r="I1487" s="27" t="str">
        <x:v>SRC12; SRC24</x:v>
      </x:c>
      <x:c r="J1487" s="27" t="str">
        <x:v>Ordered spiral link; consult explicit prerequisites for logical dependency.</x:v>
      </x:c>
    </x:row>
    <x:row r="1488">
      <x:c r="A1488" s="27" t="str">
        <x:v>E01484</x:v>
      </x:c>
      <x:c r="B1488" s="27" t="str">
        <x:v>S16-SST-01:PREREQ</x:v>
      </x:c>
      <x:c r="C1488" s="27" t="str">
        <x:v>Grade 3 regional inquiry, firsthand/secondhand analysis, and multi-paragraph writing.</x:v>
      </x:c>
      <x:c r="D1488" s="27" t="str">
        <x:v>PREREQUISITE</x:v>
      </x:c>
      <x:c r="E1488" s="27" t="str">
        <x:v>S16-SST-01</x:v>
      </x:c>
      <x:c r="F1488" s="27" t="str">
        <x:v>State/region systems and multiple perspectives</x:v>
      </x:c>
      <x:c r="G1488" s="27" t="str">
        <x:v>S16</x:v>
      </x:c>
      <x:c r="H1488" s="27" t="str">
        <x:v>Social Studies</x:v>
      </x:c>
      <x:c r="I1488" s="27" t="str">
        <x:v>SRC12; SRC24</x:v>
      </x:c>
      <x:c r="J1488" s="27" t="str">
        <x:v>Incoming prerequisite relationship.</x:v>
      </x:c>
    </x:row>
    <x:row r="1489">
      <x:c r="A1489" s="27" t="str">
        <x:v>E01485</x:v>
      </x:c>
      <x:c r="B1489" s="27" t="str">
        <x:v>S16-SST-01:GROUND</x:v>
      </x:c>
      <x:c r="C1489" s="27" t="str">
        <x:v>G4/G5 — Concrete model linked to coordinated representations</x:v>
      </x:c>
      <x:c r="D1489" s="27" t="str">
        <x:v>GROUNDED_BY</x:v>
      </x:c>
      <x:c r="E1489" s="27" t="str">
        <x:v>S16-SST-01</x:v>
      </x:c>
      <x:c r="F1489" s="27" t="str">
        <x:v>State/region systems and multiple perspectives</x:v>
      </x:c>
      <x:c r="G1489" s="27" t="str">
        <x:v>S16</x:v>
      </x:c>
      <x:c r="H1489" s="27" t="str">
        <x:v>Social Studies</x:v>
      </x:c>
      <x:c r="I1489" s="27" t="str">
        <x:v>SRC12; SRC24</x:v>
      </x:c>
      <x:c r="J1489" s="27" t="str">
        <x:v>Grounding form used to preserve meaning.</x:v>
      </x:c>
    </x:row>
    <x:row r="1490">
      <x:c r="A1490" s="27" t="str">
        <x:v>E01486</x:v>
      </x:c>
      <x:c r="B1490" s="27" t="str">
        <x:v>S16-SST-01</x:v>
      </x:c>
      <x:c r="C1490" s="27" t="str">
        <x:v>State/region systems and multiple perspectives</x:v>
      </x:c>
      <x:c r="D1490" s="27" t="str">
        <x:v>CONNECTS_TO</x:v>
      </x:c>
      <x:c r="E1490" s="27" t="str">
        <x:v>S16-SST-01:CROSS</x:v>
      </x:c>
      <x:c r="F1490" s="27" t="str">
        <x:v>Language/literacy and source evidence; maps/data/economics; ethics/SEL; media literacy; arts/culture; civic action.</x:v>
      </x:c>
      <x:c r="G1490" s="27" t="str">
        <x:v>S16</x:v>
      </x:c>
      <x:c r="H1490" s="27" t="str">
        <x:v>Social Studies</x:v>
      </x:c>
      <x:c r="I1490" s="27" t="str">
        <x:v>SRC12; SRC24</x:v>
      </x:c>
      <x:c r="J1490" s="27" t="str">
        <x:v>Parallel subject and representation links.</x:v>
      </x:c>
    </x:row>
    <x:row r="1491">
      <x:c r="A1491" s="27" t="str">
        <x:v>E01487</x:v>
      </x:c>
      <x:c r="B1491" s="27" t="str">
        <x:v>S16-SST-01</x:v>
      </x:c>
      <x:c r="C1491" s="27" t="str">
        <x:v>State/region systems and multiple perspectives</x:v>
      </x:c>
      <x:c r="D1491" s="27" t="str">
        <x:v>UNLOCKS</x:v>
      </x:c>
      <x:c r="E1491" s="27" t="str">
        <x:v>S16-SST-01:NEXT</x:v>
      </x:c>
      <x:c r="F1491" s="27" t="str">
        <x:v>More complex institutions and contested accounts require corroboration and perspective analysis.</x:v>
      </x:c>
      <x:c r="G1491" s="27" t="str">
        <x:v>S16</x:v>
      </x:c>
      <x:c r="H1491" s="27" t="str">
        <x:v>Social Studies</x:v>
      </x:c>
      <x:c r="I1491" s="27" t="str">
        <x:v>SRC12; SRC24</x:v>
      </x:c>
      <x:c r="J1491" s="27" t="str">
        <x:v>Outgoing use and placement rationale.</x:v>
      </x:c>
    </x:row>
    <x:row r="1492">
      <x:c r="A1492" s="27" t="str">
        <x:v>E01488</x:v>
      </x:c>
      <x:c r="B1492" s="27" t="str">
        <x:v>S16-SST-01</x:v>
      </x:c>
      <x:c r="C1492" s="27" t="str">
        <x:v>State/region systems and multiple perspectives</x:v>
      </x:c>
      <x:c r="D1492" s="27" t="str">
        <x:v>VERIFIED_BY</x:v>
      </x:c>
      <x:c r="E1492" s="27" t="str">
        <x:v>S16-SST-01:EVIDENCE</x:v>
      </x:c>
      <x:c r="F1492" s="27" t="str">
        <x:v>Constructs a supported claim that addresses a source disagreement or differing perspective.</x:v>
      </x:c>
      <x:c r="G1492" s="27" t="str">
        <x:v>S16</x:v>
      </x:c>
      <x:c r="H1492" s="27" t="str">
        <x:v>Social Studies</x:v>
      </x:c>
      <x:c r="I1492" s="27" t="str">
        <x:v>SRC12; SRC24</x:v>
      </x:c>
      <x:c r="J1492" s="27" t="str">
        <x:v>Observable evidence of usable learning.</x:v>
      </x:c>
    </x:row>
    <x:row r="1493">
      <x:c r="A1493" s="27" t="str">
        <x:v>E01489</x:v>
      </x:c>
      <x:c r="B1493" s="27" t="str">
        <x:v>S15-ARTS-01</x:v>
      </x:c>
      <x:c r="C1493" s="27" t="str">
        <x:v>Previous node in domain progression</x:v>
      </x:c>
      <x:c r="D1493" s="27" t="str">
        <x:v>DOMAIN_SEQUENCE</x:v>
      </x:c>
      <x:c r="E1493" s="27" t="str">
        <x:v>S16-ARTS-01</x:v>
      </x:c>
      <x:c r="F1493" s="27" t="str">
        <x:v>Intervals, texture, form, and refinement</x:v>
      </x:c>
      <x:c r="G1493" s="27" t="str">
        <x:v>S16</x:v>
      </x:c>
      <x:c r="H1493" s="27" t="str">
        <x:v>Music &amp; Arts</x:v>
      </x:c>
      <x:c r="I1493" s="27" t="str">
        <x:v>SRC13</x:v>
      </x:c>
      <x:c r="J1493" s="27" t="str">
        <x:v>Ordered spiral link; consult explicit prerequisites for logical dependency.</x:v>
      </x:c>
    </x:row>
    <x:row r="1494">
      <x:c r="A1494" s="27" t="str">
        <x:v>E01490</x:v>
      </x:c>
      <x:c r="B1494" s="27" t="str">
        <x:v>S16-ARTS-01:PREREQ</x:v>
      </x:c>
      <x:c r="C1494" s="27" t="str">
        <x:v>Grade 3 notation/ensemble, fractions, and shared-goal feedback.</x:v>
      </x:c>
      <x:c r="D1494" s="27" t="str">
        <x:v>PREREQUISITE</x:v>
      </x:c>
      <x:c r="E1494" s="27" t="str">
        <x:v>S16-ARTS-01</x:v>
      </x:c>
      <x:c r="F1494" s="27" t="str">
        <x:v>Intervals, texture, form, and refinement</x:v>
      </x:c>
      <x:c r="G1494" s="27" t="str">
        <x:v>S16</x:v>
      </x:c>
      <x:c r="H1494" s="27" t="str">
        <x:v>Music &amp; Arts</x:v>
      </x:c>
      <x:c r="I1494" s="27" t="str">
        <x:v>SRC13</x:v>
      </x:c>
      <x:c r="J1494" s="27" t="str">
        <x:v>Incoming prerequisite relationship.</x:v>
      </x:c>
    </x:row>
    <x:row r="1495">
      <x:c r="A1495" s="27" t="str">
        <x:v>E01491</x:v>
      </x:c>
      <x:c r="B1495" s="27" t="str">
        <x:v>S16-ARTS-01:GROUND</x:v>
      </x:c>
      <x:c r="C1495" s="27" t="str">
        <x:v>G4/G5 — Concrete model linked to coordinated representations</x:v>
      </x:c>
      <x:c r="D1495" s="27" t="str">
        <x:v>GROUNDED_BY</x:v>
      </x:c>
      <x:c r="E1495" s="27" t="str">
        <x:v>S16-ARTS-01</x:v>
      </x:c>
      <x:c r="F1495" s="27" t="str">
        <x:v>Intervals, texture, form, and refinement</x:v>
      </x:c>
      <x:c r="G1495" s="27" t="str">
        <x:v>S16</x:v>
      </x:c>
      <x:c r="H1495" s="27" t="str">
        <x:v>Music &amp; Arts</x:v>
      </x:c>
      <x:c r="I1495" s="27" t="str">
        <x:v>SRC13</x:v>
      </x:c>
      <x:c r="J1495" s="27" t="str">
        <x:v>Grounding form used to preserve meaning.</x:v>
      </x:c>
    </x:row>
    <x:row r="1496">
      <x:c r="A1496" s="27" t="str">
        <x:v>E01492</x:v>
      </x:c>
      <x:c r="B1496" s="27" t="str">
        <x:v>S16-ARTS-01</x:v>
      </x:c>
      <x:c r="C1496" s="27" t="str">
        <x:v>Intervals, texture, form, and refinement</x:v>
      </x:c>
      <x:c r="D1496" s="27" t="str">
        <x:v>CONNECTS_TO</x:v>
      </x:c>
      <x:c r="E1496" s="27" t="str">
        <x:v>S16-ARTS-01:CROSS</x:v>
      </x:c>
      <x:c r="F1496" s="27" t="str">
        <x:v>Sensory discrimination; motor timing; language/prosody; mathematics/pattern; history/culture; emotion, design, and technology.</x:v>
      </x:c>
      <x:c r="G1496" s="27" t="str">
        <x:v>S16</x:v>
      </x:c>
      <x:c r="H1496" s="27" t="str">
        <x:v>Music &amp; Arts</x:v>
      </x:c>
      <x:c r="I1496" s="27" t="str">
        <x:v>SRC13</x:v>
      </x:c>
      <x:c r="J1496" s="27" t="str">
        <x:v>Parallel subject and representation links.</x:v>
      </x:c>
    </x:row>
    <x:row r="1497">
      <x:c r="A1497" s="27" t="str">
        <x:v>E01493</x:v>
      </x:c>
      <x:c r="B1497" s="27" t="str">
        <x:v>S16-ARTS-01</x:v>
      </x:c>
      <x:c r="C1497" s="27" t="str">
        <x:v>Intervals, texture, form, and refinement</x:v>
      </x:c>
      <x:c r="D1497" s="27" t="str">
        <x:v>UNLOCKS</x:v>
      </x:c>
      <x:c r="E1497" s="27" t="str">
        <x:v>S16-ARTS-01:NEXT</x:v>
      </x:c>
      <x:c r="F1497" s="27" t="str">
        <x:v>Criteria-based refinement mirrors revision, engineering iteration, and deliberate practice.</x:v>
      </x:c>
      <x:c r="G1497" s="27" t="str">
        <x:v>S16</x:v>
      </x:c>
      <x:c r="H1497" s="27" t="str">
        <x:v>Music &amp; Arts</x:v>
      </x:c>
      <x:c r="I1497" s="27" t="str">
        <x:v>SRC13</x:v>
      </x:c>
      <x:c r="J1497" s="27" t="str">
        <x:v>Outgoing use and placement rationale.</x:v>
      </x:c>
    </x:row>
    <x:row r="1498">
      <x:c r="A1498" s="27" t="str">
        <x:v>E01494</x:v>
      </x:c>
      <x:c r="B1498" s="27" t="str">
        <x:v>S16-ARTS-01</x:v>
      </x:c>
      <x:c r="C1498" s="27" t="str">
        <x:v>Intervals, texture, form, and refinement</x:v>
      </x:c>
      <x:c r="D1498" s="27" t="str">
        <x:v>VERIFIED_BY</x:v>
      </x:c>
      <x:c r="E1498" s="27" t="str">
        <x:v>S16-ARTS-01:EVIDENCE</x:v>
      </x:c>
      <x:c r="F1498" s="27" t="str">
        <x:v>Revises or rehearses a work, documents the criterion used, and demonstrates the change.</x:v>
      </x:c>
      <x:c r="G1498" s="27" t="str">
        <x:v>S16</x:v>
      </x:c>
      <x:c r="H1498" s="27" t="str">
        <x:v>Music &amp; Arts</x:v>
      </x:c>
      <x:c r="I1498" s="27" t="str">
        <x:v>SRC13</x:v>
      </x:c>
      <x:c r="J1498" s="27" t="str">
        <x:v>Observable evidence of usable learning.</x:v>
      </x:c>
    </x:row>
    <x:row r="1499">
      <x:c r="A1499" s="27" t="str">
        <x:v>E01495</x:v>
      </x:c>
      <x:c r="B1499" s="27" t="str">
        <x:v>S15-HLTH-01</x:v>
      </x:c>
      <x:c r="C1499" s="27" t="str">
        <x:v>Previous node in domain progression</x:v>
      </x:c>
      <x:c r="D1499" s="27" t="str">
        <x:v>DOMAIN_SEQUENCE</x:v>
      </x:c>
      <x:c r="E1499" s="27" t="str">
        <x:v>S16-HLTH-01</x:v>
      </x:c>
      <x:c r="F1499" s="27" t="str">
        <x:v>Fitness components, influences, and communication</x:v>
      </x:c>
      <x:c r="G1499" s="27" t="str">
        <x:v>S16</x:v>
      </x:c>
      <x:c r="H1499" s="27" t="str">
        <x:v>Physical &amp; Health</x:v>
      </x:c>
      <x:c r="I1499" s="27" t="str">
        <x:v>SRC14; SRC15</x:v>
      </x:c>
      <x:c r="J1499" s="27" t="str">
        <x:v>Ordered spiral link; consult explicit prerequisites for logical dependency.</x:v>
      </x:c>
    </x:row>
    <x:row r="1500">
      <x:c r="A1500" s="27" t="str">
        <x:v>E01496</x:v>
      </x:c>
      <x:c r="B1500" s="27" t="str">
        <x:v>S16-HLTH-01:PREREQ</x:v>
      </x:c>
      <x:c r="C1500" s="27" t="str">
        <x:v>Grade 3 fitness response, body knowledge, and perspective.</x:v>
      </x:c>
      <x:c r="D1500" s="27" t="str">
        <x:v>PREREQUISITE</x:v>
      </x:c>
      <x:c r="E1500" s="27" t="str">
        <x:v>S16-HLTH-01</x:v>
      </x:c>
      <x:c r="F1500" s="27" t="str">
        <x:v>Fitness components, influences, and communication</x:v>
      </x:c>
      <x:c r="G1500" s="27" t="str">
        <x:v>S16</x:v>
      </x:c>
      <x:c r="H1500" s="27" t="str">
        <x:v>Physical &amp; Health</x:v>
      </x:c>
      <x:c r="I1500" s="27" t="str">
        <x:v>SRC14; SRC15</x:v>
      </x:c>
      <x:c r="J1500" s="27" t="str">
        <x:v>Incoming prerequisite relationship.</x:v>
      </x:c>
    </x:row>
    <x:row r="1501">
      <x:c r="A1501" s="27" t="str">
        <x:v>E01497</x:v>
      </x:c>
      <x:c r="B1501" s="27" t="str">
        <x:v>S16-HLTH-01:GROUND</x:v>
      </x:c>
      <x:c r="C1501" s="27" t="str">
        <x:v>G4/G5 — Concrete model linked to coordinated representations</x:v>
      </x:c>
      <x:c r="D1501" s="27" t="str">
        <x:v>GROUNDED_BY</x:v>
      </x:c>
      <x:c r="E1501" s="27" t="str">
        <x:v>S16-HLTH-01</x:v>
      </x:c>
      <x:c r="F1501" s="27" t="str">
        <x:v>Fitness components, influences, and communication</x:v>
      </x:c>
      <x:c r="G1501" s="27" t="str">
        <x:v>S16</x:v>
      </x:c>
      <x:c r="H1501" s="27" t="str">
        <x:v>Physical &amp; Health</x:v>
      </x:c>
      <x:c r="I1501" s="27" t="str">
        <x:v>SRC14; SRC15</x:v>
      </x:c>
      <x:c r="J1501" s="27" t="str">
        <x:v>Grounding form used to preserve meaning.</x:v>
      </x:c>
    </x:row>
    <x:row r="1502">
      <x:c r="A1502" s="27" t="str">
        <x:v>E01498</x:v>
      </x:c>
      <x:c r="B1502" s="27" t="str">
        <x:v>S16-HLTH-01</x:v>
      </x:c>
      <x:c r="C1502" s="27" t="str">
        <x:v>Fitness components, influences, and communication</x:v>
      </x:c>
      <x:c r="D1502" s="27" t="str">
        <x:v>CONNECTS_TO</x:v>
      </x:c>
      <x:c r="E1502" s="27" t="str">
        <x:v>S16-HLTH-01:CROSS</x:v>
      </x:c>
      <x:c r="F1502" s="27" t="str">
        <x:v>Motor/sensory development; life science; measurement/data; SEL/self-management; communication, safety, and decision-making.</x:v>
      </x:c>
      <x:c r="G1502" s="27" t="str">
        <x:v>S16</x:v>
      </x:c>
      <x:c r="H1502" s="27" t="str">
        <x:v>Physical &amp; Health</x:v>
      </x:c>
      <x:c r="I1502" s="27" t="str">
        <x:v>SRC14; SRC15</x:v>
      </x:c>
      <x:c r="J1502" s="27" t="str">
        <x:v>Parallel subject and representation links.</x:v>
      </x:c>
    </x:row>
    <x:row r="1503">
      <x:c r="A1503" s="27" t="str">
        <x:v>E01499</x:v>
      </x:c>
      <x:c r="B1503" s="27" t="str">
        <x:v>S16-HLTH-01</x:v>
      </x:c>
      <x:c r="C1503" s="27" t="str">
        <x:v>Fitness components, influences, and communication</x:v>
      </x:c>
      <x:c r="D1503" s="27" t="str">
        <x:v>UNLOCKS</x:v>
      </x:c>
      <x:c r="E1503" s="27" t="str">
        <x:v>S16-HLTH-01:NEXT</x:v>
      </x:c>
      <x:c r="F1503" s="27" t="str">
        <x:v>Named fitness/health dimensions allow informed goals and protective communication.</x:v>
      </x:c>
      <x:c r="G1503" s="27" t="str">
        <x:v>S16</x:v>
      </x:c>
      <x:c r="H1503" s="27" t="str">
        <x:v>Physical &amp; Health</x:v>
      </x:c>
      <x:c r="I1503" s="27" t="str">
        <x:v>SRC14; SRC15</x:v>
      </x:c>
      <x:c r="J1503" s="27" t="str">
        <x:v>Outgoing use and placement rationale.</x:v>
      </x:c>
    </x:row>
    <x:row r="1504">
      <x:c r="A1504" s="27" t="str">
        <x:v>E01500</x:v>
      </x:c>
      <x:c r="B1504" s="27" t="str">
        <x:v>S16-HLTH-01</x:v>
      </x:c>
      <x:c r="C1504" s="27" t="str">
        <x:v>Fitness components, influences, and communication</x:v>
      </x:c>
      <x:c r="D1504" s="27" t="str">
        <x:v>VERIFIED_BY</x:v>
      </x:c>
      <x:c r="E1504" s="27" t="str">
        <x:v>S16-HLTH-01:EVIDENCE</x:v>
      </x:c>
      <x:c r="F1504" s="27" t="str">
        <x:v>Assesses a scenario or activity using a named fitness, influence, safety, or communication concept.</x:v>
      </x:c>
      <x:c r="G1504" s="27" t="str">
        <x:v>S16</x:v>
      </x:c>
      <x:c r="H1504" s="27" t="str">
        <x:v>Physical &amp; Health</x:v>
      </x:c>
      <x:c r="I1504" s="27" t="str">
        <x:v>SRC14; SRC15</x:v>
      </x:c>
      <x:c r="J1504" s="27" t="str">
        <x:v>Observable evidence of usable learning.</x:v>
      </x:c>
    </x:row>
    <x:row r="1505">
      <x:c r="A1505" s="27" t="str">
        <x:v>E01501</x:v>
      </x:c>
      <x:c r="B1505" s="27" t="str">
        <x:v>S15-COMP-02</x:v>
      </x:c>
      <x:c r="C1505" s="27" t="str">
        <x:v>Previous node in domain progression</x:v>
      </x:c>
      <x:c r="D1505" s="27" t="str">
        <x:v>DOMAIN_SEQUENCE</x:v>
      </x:c>
      <x:c r="E1505" s="27" t="str">
        <x:v>S16-COMP-01</x:v>
      </x:c>
      <x:c r="F1505" s="27" t="str">
        <x:v>Input-process-output, networks, and data visualization</x:v>
      </x:c>
      <x:c r="G1505" s="27" t="str">
        <x:v>S16</x:v>
      </x:c>
      <x:c r="H1505" s="27" t="str">
        <x:v>Computing &amp; Media</x:v>
      </x:c>
      <x:c r="I1505" s="27" t="str">
        <x:v>SRC16</x:v>
      </x:c>
      <x:c r="J1505" s="27" t="str">
        <x:v>Ordered spiral link; consult explicit prerequisites for logical dependency.</x:v>
      </x:c>
    </x:row>
    <x:row r="1506">
      <x:c r="A1506" s="27" t="str">
        <x:v>E01502</x:v>
      </x:c>
      <x:c r="B1506" s="27" t="str">
        <x:v>S16-COMP-01:PREREQ</x:v>
      </x:c>
      <x:c r="C1506" s="27" t="str">
        <x:v>Grade 3 variables/modules and data graphs.</x:v>
      </x:c>
      <x:c r="D1506" s="27" t="str">
        <x:v>PREREQUISITE</x:v>
      </x:c>
      <x:c r="E1506" s="27" t="str">
        <x:v>S16-COMP-01</x:v>
      </x:c>
      <x:c r="F1506" s="27" t="str">
        <x:v>Input-process-output, networks, and data visualization</x:v>
      </x:c>
      <x:c r="G1506" s="27" t="str">
        <x:v>S16</x:v>
      </x:c>
      <x:c r="H1506" s="27" t="str">
        <x:v>Computing &amp; Media</x:v>
      </x:c>
      <x:c r="I1506" s="27" t="str">
        <x:v>SRC16</x:v>
      </x:c>
      <x:c r="J1506" s="27" t="str">
        <x:v>Incoming prerequisite relationship.</x:v>
      </x:c>
    </x:row>
    <x:row r="1507">
      <x:c r="A1507" s="27" t="str">
        <x:v>E01503</x:v>
      </x:c>
      <x:c r="B1507" s="27" t="str">
        <x:v>S16-COMP-01:GROUND</x:v>
      </x:c>
      <x:c r="C1507" s="27" t="str">
        <x:v>G4/G5 — Concrete model linked to coordinated representations</x:v>
      </x:c>
      <x:c r="D1507" s="27" t="str">
        <x:v>GROUNDED_BY</x:v>
      </x:c>
      <x:c r="E1507" s="27" t="str">
        <x:v>S16-COMP-01</x:v>
      </x:c>
      <x:c r="F1507" s="27" t="str">
        <x:v>Input-process-output, networks, and data visualization</x:v>
      </x:c>
      <x:c r="G1507" s="27" t="str">
        <x:v>S16</x:v>
      </x:c>
      <x:c r="H1507" s="27" t="str">
        <x:v>Computing &amp; Media</x:v>
      </x:c>
      <x:c r="I1507" s="27" t="str">
        <x:v>SRC16</x:v>
      </x:c>
      <x:c r="J1507" s="27" t="str">
        <x:v>Grounding form used to preserve meaning.</x:v>
      </x:c>
    </x:row>
    <x:row r="1508">
      <x:c r="A1508" s="27" t="str">
        <x:v>E01504</x:v>
      </x:c>
      <x:c r="B1508" s="27" t="str">
        <x:v>S16-COMP-01</x:v>
      </x:c>
      <x:c r="C1508" s="27" t="str">
        <x:v>Input-process-output, networks, and data visualization</x:v>
      </x:c>
      <x:c r="D1508" s="27" t="str">
        <x:v>CONNECTS_TO</x:v>
      </x:c>
      <x:c r="E1508" s="27" t="str">
        <x:v>S16-COMP-01:CROSS</x:v>
      </x:c>
      <x:c r="F1508" s="27" t="str">
        <x:v>Mathematics/logic/data; language and media evidence; science/engineering models; art/design; civics, privacy, finance, and ethics.</x:v>
      </x:c>
      <x:c r="G1508" s="27" t="str">
        <x:v>S16</x:v>
      </x:c>
      <x:c r="H1508" s="27" t="str">
        <x:v>Computing &amp; Media</x:v>
      </x:c>
      <x:c r="I1508" s="27" t="str">
        <x:v>SRC16</x:v>
      </x:c>
      <x:c r="J1508" s="27" t="str">
        <x:v>Parallel subject and representation links.</x:v>
      </x:c>
    </x:row>
    <x:row r="1509">
      <x:c r="A1509" s="27" t="str">
        <x:v>E01505</x:v>
      </x:c>
      <x:c r="B1509" s="27" t="str">
        <x:v>S16-COMP-01</x:v>
      </x:c>
      <x:c r="C1509" s="27" t="str">
        <x:v>Input-process-output, networks, and data visualization</x:v>
      </x:c>
      <x:c r="D1509" s="27" t="str">
        <x:v>UNLOCKS</x:v>
      </x:c>
      <x:c r="E1509" s="27" t="str">
        <x:v>S16-COMP-01:NEXT</x:v>
      </x:c>
      <x:c r="F1509" s="27" t="str">
        <x:v>A systems model prepares networks, architecture, privacy, and algorithmic data processing.</x:v>
      </x:c>
      <x:c r="G1509" s="27" t="str">
        <x:v>S16</x:v>
      </x:c>
      <x:c r="H1509" s="27" t="str">
        <x:v>Computing &amp; Media</x:v>
      </x:c>
      <x:c r="I1509" s="27" t="str">
        <x:v>SRC16</x:v>
      </x:c>
      <x:c r="J1509" s="27" t="str">
        <x:v>Outgoing use and placement rationale.</x:v>
      </x:c>
    </x:row>
    <x:row r="1510">
      <x:c r="A1510" s="27" t="str">
        <x:v>E01506</x:v>
      </x:c>
      <x:c r="B1510" s="27" t="str">
        <x:v>S16-COMP-01</x:v>
      </x:c>
      <x:c r="C1510" s="27" t="str">
        <x:v>Input-process-output, networks, and data visualization</x:v>
      </x:c>
      <x:c r="D1510" s="27" t="str">
        <x:v>VERIFIED_BY</x:v>
      </x:c>
      <x:c r="E1510" s="27" t="str">
        <x:v>S16-COMP-01:EVIDENCE</x:v>
      </x:c>
      <x:c r="F1510" s="27" t="str">
        <x:v>Draws and explains a system/data path including a meaningful transformation or transmission.</x:v>
      </x:c>
      <x:c r="G1510" s="27" t="str">
        <x:v>S16</x:v>
      </x:c>
      <x:c r="H1510" s="27" t="str">
        <x:v>Computing &amp; Media</x:v>
      </x:c>
      <x:c r="I1510" s="27" t="str">
        <x:v>SRC16</x:v>
      </x:c>
      <x:c r="J1510" s="27" t="str">
        <x:v>Observable evidence of usable learning.</x:v>
      </x:c>
    </x:row>
    <x:row r="1511">
      <x:c r="A1511" s="27" t="str">
        <x:v>E01507</x:v>
      </x:c>
      <x:c r="B1511" s="27" t="str">
        <x:v>S16-COMP-01</x:v>
      </x:c>
      <x:c r="C1511" s="27" t="str">
        <x:v>Previous node in domain progression</x:v>
      </x:c>
      <x:c r="D1511" s="27" t="str">
        <x:v>DOMAIN_SEQUENCE</x:v>
      </x:c>
      <x:c r="E1511" s="27" t="str">
        <x:v>S16-COMP-02</x:v>
      </x:c>
      <x:c r="F1511" s="27" t="str">
        <x:v>Evidence, omission, and design choice</x:v>
      </x:c>
      <x:c r="G1511" s="27" t="str">
        <x:v>S16</x:v>
      </x:c>
      <x:c r="H1511" s="27" t="str">
        <x:v>Computing &amp; Media</x:v>
      </x:c>
      <x:c r="I1511" s="27" t="str">
        <x:v>SRC20</x:v>
      </x:c>
      <x:c r="J1511" s="27" t="str">
        <x:v>Ordered spiral link; consult explicit prerequisites for logical dependency.</x:v>
      </x:c>
    </x:row>
    <x:row r="1512">
      <x:c r="A1512" s="27" t="str">
        <x:v>E01508</x:v>
      </x:c>
      <x:c r="B1512" s="27" t="str">
        <x:v>S16-COMP-02:PREREQ</x:v>
      </x:c>
      <x:c r="C1512" s="27" t="str">
        <x:v>Creator/purpose, viewpoint, and text-visual integration.</x:v>
      </x:c>
      <x:c r="D1512" s="27" t="str">
        <x:v>PREREQUISITE</x:v>
      </x:c>
      <x:c r="E1512" s="27" t="str">
        <x:v>S16-COMP-02</x:v>
      </x:c>
      <x:c r="F1512" s="27" t="str">
        <x:v>Evidence, omission, and design choice</x:v>
      </x:c>
      <x:c r="G1512" s="27" t="str">
        <x:v>S16</x:v>
      </x:c>
      <x:c r="H1512" s="27" t="str">
        <x:v>Computing &amp; Media</x:v>
      </x:c>
      <x:c r="I1512" s="27" t="str">
        <x:v>SRC20</x:v>
      </x:c>
      <x:c r="J1512" s="27" t="str">
        <x:v>Incoming prerequisite relationship.</x:v>
      </x:c>
    </x:row>
    <x:row r="1513">
      <x:c r="A1513" s="27" t="str">
        <x:v>E01509</x:v>
      </x:c>
      <x:c r="B1513" s="27" t="str">
        <x:v>S16-COMP-02:GROUND</x:v>
      </x:c>
      <x:c r="C1513" s="27" t="str">
        <x:v>G4/G5 — Concrete model linked to coordinated representations</x:v>
      </x:c>
      <x:c r="D1513" s="27" t="str">
        <x:v>GROUNDED_BY</x:v>
      </x:c>
      <x:c r="E1513" s="27" t="str">
        <x:v>S16-COMP-02</x:v>
      </x:c>
      <x:c r="F1513" s="27" t="str">
        <x:v>Evidence, omission, and design choice</x:v>
      </x:c>
      <x:c r="G1513" s="27" t="str">
        <x:v>S16</x:v>
      </x:c>
      <x:c r="H1513" s="27" t="str">
        <x:v>Computing &amp; Media</x:v>
      </x:c>
      <x:c r="I1513" s="27" t="str">
        <x:v>SRC20</x:v>
      </x:c>
      <x:c r="J1513" s="27" t="str">
        <x:v>Grounding form used to preserve meaning.</x:v>
      </x:c>
    </x:row>
    <x:row r="1514">
      <x:c r="A1514" s="27" t="str">
        <x:v>E01510</x:v>
      </x:c>
      <x:c r="B1514" s="27" t="str">
        <x:v>S16-COMP-02</x:v>
      </x:c>
      <x:c r="C1514" s="27" t="str">
        <x:v>Evidence, omission, and design choice</x:v>
      </x:c>
      <x:c r="D1514" s="27" t="str">
        <x:v>CONNECTS_TO</x:v>
      </x:c>
      <x:c r="E1514" s="27" t="str">
        <x:v>S16-COMP-02:CROSS</x:v>
      </x:c>
      <x:c r="F1514" s="27" t="str">
        <x:v>Mathematics/logic/data; language and media evidence; science/engineering models; art/design; civics, privacy, finance, and ethics.</x:v>
      </x:c>
      <x:c r="G1514" s="27" t="str">
        <x:v>S16</x:v>
      </x:c>
      <x:c r="H1514" s="27" t="str">
        <x:v>Computing &amp; Media</x:v>
      </x:c>
      <x:c r="I1514" s="27" t="str">
        <x:v>SRC20</x:v>
      </x:c>
      <x:c r="J1514" s="27" t="str">
        <x:v>Parallel subject and representation links.</x:v>
      </x:c>
    </x:row>
    <x:row r="1515">
      <x:c r="A1515" s="27" t="str">
        <x:v>E01511</x:v>
      </x:c>
      <x:c r="B1515" s="27" t="str">
        <x:v>S16-COMP-02</x:v>
      </x:c>
      <x:c r="C1515" s="27" t="str">
        <x:v>Evidence, omission, and design choice</x:v>
      </x:c>
      <x:c r="D1515" s="27" t="str">
        <x:v>UNLOCKS</x:v>
      </x:c>
      <x:c r="E1515" s="27" t="str">
        <x:v>S16-COMP-02:NEXT</x:v>
      </x:c>
      <x:c r="F1515" s="27" t="str">
        <x:v>Design choices become evidence for analyzing bias, persuasion, and representation.</x:v>
      </x:c>
      <x:c r="G1515" s="27" t="str">
        <x:v>S16</x:v>
      </x:c>
      <x:c r="H1515" s="27" t="str">
        <x:v>Computing &amp; Media</x:v>
      </x:c>
      <x:c r="I1515" s="27" t="str">
        <x:v>SRC20</x:v>
      </x:c>
      <x:c r="J1515" s="27" t="str">
        <x:v>Outgoing use and placement rationale.</x:v>
      </x:c>
    </x:row>
    <x:row r="1516">
      <x:c r="A1516" s="27" t="str">
        <x:v>E01512</x:v>
      </x:c>
      <x:c r="B1516" s="27" t="str">
        <x:v>S16-COMP-02</x:v>
      </x:c>
      <x:c r="C1516" s="27" t="str">
        <x:v>Evidence, omission, and design choice</x:v>
      </x:c>
      <x:c r="D1516" s="27" t="str">
        <x:v>VERIFIED_BY</x:v>
      </x:c>
      <x:c r="E1516" s="27" t="str">
        <x:v>S16-COMP-02:EVIDENCE</x:v>
      </x:c>
      <x:c r="F1516" s="27" t="str">
        <x:v>Compares two presentations and cites a specific design or omission that changes meaning.</x:v>
      </x:c>
      <x:c r="G1516" s="27" t="str">
        <x:v>S16</x:v>
      </x:c>
      <x:c r="H1516" s="27" t="str">
        <x:v>Computing &amp; Media</x:v>
      </x:c>
      <x:c r="I1516" s="27" t="str">
        <x:v>SRC20</x:v>
      </x:c>
      <x:c r="J1516" s="27" t="str">
        <x:v>Observable evidence of usable learning.</x:v>
      </x:c>
    </x:row>
    <x:row r="1517">
      <x:c r="A1517" s="27" t="str">
        <x:v>E01513</x:v>
      </x:c>
      <x:c r="B1517" s="27" t="str">
        <x:v>S15-LIFE-01</x:v>
      </x:c>
      <x:c r="C1517" s="27" t="str">
        <x:v>Previous node in domain progression</x:v>
      </x:c>
      <x:c r="D1517" s="27" t="str">
        <x:v>DOMAIN_SEQUENCE</x:v>
      </x:c>
      <x:c r="E1517" s="27" t="str">
        <x:v>S16-LIFE-01</x:v>
      </x:c>
      <x:c r="F1517" s="27" t="str">
        <x:v>Opportunity cost and financial institutions</x:v>
      </x:c>
      <x:c r="G1517" s="27" t="str">
        <x:v>S16</x:v>
      </x:c>
      <x:c r="H1517" s="27" t="str">
        <x:v>Life, Finance &amp; Career</x:v>
      </x:c>
      <x:c r="I1517" s="27" t="str">
        <x:v>SRC19</x:v>
      </x:c>
      <x:c r="J1517" s="27" t="str">
        <x:v>Ordered spiral link; consult explicit prerequisites for logical dependency.</x:v>
      </x:c>
    </x:row>
    <x:row r="1518">
      <x:c r="A1518" s="27" t="str">
        <x:v>E01514</x:v>
      </x:c>
      <x:c r="B1518" s="27" t="str">
        <x:v>S16-LIFE-01:PREREQ</x:v>
      </x:c>
      <x:c r="C1518" s="27" t="str">
        <x:v>Grade 3 saving goals, multiplication, and consequence analysis.</x:v>
      </x:c>
      <x:c r="D1518" s="27" t="str">
        <x:v>PREREQUISITE</x:v>
      </x:c>
      <x:c r="E1518" s="27" t="str">
        <x:v>S16-LIFE-01</x:v>
      </x:c>
      <x:c r="F1518" s="27" t="str">
        <x:v>Opportunity cost and financial institutions</x:v>
      </x:c>
      <x:c r="G1518" s="27" t="str">
        <x:v>S16</x:v>
      </x:c>
      <x:c r="H1518" s="27" t="str">
        <x:v>Life, Finance &amp; Career</x:v>
      </x:c>
      <x:c r="I1518" s="27" t="str">
        <x:v>SRC19</x:v>
      </x:c>
      <x:c r="J1518" s="27" t="str">
        <x:v>Incoming prerequisite relationship.</x:v>
      </x:c>
    </x:row>
    <x:row r="1519">
      <x:c r="A1519" s="27" t="str">
        <x:v>E01515</x:v>
      </x:c>
      <x:c r="B1519" s="27" t="str">
        <x:v>S16-LIFE-01:GROUND</x:v>
      </x:c>
      <x:c r="C1519" s="27" t="str">
        <x:v>G4/G5 — Concrete model linked to coordinated representations</x:v>
      </x:c>
      <x:c r="D1519" s="27" t="str">
        <x:v>GROUNDED_BY</x:v>
      </x:c>
      <x:c r="E1519" s="27" t="str">
        <x:v>S16-LIFE-01</x:v>
      </x:c>
      <x:c r="F1519" s="27" t="str">
        <x:v>Opportunity cost and financial institutions</x:v>
      </x:c>
      <x:c r="G1519" s="27" t="str">
        <x:v>S16</x:v>
      </x:c>
      <x:c r="H1519" s="27" t="str">
        <x:v>Life, Finance &amp; Career</x:v>
      </x:c>
      <x:c r="I1519" s="27" t="str">
        <x:v>SRC19</x:v>
      </x:c>
      <x:c r="J1519" s="27" t="str">
        <x:v>Grounding form used to preserve meaning.</x:v>
      </x:c>
    </x:row>
    <x:row r="1520">
      <x:c r="A1520" s="27" t="str">
        <x:v>E01516</x:v>
      </x:c>
      <x:c r="B1520" s="27" t="str">
        <x:v>S16-LIFE-01</x:v>
      </x:c>
      <x:c r="C1520" s="27" t="str">
        <x:v>Opportunity cost and financial institutions</x:v>
      </x:c>
      <x:c r="D1520" s="27" t="str">
        <x:v>CONNECTS_TO</x:v>
      </x:c>
      <x:c r="E1520" s="27" t="str">
        <x:v>S16-LIFE-01:CROSS</x:v>
      </x:c>
      <x:c r="F1520" s="27" t="str">
        <x:v>Mathematics/percent/growth; economics/civics; reading contracts/sources; computing/privacy; SEL, planning, and risk decisions.</x:v>
      </x:c>
      <x:c r="G1520" s="27" t="str">
        <x:v>S16</x:v>
      </x:c>
      <x:c r="H1520" s="27" t="str">
        <x:v>Life, Finance &amp; Career</x:v>
      </x:c>
      <x:c r="I1520" s="27" t="str">
        <x:v>SRC19</x:v>
      </x:c>
      <x:c r="J1520" s="27" t="str">
        <x:v>Parallel subject and representation links.</x:v>
      </x:c>
    </x:row>
    <x:row r="1521">
      <x:c r="A1521" s="27" t="str">
        <x:v>E01517</x:v>
      </x:c>
      <x:c r="B1521" s="27" t="str">
        <x:v>S16-LIFE-01</x:v>
      </x:c>
      <x:c r="C1521" s="27" t="str">
        <x:v>Opportunity cost and financial institutions</x:v>
      </x:c>
      <x:c r="D1521" s="27" t="str">
        <x:v>UNLOCKS</x:v>
      </x:c>
      <x:c r="E1521" s="27" t="str">
        <x:v>S16-LIFE-01:NEXT</x:v>
      </x:c>
      <x:c r="F1521" s="27" t="str">
        <x:v>Opportunity cost formalizes tradeoffs; institutions/records prepare account management.</x:v>
      </x:c>
      <x:c r="G1521" s="27" t="str">
        <x:v>S16</x:v>
      </x:c>
      <x:c r="H1521" s="27" t="str">
        <x:v>Life, Finance &amp; Career</x:v>
      </x:c>
      <x:c r="I1521" s="27" t="str">
        <x:v>SRC19</x:v>
      </x:c>
      <x:c r="J1521" s="27" t="str">
        <x:v>Outgoing use and placement rationale.</x:v>
      </x:c>
    </x:row>
    <x:row r="1522">
      <x:c r="A1522" s="27" t="str">
        <x:v>E01518</x:v>
      </x:c>
      <x:c r="B1522" s="27" t="str">
        <x:v>S16-LIFE-01</x:v>
      </x:c>
      <x:c r="C1522" s="27" t="str">
        <x:v>Opportunity cost and financial institutions</x:v>
      </x:c>
      <x:c r="D1522" s="27" t="str">
        <x:v>VERIFIED_BY</x:v>
      </x:c>
      <x:c r="E1522" s="27" t="str">
        <x:v>S16-LIFE-01:EVIDENCE</x:v>
      </x:c>
      <x:c r="F1522" s="27" t="str">
        <x:v>Defends a choice by naming its opportunity cost and selects an appropriate simple financial service.</x:v>
      </x:c>
      <x:c r="G1522" s="27" t="str">
        <x:v>S16</x:v>
      </x:c>
      <x:c r="H1522" s="27" t="str">
        <x:v>Life, Finance &amp; Career</x:v>
      </x:c>
      <x:c r="I1522" s="27" t="str">
        <x:v>SRC19</x:v>
      </x:c>
      <x:c r="J1522" s="27" t="str">
        <x:v>Observable evidence of usable learning.</x:v>
      </x:c>
    </x:row>
    <x:row r="1523">
      <x:c r="A1523" s="27" t="str">
        <x:v>E01519</x:v>
      </x:c>
      <x:c r="B1523" s="27" t="str">
        <x:v>S16-LEARN-01</x:v>
      </x:c>
      <x:c r="C1523" s="27" t="str">
        <x:v>Previous node in domain progression</x:v>
      </x:c>
      <x:c r="D1523" s="27" t="str">
        <x:v>DOMAIN_SEQUENCE</x:v>
      </x:c>
      <x:c r="E1523" s="27" t="str">
        <x:v>S17-LEARN-01</x:v>
      </x:c>
      <x:c r="F1523" s="27" t="str">
        <x:v>Plan, schedule, retrieve, revise</x:v>
      </x:c>
      <x:c r="G1523" s="27" t="str">
        <x:v>S17</x:v>
      </x:c>
      <x:c r="H1523" s="27" t="str">
        <x:v>Learning Foundations</x:v>
      </x:c>
      <x:c r="I1523" s="27" t="str">
        <x:v>SRC05; SRC23</x:v>
      </x:c>
      <x:c r="J1523" s="27" t="str">
        <x:v>Ordered spiral link; consult explicit prerequisites for logical dependency.</x:v>
      </x:c>
    </x:row>
    <x:row r="1524">
      <x:c r="A1524" s="27" t="str">
        <x:v>E01520</x:v>
      </x:c>
      <x:c r="B1524" s="27" t="str">
        <x:v>S17-LEARN-01:PREREQ</x:v>
      </x:c>
      <x:c r="C1524" s="27" t="str">
        <x:v>Strategy selection, goal cycles, and error classification.</x:v>
      </x:c>
      <x:c r="D1524" s="27" t="str">
        <x:v>PREREQUISITE</x:v>
      </x:c>
      <x:c r="E1524" s="27" t="str">
        <x:v>S17-LEARN-01</x:v>
      </x:c>
      <x:c r="F1524" s="27" t="str">
        <x:v>Plan, schedule, retrieve, revise</x:v>
      </x:c>
      <x:c r="G1524" s="27" t="str">
        <x:v>S17</x:v>
      </x:c>
      <x:c r="H1524" s="27" t="str">
        <x:v>Learning Foundations</x:v>
      </x:c>
      <x:c r="I1524" s="27" t="str">
        <x:v>SRC05; SRC23</x:v>
      </x:c>
      <x:c r="J1524" s="27" t="str">
        <x:v>Incoming prerequisite relationship.</x:v>
      </x:c>
    </x:row>
    <x:row r="1525">
      <x:c r="A1525" s="27" t="str">
        <x:v>E01521</x:v>
      </x:c>
      <x:c r="B1525" s="27" t="str">
        <x:v>S17-LEARN-01:GROUND</x:v>
      </x:c>
      <x:c r="C1525" s="27" t="str">
        <x:v>G4/G5 — Concrete model linked to coordinated representations</x:v>
      </x:c>
      <x:c r="D1525" s="27" t="str">
        <x:v>GROUNDED_BY</x:v>
      </x:c>
      <x:c r="E1525" s="27" t="str">
        <x:v>S17-LEARN-01</x:v>
      </x:c>
      <x:c r="F1525" s="27" t="str">
        <x:v>Plan, schedule, retrieve, revise</x:v>
      </x:c>
      <x:c r="G1525" s="27" t="str">
        <x:v>S17</x:v>
      </x:c>
      <x:c r="H1525" s="27" t="str">
        <x:v>Learning Foundations</x:v>
      </x:c>
      <x:c r="I1525" s="27" t="str">
        <x:v>SRC05; SRC23</x:v>
      </x:c>
      <x:c r="J1525" s="27" t="str">
        <x:v>Grounding form used to preserve meaning.</x:v>
      </x:c>
    </x:row>
    <x:row r="1526">
      <x:c r="A1526" s="27" t="str">
        <x:v>E01522</x:v>
      </x:c>
      <x:c r="B1526" s="27" t="str">
        <x:v>S17-LEARN-01</x:v>
      </x:c>
      <x:c r="C1526" s="27" t="str">
        <x:v>Plan, schedule, retrieve, revise</x:v>
      </x:c>
      <x:c r="D1526" s="27" t="str">
        <x:v>CONNECTS_TO</x:v>
      </x:c>
      <x:c r="E1526" s="27" t="str">
        <x:v>S17-LEARN-01:CROSS</x:v>
      </x:c>
      <x:c r="F1526" s="27" t="str">
        <x:v>All domains: attention, memory, strategy choice, monitoring, retrieval, and transfer.</x:v>
      </x:c>
      <x:c r="G1526" s="27" t="str">
        <x:v>S17</x:v>
      </x:c>
      <x:c r="H1526" s="27" t="str">
        <x:v>Learning Foundations</x:v>
      </x:c>
      <x:c r="I1526" s="27" t="str">
        <x:v>SRC05; SRC23</x:v>
      </x:c>
      <x:c r="J1526" s="27" t="str">
        <x:v>Parallel subject and representation links.</x:v>
      </x:c>
    </x:row>
    <x:row r="1527">
      <x:c r="A1527" s="27" t="str">
        <x:v>E01523</x:v>
      </x:c>
      <x:c r="B1527" s="27" t="str">
        <x:v>S17-LEARN-01</x:v>
      </x:c>
      <x:c r="C1527" s="27" t="str">
        <x:v>Plan, schedule, retrieve, revise</x:v>
      </x:c>
      <x:c r="D1527" s="27" t="str">
        <x:v>UNLOCKS</x:v>
      </x:c>
      <x:c r="E1527" s="27" t="str">
        <x:v>S17-LEARN-01:NEXT</x:v>
      </x:c>
      <x:c r="F1527" s="27" t="str">
        <x:v>Project planning integrates executive function with evidence-based study methods.</x:v>
      </x:c>
      <x:c r="G1527" s="27" t="str">
        <x:v>S17</x:v>
      </x:c>
      <x:c r="H1527" s="27" t="str">
        <x:v>Learning Foundations</x:v>
      </x:c>
      <x:c r="I1527" s="27" t="str">
        <x:v>SRC05; SRC23</x:v>
      </x:c>
      <x:c r="J1527" s="27" t="str">
        <x:v>Outgoing use and placement rationale.</x:v>
      </x:c>
    </x:row>
    <x:row r="1528">
      <x:c r="A1528" s="27" t="str">
        <x:v>E01524</x:v>
      </x:c>
      <x:c r="B1528" s="27" t="str">
        <x:v>S17-LEARN-01</x:v>
      </x:c>
      <x:c r="C1528" s="27" t="str">
        <x:v>Plan, schedule, retrieve, revise</x:v>
      </x:c>
      <x:c r="D1528" s="27" t="str">
        <x:v>VERIFIED_BY</x:v>
      </x:c>
      <x:c r="E1528" s="27" t="str">
        <x:v>S17-LEARN-01:EVIDENCE</x:v>
      </x:c>
      <x:c r="F1528" s="27" t="str">
        <x:v>Creates and follows a dated plan, records retrieval results, and updates a weak step.</x:v>
      </x:c>
      <x:c r="G1528" s="27" t="str">
        <x:v>S17</x:v>
      </x:c>
      <x:c r="H1528" s="27" t="str">
        <x:v>Learning Foundations</x:v>
      </x:c>
      <x:c r="I1528" s="27" t="str">
        <x:v>SRC05; SRC23</x:v>
      </x:c>
      <x:c r="J1528" s="27" t="str">
        <x:v>Observable evidence of usable learning.</x:v>
      </x:c>
    </x:row>
    <x:row r="1529">
      <x:c r="A1529" s="27" t="str">
        <x:v>E01525</x:v>
      </x:c>
      <x:c r="B1529" s="27" t="str">
        <x:v>S16-SEL-01</x:v>
      </x:c>
      <x:c r="C1529" s="27" t="str">
        <x:v>Previous node in domain progression</x:v>
      </x:c>
      <x:c r="D1529" s="27" t="str">
        <x:v>DOMAIN_SEQUENCE</x:v>
      </x:c>
      <x:c r="E1529" s="27" t="str">
        <x:v>S17-SEL-01</x:v>
      </x:c>
      <x:c r="F1529" s="27" t="str">
        <x:v>Roles, norms, inclusion, and accountability</x:v>
      </x:c>
      <x:c r="G1529" s="27" t="str">
        <x:v>S17</x:v>
      </x:c>
      <x:c r="H1529" s="27" t="str">
        <x:v>Social-Emotional</x:v>
      </x:c>
      <x:c r="I1529" s="27" t="str">
        <x:v>SRC18</x:v>
      </x:c>
      <x:c r="J1529" s="27" t="str">
        <x:v>Ordered spiral link; consult explicit prerequisites for logical dependency.</x:v>
      </x:c>
    </x:row>
    <x:row r="1530">
      <x:c r="A1530" s="27" t="str">
        <x:v>E01526</x:v>
      </x:c>
      <x:c r="B1530" s="27" t="str">
        <x:v>S17-SEL-01:PREREQ</x:v>
      </x:c>
      <x:c r="C1530" s="27" t="str">
        <x:v>Grade 4 consensus, shared feedback, and perspective-taking.</x:v>
      </x:c>
      <x:c r="D1530" s="27" t="str">
        <x:v>PREREQUISITE</x:v>
      </x:c>
      <x:c r="E1530" s="27" t="str">
        <x:v>S17-SEL-01</x:v>
      </x:c>
      <x:c r="F1530" s="27" t="str">
        <x:v>Roles, norms, inclusion, and accountability</x:v>
      </x:c>
      <x:c r="G1530" s="27" t="str">
        <x:v>S17</x:v>
      </x:c>
      <x:c r="H1530" s="27" t="str">
        <x:v>Social-Emotional</x:v>
      </x:c>
      <x:c r="I1530" s="27" t="str">
        <x:v>SRC18</x:v>
      </x:c>
      <x:c r="J1530" s="27" t="str">
        <x:v>Incoming prerequisite relationship.</x:v>
      </x:c>
    </x:row>
    <x:row r="1531">
      <x:c r="A1531" s="27" t="str">
        <x:v>E01527</x:v>
      </x:c>
      <x:c r="B1531" s="27" t="str">
        <x:v>S17-SEL-01:GROUND</x:v>
      </x:c>
      <x:c r="C1531" s="27" t="str">
        <x:v>G4/G5 — Concrete model linked to coordinated representations</x:v>
      </x:c>
      <x:c r="D1531" s="27" t="str">
        <x:v>GROUNDED_BY</x:v>
      </x:c>
      <x:c r="E1531" s="27" t="str">
        <x:v>S17-SEL-01</x:v>
      </x:c>
      <x:c r="F1531" s="27" t="str">
        <x:v>Roles, norms, inclusion, and accountability</x:v>
      </x:c>
      <x:c r="G1531" s="27" t="str">
        <x:v>S17</x:v>
      </x:c>
      <x:c r="H1531" s="27" t="str">
        <x:v>Social-Emotional</x:v>
      </x:c>
      <x:c r="I1531" s="27" t="str">
        <x:v>SRC18</x:v>
      </x:c>
      <x:c r="J1531" s="27" t="str">
        <x:v>Grounding form used to preserve meaning.</x:v>
      </x:c>
    </x:row>
    <x:row r="1532">
      <x:c r="A1532" s="27" t="str">
        <x:v>E01528</x:v>
      </x:c>
      <x:c r="B1532" s="27" t="str">
        <x:v>S17-SEL-01</x:v>
      </x:c>
      <x:c r="C1532" s="27" t="str">
        <x:v>Roles, norms, inclusion, and accountability</x:v>
      </x:c>
      <x:c r="D1532" s="27" t="str">
        <x:v>CONNECTS_TO</x:v>
      </x:c>
      <x:c r="E1532" s="27" t="str">
        <x:v>S17-SEL-01:CROSS</x:v>
      </x:c>
      <x:c r="F1532" s="27" t="str">
        <x:v>Language and communication; health; collaboration in science, arts, civics, and projects; responsible digital/financial decisions.</x:v>
      </x:c>
      <x:c r="G1532" s="27" t="str">
        <x:v>S17</x:v>
      </x:c>
      <x:c r="H1532" s="27" t="str">
        <x:v>Social-Emotional</x:v>
      </x:c>
      <x:c r="I1532" s="27" t="str">
        <x:v>SRC18</x:v>
      </x:c>
      <x:c r="J1532" s="27" t="str">
        <x:v>Parallel subject and representation links.</x:v>
      </x:c>
    </x:row>
    <x:row r="1533">
      <x:c r="A1533" s="27" t="str">
        <x:v>E01529</x:v>
      </x:c>
      <x:c r="B1533" s="27" t="str">
        <x:v>S17-SEL-01</x:v>
      </x:c>
      <x:c r="C1533" s="27" t="str">
        <x:v>Roles, norms, inclusion, and accountability</x:v>
      </x:c>
      <x:c r="D1533" s="27" t="str">
        <x:v>UNLOCKS</x:v>
      </x:c>
      <x:c r="E1533" s="27" t="str">
        <x:v>S17-SEL-01:NEXT</x:v>
      </x:c>
      <x:c r="F1533" s="27" t="str">
        <x:v>Explicit team structures support equitable independent projects and civic action.</x:v>
      </x:c>
      <x:c r="G1533" s="27" t="str">
        <x:v>S17</x:v>
      </x:c>
      <x:c r="H1533" s="27" t="str">
        <x:v>Social-Emotional</x:v>
      </x:c>
      <x:c r="I1533" s="27" t="str">
        <x:v>SRC18</x:v>
      </x:c>
      <x:c r="J1533" s="27" t="str">
        <x:v>Outgoing use and placement rationale.</x:v>
      </x:c>
    </x:row>
    <x:row r="1534">
      <x:c r="A1534" s="27" t="str">
        <x:v>E01530</x:v>
      </x:c>
      <x:c r="B1534" s="27" t="str">
        <x:v>S17-SEL-01</x:v>
      </x:c>
      <x:c r="C1534" s="27" t="str">
        <x:v>Roles, norms, inclusion, and accountability</x:v>
      </x:c>
      <x:c r="D1534" s="27" t="str">
        <x:v>VERIFIED_BY</x:v>
      </x:c>
      <x:c r="E1534" s="27" t="str">
        <x:v>S17-SEL-01:EVIDENCE</x:v>
      </x:c>
      <x:c r="F1534" s="27" t="str">
        <x:v>Uses a role/norm record to explain contributions, a decision, and a needed adjustment.</x:v>
      </x:c>
      <x:c r="G1534" s="27" t="str">
        <x:v>S17</x:v>
      </x:c>
      <x:c r="H1534" s="27" t="str">
        <x:v>Social-Emotional</x:v>
      </x:c>
      <x:c r="I1534" s="27" t="str">
        <x:v>SRC18</x:v>
      </x:c>
      <x:c r="J1534" s="27" t="str">
        <x:v>Observable evidence of usable learning.</x:v>
      </x:c>
    </x:row>
    <x:row r="1535">
      <x:c r="A1535" s="27" t="str">
        <x:v>E01531</x:v>
      </x:c>
      <x:c r="B1535" s="27" t="str">
        <x:v>S16-READ-04</x:v>
      </x:c>
      <x:c r="C1535" s="27" t="str">
        <x:v>Previous node in domain progression</x:v>
      </x:c>
      <x:c r="D1535" s="27" t="str">
        <x:v>DOMAIN_SEQUENCE</x:v>
      </x:c>
      <x:c r="E1535" s="27" t="str">
        <x:v>S17-READ-01</x:v>
      </x:c>
      <x:c r="F1535" s="27" t="str">
        <x:v>Quote accurately, infer, summarize, and synthesize</x:v>
      </x:c>
      <x:c r="G1535" s="27" t="str">
        <x:v>S17</x:v>
      </x:c>
      <x:c r="H1535" s="27" t="str">
        <x:v>Reading</x:v>
      </x:c>
      <x:c r="I1535" s="27" t="str">
        <x:v>SRC10</x:v>
      </x:c>
      <x:c r="J1535" s="27" t="str">
        <x:v>Ordered spiral link; consult explicit prerequisites for logical dependency.</x:v>
      </x:c>
    </x:row>
    <x:row r="1536">
      <x:c r="A1536" s="27" t="str">
        <x:v>E01532</x:v>
      </x:c>
      <x:c r="B1536" s="27" t="str">
        <x:v>S17-READ-01:PREREQ</x:v>
      </x:c>
      <x:c r="C1536" s="27" t="str">
        <x:v>Grade 4 evidence, structure, viewpoint, and morphology.</x:v>
      </x:c>
      <x:c r="D1536" s="27" t="str">
        <x:v>PREREQUISITE</x:v>
      </x:c>
      <x:c r="E1536" s="27" t="str">
        <x:v>S17-READ-01</x:v>
      </x:c>
      <x:c r="F1536" s="27" t="str">
        <x:v>Quote accurately, infer, summarize, and synthesize</x:v>
      </x:c>
      <x:c r="G1536" s="27" t="str">
        <x:v>S17</x:v>
      </x:c>
      <x:c r="H1536" s="27" t="str">
        <x:v>Reading</x:v>
      </x:c>
      <x:c r="I1536" s="27" t="str">
        <x:v>SRC10</x:v>
      </x:c>
      <x:c r="J1536" s="27" t="str">
        <x:v>Incoming prerequisite relationship.</x:v>
      </x:c>
    </x:row>
    <x:row r="1537">
      <x:c r="A1537" s="27" t="str">
        <x:v>E01533</x:v>
      </x:c>
      <x:c r="B1537" s="27" t="str">
        <x:v>S17-READ-01:GROUND</x:v>
      </x:c>
      <x:c r="C1537" s="27" t="str">
        <x:v>G4/G5 — Concrete model linked to coordinated representations</x:v>
      </x:c>
      <x:c r="D1537" s="27" t="str">
        <x:v>GROUNDED_BY</x:v>
      </x:c>
      <x:c r="E1537" s="27" t="str">
        <x:v>S17-READ-01</x:v>
      </x:c>
      <x:c r="F1537" s="27" t="str">
        <x:v>Quote accurately, infer, summarize, and synthesize</x:v>
      </x:c>
      <x:c r="G1537" s="27" t="str">
        <x:v>S17</x:v>
      </x:c>
      <x:c r="H1537" s="27" t="str">
        <x:v>Reading</x:v>
      </x:c>
      <x:c r="I1537" s="27" t="str">
        <x:v>SRC10</x:v>
      </x:c>
      <x:c r="J1537" s="27" t="str">
        <x:v>Grounding form used to preserve meaning.</x:v>
      </x:c>
    </x:row>
    <x:row r="1538">
      <x:c r="A1538" s="27" t="str">
        <x:v>E01534</x:v>
      </x:c>
      <x:c r="B1538" s="27" t="str">
        <x:v>S17-READ-01</x:v>
      </x:c>
      <x:c r="C1538" s="27" t="str">
        <x:v>Quote accurately, infer, summarize, and synthesize</x:v>
      </x:c>
      <x:c r="D1538" s="27" t="str">
        <x:v>CONNECTS_TO</x:v>
      </x:c>
      <x:c r="E1538" s="27" t="str">
        <x:v>S17-READ-01:CROSS</x:v>
      </x:c>
      <x:c r="F1538" s="27" t="str">
        <x:v>Oral language and writing; evidence in science/social studies; mathematical and technical problem interpretation; media verification.</x:v>
      </x:c>
      <x:c r="G1538" s="27" t="str">
        <x:v>S17</x:v>
      </x:c>
      <x:c r="H1538" s="27" t="str">
        <x:v>Reading</x:v>
      </x:c>
      <x:c r="I1538" s="27" t="str">
        <x:v>SRC10</x:v>
      </x:c>
      <x:c r="J1538" s="27" t="str">
        <x:v>Parallel subject and representation links.</x:v>
      </x:c>
    </x:row>
    <x:row r="1539">
      <x:c r="A1539" s="27" t="str">
        <x:v>E01535</x:v>
      </x:c>
      <x:c r="B1539" s="27" t="str">
        <x:v>S17-READ-01</x:v>
      </x:c>
      <x:c r="C1539" s="27" t="str">
        <x:v>Quote accurately, infer, summarize, and synthesize</x:v>
      </x:c>
      <x:c r="D1539" s="27" t="str">
        <x:v>UNLOCKS</x:v>
      </x:c>
      <x:c r="E1539" s="27" t="str">
        <x:v>S17-READ-01:NEXT</x:v>
      </x:c>
      <x:c r="F1539" s="27" t="str">
        <x:v>Coordinating evidence across a longer text prepares disciplinary literacy.</x:v>
      </x:c>
      <x:c r="G1539" s="27" t="str">
        <x:v>S17</x:v>
      </x:c>
      <x:c r="H1539" s="27" t="str">
        <x:v>Reading</x:v>
      </x:c>
      <x:c r="I1539" s="27" t="str">
        <x:v>SRC10</x:v>
      </x:c>
      <x:c r="J1539" s="27" t="str">
        <x:v>Outgoing use and placement rationale.</x:v>
      </x:c>
    </x:row>
    <x:row r="1540">
      <x:c r="A1540" s="27" t="str">
        <x:v>E01536</x:v>
      </x:c>
      <x:c r="B1540" s="27" t="str">
        <x:v>S17-READ-01</x:v>
      </x:c>
      <x:c r="C1540" s="27" t="str">
        <x:v>Quote accurately, infer, summarize, and synthesize</x:v>
      </x:c>
      <x:c r="D1540" s="27" t="str">
        <x:v>VERIFIED_BY</x:v>
      </x:c>
      <x:c r="E1540" s="27" t="str">
        <x:v>S17-READ-01:EVIDENCE</x:v>
      </x:c>
      <x:c r="F1540" s="27" t="str">
        <x:v>Produces a concise synthesis with accurate quotations and no central distortion.</x:v>
      </x:c>
      <x:c r="G1540" s="27" t="str">
        <x:v>S17</x:v>
      </x:c>
      <x:c r="H1540" s="27" t="str">
        <x:v>Reading</x:v>
      </x:c>
      <x:c r="I1540" s="27" t="str">
        <x:v>SRC10</x:v>
      </x:c>
      <x:c r="J1540" s="27" t="str">
        <x:v>Observable evidence of usable learning.</x:v>
      </x:c>
    </x:row>
    <x:row r="1541">
      <x:c r="A1541" s="27" t="str">
        <x:v>E01537</x:v>
      </x:c>
      <x:c r="B1541" s="27" t="str">
        <x:v>S17-READ-01</x:v>
      </x:c>
      <x:c r="C1541" s="27" t="str">
        <x:v>Previous node in domain progression</x:v>
      </x:c>
      <x:c r="D1541" s="27" t="str">
        <x:v>DOMAIN_SEQUENCE</x:v>
      </x:c>
      <x:c r="E1541" s="27" t="str">
        <x:v>S17-READ-02</x:v>
      </x:c>
      <x:c r="F1541" s="27" t="str">
        <x:v>Point of view, reasons, evidence, and multimedia</x:v>
      </x:c>
      <x:c r="G1541" s="27" t="str">
        <x:v>S17</x:v>
      </x:c>
      <x:c r="H1541" s="27" t="str">
        <x:v>Reading</x:v>
      </x:c>
      <x:c r="I1541" s="27" t="str">
        <x:v>SRC10; SRC20</x:v>
      </x:c>
      <x:c r="J1541" s="27" t="str">
        <x:v>Ordered spiral link; consult explicit prerequisites for logical dependency.</x:v>
      </x:c>
    </x:row>
    <x:row r="1542">
      <x:c r="A1542" s="27" t="str">
        <x:v>E01538</x:v>
      </x:c>
      <x:c r="B1542" s="27" t="str">
        <x:v>S17-READ-02:PREREQ</x:v>
      </x:c>
      <x:c r="C1542" s="27" t="str">
        <x:v>Grade 4 critical reading and media design analysis.</x:v>
      </x:c>
      <x:c r="D1542" s="27" t="str">
        <x:v>PREREQUISITE</x:v>
      </x:c>
      <x:c r="E1542" s="27" t="str">
        <x:v>S17-READ-02</x:v>
      </x:c>
      <x:c r="F1542" s="27" t="str">
        <x:v>Point of view, reasons, evidence, and multimedia</x:v>
      </x:c>
      <x:c r="G1542" s="27" t="str">
        <x:v>S17</x:v>
      </x:c>
      <x:c r="H1542" s="27" t="str">
        <x:v>Reading</x:v>
      </x:c>
      <x:c r="I1542" s="27" t="str">
        <x:v>SRC10; SRC20</x:v>
      </x:c>
      <x:c r="J1542" s="27" t="str">
        <x:v>Incoming prerequisite relationship.</x:v>
      </x:c>
    </x:row>
    <x:row r="1543">
      <x:c r="A1543" s="27" t="str">
        <x:v>E01539</x:v>
      </x:c>
      <x:c r="B1543" s="27" t="str">
        <x:v>S17-READ-02:GROUND</x:v>
      </x:c>
      <x:c r="C1543" s="27" t="str">
        <x:v>G4/G5 — Concrete model linked to coordinated representations</x:v>
      </x:c>
      <x:c r="D1543" s="27" t="str">
        <x:v>GROUNDED_BY</x:v>
      </x:c>
      <x:c r="E1543" s="27" t="str">
        <x:v>S17-READ-02</x:v>
      </x:c>
      <x:c r="F1543" s="27" t="str">
        <x:v>Point of view, reasons, evidence, and multimedia</x:v>
      </x:c>
      <x:c r="G1543" s="27" t="str">
        <x:v>S17</x:v>
      </x:c>
      <x:c r="H1543" s="27" t="str">
        <x:v>Reading</x:v>
      </x:c>
      <x:c r="I1543" s="27" t="str">
        <x:v>SRC10; SRC20</x:v>
      </x:c>
      <x:c r="J1543" s="27" t="str">
        <x:v>Grounding form used to preserve meaning.</x:v>
      </x:c>
    </x:row>
    <x:row r="1544">
      <x:c r="A1544" s="27" t="str">
        <x:v>E01540</x:v>
      </x:c>
      <x:c r="B1544" s="27" t="str">
        <x:v>S17-READ-02</x:v>
      </x:c>
      <x:c r="C1544" s="27" t="str">
        <x:v>Point of view, reasons, evidence, and multimedia</x:v>
      </x:c>
      <x:c r="D1544" s="27" t="str">
        <x:v>CONNECTS_TO</x:v>
      </x:c>
      <x:c r="E1544" s="27" t="str">
        <x:v>S17-READ-02:CROSS</x:v>
      </x:c>
      <x:c r="F1544" s="27" t="str">
        <x:v>Oral language and writing; evidence in science/social studies; mathematical and technical problem interpretation; media verification.</x:v>
      </x:c>
      <x:c r="G1544" s="27" t="str">
        <x:v>S17</x:v>
      </x:c>
      <x:c r="H1544" s="27" t="str">
        <x:v>Reading</x:v>
      </x:c>
      <x:c r="I1544" s="27" t="str">
        <x:v>SRC10; SRC20</x:v>
      </x:c>
      <x:c r="J1544" s="27" t="str">
        <x:v>Parallel subject and representation links.</x:v>
      </x:c>
    </x:row>
    <x:row r="1545">
      <x:c r="A1545" s="27" t="str">
        <x:v>E01541</x:v>
      </x:c>
      <x:c r="B1545" s="27" t="str">
        <x:v>S17-READ-02</x:v>
      </x:c>
      <x:c r="C1545" s="27" t="str">
        <x:v>Point of view, reasons, evidence, and multimedia</x:v>
      </x:c>
      <x:c r="D1545" s="27" t="str">
        <x:v>UNLOCKS</x:v>
      </x:c>
      <x:c r="E1545" s="27" t="str">
        <x:v>S17-READ-02:NEXT</x:v>
      </x:c>
      <x:c r="F1545" s="27" t="str">
        <x:v>Author-choice analysis prepares rhetoric, argument evaluation, and source selection.</x:v>
      </x:c>
      <x:c r="G1545" s="27" t="str">
        <x:v>S17</x:v>
      </x:c>
      <x:c r="H1545" s="27" t="str">
        <x:v>Reading</x:v>
      </x:c>
      <x:c r="I1545" s="27" t="str">
        <x:v>SRC10; SRC20</x:v>
      </x:c>
      <x:c r="J1545" s="27" t="str">
        <x:v>Outgoing use and placement rationale.</x:v>
      </x:c>
    </x:row>
    <x:row r="1546">
      <x:c r="A1546" s="27" t="str">
        <x:v>E01542</x:v>
      </x:c>
      <x:c r="B1546" s="27" t="str">
        <x:v>S17-READ-02</x:v>
      </x:c>
      <x:c r="C1546" s="27" t="str">
        <x:v>Point of view, reasons, evidence, and multimedia</x:v>
      </x:c>
      <x:c r="D1546" s="27" t="str">
        <x:v>VERIFIED_BY</x:v>
      </x:c>
      <x:c r="E1546" s="27" t="str">
        <x:v>S17-READ-02:EVIDENCE</x:v>
      </x:c>
      <x:c r="F1546" s="27" t="str">
        <x:v>Evaluates a claim or effect using multiple specific author/design choices.</x:v>
      </x:c>
      <x:c r="G1546" s="27" t="str">
        <x:v>S17</x:v>
      </x:c>
      <x:c r="H1546" s="27" t="str">
        <x:v>Reading</x:v>
      </x:c>
      <x:c r="I1546" s="27" t="str">
        <x:v>SRC10; SRC20</x:v>
      </x:c>
      <x:c r="J1546" s="27" t="str">
        <x:v>Observable evidence of usable learning.</x:v>
      </x:c>
    </x:row>
    <x:row r="1547">
      <x:c r="A1547" s="27" t="str">
        <x:v>E01543</x:v>
      </x:c>
      <x:c r="B1547" s="27" t="str">
        <x:v>S16-WRITE-03</x:v>
      </x:c>
      <x:c r="C1547" s="27" t="str">
        <x:v>Previous node in domain progression</x:v>
      </x:c>
      <x:c r="D1547" s="27" t="str">
        <x:v>DOMAIN_SEQUENCE</x:v>
      </x:c>
      <x:c r="E1547" s="27" t="str">
        <x:v>S17-WRITE-01</x:v>
      </x:c>
      <x:c r="F1547" s="27" t="str">
        <x:v>Thesis/claim, evidence, reasoning, and counterpoint introduction</x:v>
      </x:c>
      <x:c r="G1547" s="27" t="str">
        <x:v>S17</x:v>
      </x:c>
      <x:c r="H1547" s="27" t="str">
        <x:v>Writing &amp; Language</x:v>
      </x:c>
      <x:c r="I1547" s="27" t="str">
        <x:v>SRC10; SRC21</x:v>
      </x:c>
      <x:c r="J1547" s="27" t="str">
        <x:v>Ordered spiral link; consult explicit prerequisites for logical dependency.</x:v>
      </x:c>
    </x:row>
    <x:row r="1548">
      <x:c r="A1548" s="27" t="str">
        <x:v>E01544</x:v>
      </x:c>
      <x:c r="B1548" s="27" t="str">
        <x:v>S17-WRITE-01:PREREQ</x:v>
      </x:c>
      <x:c r="C1548" s="27" t="str">
        <x:v>Multi-paragraph composition, evidence paragraphs, and perspective disagreement.</x:v>
      </x:c>
      <x:c r="D1548" s="27" t="str">
        <x:v>PREREQUISITE</x:v>
      </x:c>
      <x:c r="E1548" s="27" t="str">
        <x:v>S17-WRITE-01</x:v>
      </x:c>
      <x:c r="F1548" s="27" t="str">
        <x:v>Thesis/claim, evidence, reasoning, and counterpoint introduction</x:v>
      </x:c>
      <x:c r="G1548" s="27" t="str">
        <x:v>S17</x:v>
      </x:c>
      <x:c r="H1548" s="27" t="str">
        <x:v>Writing &amp; Language</x:v>
      </x:c>
      <x:c r="I1548" s="27" t="str">
        <x:v>SRC10; SRC21</x:v>
      </x:c>
      <x:c r="J1548" s="27" t="str">
        <x:v>Incoming prerequisite relationship.</x:v>
      </x:c>
    </x:row>
    <x:row r="1549">
      <x:c r="A1549" s="27" t="str">
        <x:v>E01545</x:v>
      </x:c>
      <x:c r="B1549" s="27" t="str">
        <x:v>S17-WRITE-01:GROUND</x:v>
      </x:c>
      <x:c r="C1549" s="27" t="str">
        <x:v>G4/G5 — Concrete model linked to coordinated representations</x:v>
      </x:c>
      <x:c r="D1549" s="27" t="str">
        <x:v>GROUNDED_BY</x:v>
      </x:c>
      <x:c r="E1549" s="27" t="str">
        <x:v>S17-WRITE-01</x:v>
      </x:c>
      <x:c r="F1549" s="27" t="str">
        <x:v>Thesis/claim, evidence, reasoning, and counterpoint introduction</x:v>
      </x:c>
      <x:c r="G1549" s="27" t="str">
        <x:v>S17</x:v>
      </x:c>
      <x:c r="H1549" s="27" t="str">
        <x:v>Writing &amp; Language</x:v>
      </x:c>
      <x:c r="I1549" s="27" t="str">
        <x:v>SRC10; SRC21</x:v>
      </x:c>
      <x:c r="J1549" s="27" t="str">
        <x:v>Grounding form used to preserve meaning.</x:v>
      </x:c>
    </x:row>
    <x:row r="1550">
      <x:c r="A1550" s="27" t="str">
        <x:v>E01546</x:v>
      </x:c>
      <x:c r="B1550" s="27" t="str">
        <x:v>S17-WRITE-01</x:v>
      </x:c>
      <x:c r="C1550" s="27" t="str">
        <x:v>Thesis/claim, evidence, reasoning, and counterpoint introduction</x:v>
      </x:c>
      <x:c r="D1550" s="27" t="str">
        <x:v>CONNECTS_TO</x:v>
      </x:c>
      <x:c r="E1550" s="27" t="str">
        <x:v>S17-WRITE-01:CROSS</x:v>
      </x:c>
      <x:c r="F1550" s="27" t="str">
        <x:v>Reading models; evidence from science/social studies; mathematical explanation; research, media, and presentation.</x:v>
      </x:c>
      <x:c r="G1550" s="27" t="str">
        <x:v>S17</x:v>
      </x:c>
      <x:c r="H1550" s="27" t="str">
        <x:v>Writing &amp; Language</x:v>
      </x:c>
      <x:c r="I1550" s="27" t="str">
        <x:v>SRC10; SRC21</x:v>
      </x:c>
      <x:c r="J1550" s="27" t="str">
        <x:v>Parallel subject and representation links.</x:v>
      </x:c>
    </x:row>
    <x:row r="1551">
      <x:c r="A1551" s="27" t="str">
        <x:v>E01547</x:v>
      </x:c>
      <x:c r="B1551" s="27" t="str">
        <x:v>S17-WRITE-01</x:v>
      </x:c>
      <x:c r="C1551" s="27" t="str">
        <x:v>Thesis/claim, evidence, reasoning, and counterpoint introduction</x:v>
      </x:c>
      <x:c r="D1551" s="27" t="str">
        <x:v>UNLOCKS</x:v>
      </x:c>
      <x:c r="E1551" s="27" t="str">
        <x:v>S17-WRITE-01:NEXT</x:v>
      </x:c>
      <x:c r="F1551" s="27" t="str">
        <x:v>Claim-evidence-reasoning is the central unit for secondary academic writing.</x:v>
      </x:c>
      <x:c r="G1551" s="27" t="str">
        <x:v>S17</x:v>
      </x:c>
      <x:c r="H1551" s="27" t="str">
        <x:v>Writing &amp; Language</x:v>
      </x:c>
      <x:c r="I1551" s="27" t="str">
        <x:v>SRC10; SRC21</x:v>
      </x:c>
      <x:c r="J1551" s="27" t="str">
        <x:v>Outgoing use and placement rationale.</x:v>
      </x:c>
    </x:row>
    <x:row r="1552">
      <x:c r="A1552" s="27" t="str">
        <x:v>E01548</x:v>
      </x:c>
      <x:c r="B1552" s="27" t="str">
        <x:v>S17-WRITE-01</x:v>
      </x:c>
      <x:c r="C1552" s="27" t="str">
        <x:v>Thesis/claim, evidence, reasoning, and counterpoint introduction</x:v>
      </x:c>
      <x:c r="D1552" s="27" t="str">
        <x:v>VERIFIED_BY</x:v>
      </x:c>
      <x:c r="E1552" s="27" t="str">
        <x:v>S17-WRITE-01:EVIDENCE</x:v>
      </x:c>
      <x:c r="F1552" s="27" t="str">
        <x:v>Writes a sustained response in which cited evidence is explicitly explained.</x:v>
      </x:c>
      <x:c r="G1552" s="27" t="str">
        <x:v>S17</x:v>
      </x:c>
      <x:c r="H1552" s="27" t="str">
        <x:v>Writing &amp; Language</x:v>
      </x:c>
      <x:c r="I1552" s="27" t="str">
        <x:v>SRC10; SRC21</x:v>
      </x:c>
      <x:c r="J1552" s="27" t="str">
        <x:v>Observable evidence of usable learning.</x:v>
      </x:c>
    </x:row>
    <x:row r="1553">
      <x:c r="A1553" s="27" t="str">
        <x:v>E01549</x:v>
      </x:c>
      <x:c r="B1553" s="27" t="str">
        <x:v>S17-WRITE-01</x:v>
      </x:c>
      <x:c r="C1553" s="27" t="str">
        <x:v>Previous node in domain progression</x:v>
      </x:c>
      <x:c r="D1553" s="27" t="str">
        <x:v>DOMAIN_SEQUENCE</x:v>
      </x:c>
      <x:c r="E1553" s="27" t="str">
        <x:v>S17-WRITE-02</x:v>
      </x:c>
      <x:c r="F1553" s="27" t="str">
        <x:v>Scene, pacing, dialogue, description, and reflection</x:v>
      </x:c>
      <x:c r="G1553" s="27" t="str">
        <x:v>S17</x:v>
      </x:c>
      <x:c r="H1553" s="27" t="str">
        <x:v>Writing &amp; Language</x:v>
      </x:c>
      <x:c r="I1553" s="27" t="str">
        <x:v>SRC10; SRC21</x:v>
      </x:c>
      <x:c r="J1553" s="27" t="str">
        <x:v>Ordered spiral link; consult explicit prerequisites for logical dependency.</x:v>
      </x:c>
    </x:row>
    <x:row r="1554">
      <x:c r="A1554" s="27" t="str">
        <x:v>E01550</x:v>
      </x:c>
      <x:c r="B1554" s="27" t="str">
        <x:v>S17-WRITE-02:PREREQ</x:v>
      </x:c>
      <x:c r="C1554" s="27" t="str">
        <x:v>Grade 4 multi-paragraph organization and literature analysis.</x:v>
      </x:c>
      <x:c r="D1554" s="27" t="str">
        <x:v>PREREQUISITE</x:v>
      </x:c>
      <x:c r="E1554" s="27" t="str">
        <x:v>S17-WRITE-02</x:v>
      </x:c>
      <x:c r="F1554" s="27" t="str">
        <x:v>Scene, pacing, dialogue, description, and reflection</x:v>
      </x:c>
      <x:c r="G1554" s="27" t="str">
        <x:v>S17</x:v>
      </x:c>
      <x:c r="H1554" s="27" t="str">
        <x:v>Writing &amp; Language</x:v>
      </x:c>
      <x:c r="I1554" s="27" t="str">
        <x:v>SRC10; SRC21</x:v>
      </x:c>
      <x:c r="J1554" s="27" t="str">
        <x:v>Incoming prerequisite relationship.</x:v>
      </x:c>
    </x:row>
    <x:row r="1555">
      <x:c r="A1555" s="27" t="str">
        <x:v>E01551</x:v>
      </x:c>
      <x:c r="B1555" s="27" t="str">
        <x:v>S17-WRITE-02:GROUND</x:v>
      </x:c>
      <x:c r="C1555" s="27" t="str">
        <x:v>G4/G5 — Concrete model linked to coordinated representations</x:v>
      </x:c>
      <x:c r="D1555" s="27" t="str">
        <x:v>GROUNDED_BY</x:v>
      </x:c>
      <x:c r="E1555" s="27" t="str">
        <x:v>S17-WRITE-02</x:v>
      </x:c>
      <x:c r="F1555" s="27" t="str">
        <x:v>Scene, pacing, dialogue, description, and reflection</x:v>
      </x:c>
      <x:c r="G1555" s="27" t="str">
        <x:v>S17</x:v>
      </x:c>
      <x:c r="H1555" s="27" t="str">
        <x:v>Writing &amp; Language</x:v>
      </x:c>
      <x:c r="I1555" s="27" t="str">
        <x:v>SRC10; SRC21</x:v>
      </x:c>
      <x:c r="J1555" s="27" t="str">
        <x:v>Grounding form used to preserve meaning.</x:v>
      </x:c>
    </x:row>
    <x:row r="1556">
      <x:c r="A1556" s="27" t="str">
        <x:v>E01552</x:v>
      </x:c>
      <x:c r="B1556" s="27" t="str">
        <x:v>S17-WRITE-02</x:v>
      </x:c>
      <x:c r="C1556" s="27" t="str">
        <x:v>Scene, pacing, dialogue, description, and reflection</x:v>
      </x:c>
      <x:c r="D1556" s="27" t="str">
        <x:v>CONNECTS_TO</x:v>
      </x:c>
      <x:c r="E1556" s="27" t="str">
        <x:v>S17-WRITE-02:CROSS</x:v>
      </x:c>
      <x:c r="F1556" s="27" t="str">
        <x:v>Reading models; evidence from science/social studies; mathematical explanation; research, media, and presentation.</x:v>
      </x:c>
      <x:c r="G1556" s="27" t="str">
        <x:v>S17</x:v>
      </x:c>
      <x:c r="H1556" s="27" t="str">
        <x:v>Writing &amp; Language</x:v>
      </x:c>
      <x:c r="I1556" s="27" t="str">
        <x:v>SRC10; SRC21</x:v>
      </x:c>
      <x:c r="J1556" s="27" t="str">
        <x:v>Parallel subject and representation links.</x:v>
      </x:c>
    </x:row>
    <x:row r="1557">
      <x:c r="A1557" s="27" t="str">
        <x:v>E01553</x:v>
      </x:c>
      <x:c r="B1557" s="27" t="str">
        <x:v>S17-WRITE-02</x:v>
      </x:c>
      <x:c r="C1557" s="27" t="str">
        <x:v>Scene, pacing, dialogue, description, and reflection</x:v>
      </x:c>
      <x:c r="D1557" s="27" t="str">
        <x:v>UNLOCKS</x:v>
      </x:c>
      <x:c r="E1557" s="27" t="str">
        <x:v>S17-WRITE-02:NEXT</x:v>
      </x:c>
      <x:c r="F1557" s="27" t="str">
        <x:v>Controlled narrative choices prepare literary writing and historical/personal accounts.</x:v>
      </x:c>
      <x:c r="G1557" s="27" t="str">
        <x:v>S17</x:v>
      </x:c>
      <x:c r="H1557" s="27" t="str">
        <x:v>Writing &amp; Language</x:v>
      </x:c>
      <x:c r="I1557" s="27" t="str">
        <x:v>SRC10; SRC21</x:v>
      </x:c>
      <x:c r="J1557" s="27" t="str">
        <x:v>Outgoing use and placement rationale.</x:v>
      </x:c>
    </x:row>
    <x:row r="1558">
      <x:c r="A1558" s="27" t="str">
        <x:v>E01554</x:v>
      </x:c>
      <x:c r="B1558" s="27" t="str">
        <x:v>S17-WRITE-02</x:v>
      </x:c>
      <x:c r="C1558" s="27" t="str">
        <x:v>Scene, pacing, dialogue, description, and reflection</x:v>
      </x:c>
      <x:c r="D1558" s="27" t="str">
        <x:v>VERIFIED_BY</x:v>
      </x:c>
      <x:c r="E1558" s="27" t="str">
        <x:v>S17-WRITE-02:EVIDENCE</x:v>
      </x:c>
      <x:c r="F1558" s="27" t="str">
        <x:v>Creates a coherent narrative with deliberate pacing and at least two effective techniques.</x:v>
      </x:c>
      <x:c r="G1558" s="27" t="str">
        <x:v>S17</x:v>
      </x:c>
      <x:c r="H1558" s="27" t="str">
        <x:v>Writing &amp; Language</x:v>
      </x:c>
      <x:c r="I1558" s="27" t="str">
        <x:v>SRC10; SRC21</x:v>
      </x:c>
      <x:c r="J1558" s="27" t="str">
        <x:v>Observable evidence of usable learning.</x:v>
      </x:c>
    </x:row>
    <x:row r="1559">
      <x:c r="A1559" s="27" t="str">
        <x:v>E01555</x:v>
      </x:c>
      <x:c r="B1559" s="27" t="str">
        <x:v>S17-WRITE-02</x:v>
      </x:c>
      <x:c r="C1559" s="27" t="str">
        <x:v>Previous node in domain progression</x:v>
      </x:c>
      <x:c r="D1559" s="27" t="str">
        <x:v>DOMAIN_SEQUENCE</x:v>
      </x:c>
      <x:c r="E1559" s="27" t="str">
        <x:v>S17-WRITE-03</x:v>
      </x:c>
      <x:c r="F1559" s="27" t="str">
        <x:v>Independent short inquiry and citation record</x:v>
      </x:c>
      <x:c r="G1559" s="27" t="str">
        <x:v>S17</x:v>
      </x:c>
      <x:c r="H1559" s="27" t="str">
        <x:v>Writing &amp; Language</x:v>
      </x:c>
      <x:c r="I1559" s="27" t="str">
        <x:v>SRC10; SRC21</x:v>
      </x:c>
      <x:c r="J1559" s="27" t="str">
        <x:v>Ordered spiral link; consult explicit prerequisites for logical dependency.</x:v>
      </x:c>
    </x:row>
    <x:row r="1560">
      <x:c r="A1560" s="27" t="str">
        <x:v>E01556</x:v>
      </x:c>
      <x:c r="B1560" s="27" t="str">
        <x:v>S17-WRITE-03:PREREQ</x:v>
      </x:c>
      <x:c r="C1560" s="27" t="str">
        <x:v>Grade 4 quote/paraphrase, source viewpoint, project planning, and synthesis.</x:v>
      </x:c>
      <x:c r="D1560" s="27" t="str">
        <x:v>PREREQUISITE</x:v>
      </x:c>
      <x:c r="E1560" s="27" t="str">
        <x:v>S17-WRITE-03</x:v>
      </x:c>
      <x:c r="F1560" s="27" t="str">
        <x:v>Independent short inquiry and citation record</x:v>
      </x:c>
      <x:c r="G1560" s="27" t="str">
        <x:v>S17</x:v>
      </x:c>
      <x:c r="H1560" s="27" t="str">
        <x:v>Writing &amp; Language</x:v>
      </x:c>
      <x:c r="I1560" s="27" t="str">
        <x:v>SRC10; SRC21</x:v>
      </x:c>
      <x:c r="J1560" s="27" t="str">
        <x:v>Incoming prerequisite relationship.</x:v>
      </x:c>
    </x:row>
    <x:row r="1561">
      <x:c r="A1561" s="27" t="str">
        <x:v>E01557</x:v>
      </x:c>
      <x:c r="B1561" s="27" t="str">
        <x:v>S17-WRITE-03:GROUND</x:v>
      </x:c>
      <x:c r="C1561" s="27" t="str">
        <x:v>G4/G5 — Concrete model linked to coordinated representations</x:v>
      </x:c>
      <x:c r="D1561" s="27" t="str">
        <x:v>GROUNDED_BY</x:v>
      </x:c>
      <x:c r="E1561" s="27" t="str">
        <x:v>S17-WRITE-03</x:v>
      </x:c>
      <x:c r="F1561" s="27" t="str">
        <x:v>Independent short inquiry and citation record</x:v>
      </x:c>
      <x:c r="G1561" s="27" t="str">
        <x:v>S17</x:v>
      </x:c>
      <x:c r="H1561" s="27" t="str">
        <x:v>Writing &amp; Language</x:v>
      </x:c>
      <x:c r="I1561" s="27" t="str">
        <x:v>SRC10; SRC21</x:v>
      </x:c>
      <x:c r="J1561" s="27" t="str">
        <x:v>Grounding form used to preserve meaning.</x:v>
      </x:c>
    </x:row>
    <x:row r="1562">
      <x:c r="A1562" s="27" t="str">
        <x:v>E01558</x:v>
      </x:c>
      <x:c r="B1562" s="27" t="str">
        <x:v>S17-WRITE-03</x:v>
      </x:c>
      <x:c r="C1562" s="27" t="str">
        <x:v>Independent short inquiry and citation record</x:v>
      </x:c>
      <x:c r="D1562" s="27" t="str">
        <x:v>CONNECTS_TO</x:v>
      </x:c>
      <x:c r="E1562" s="27" t="str">
        <x:v>S17-WRITE-03:CROSS</x:v>
      </x:c>
      <x:c r="F1562" s="27" t="str">
        <x:v>Reading models; evidence from science/social studies; mathematical explanation; research, media, and presentation.</x:v>
      </x:c>
      <x:c r="G1562" s="27" t="str">
        <x:v>S17</x:v>
      </x:c>
      <x:c r="H1562" s="27" t="str">
        <x:v>Writing &amp; Language</x:v>
      </x:c>
      <x:c r="I1562" s="27" t="str">
        <x:v>SRC10; SRC21</x:v>
      </x:c>
      <x:c r="J1562" s="27" t="str">
        <x:v>Parallel subject and representation links.</x:v>
      </x:c>
    </x:row>
    <x:row r="1563">
      <x:c r="A1563" s="27" t="str">
        <x:v>E01559</x:v>
      </x:c>
      <x:c r="B1563" s="27" t="str">
        <x:v>S17-WRITE-03</x:v>
      </x:c>
      <x:c r="C1563" s="27" t="str">
        <x:v>Independent short inquiry and citation record</x:v>
      </x:c>
      <x:c r="D1563" s="27" t="str">
        <x:v>UNLOCKS</x:v>
      </x:c>
      <x:c r="E1563" s="27" t="str">
        <x:v>S17-WRITE-03:NEXT</x:v>
      </x:c>
      <x:c r="F1563" s="27" t="str">
        <x:v>A complete source trail makes research auditable and prepares formal citation systems.</x:v>
      </x:c>
      <x:c r="G1563" s="27" t="str">
        <x:v>S17</x:v>
      </x:c>
      <x:c r="H1563" s="27" t="str">
        <x:v>Writing &amp; Language</x:v>
      </x:c>
      <x:c r="I1563" s="27" t="str">
        <x:v>SRC10; SRC21</x:v>
      </x:c>
      <x:c r="J1563" s="27" t="str">
        <x:v>Outgoing use and placement rationale.</x:v>
      </x:c>
    </x:row>
    <x:row r="1564">
      <x:c r="A1564" s="27" t="str">
        <x:v>E01560</x:v>
      </x:c>
      <x:c r="B1564" s="27" t="str">
        <x:v>S17-WRITE-03</x:v>
      </x:c>
      <x:c r="C1564" s="27" t="str">
        <x:v>Independent short inquiry and citation record</x:v>
      </x:c>
      <x:c r="D1564" s="27" t="str">
        <x:v>VERIFIED_BY</x:v>
      </x:c>
      <x:c r="E1564" s="27" t="str">
        <x:v>S17-WRITE-03:EVIDENCE</x:v>
      </x:c>
      <x:c r="F1564" s="27" t="str">
        <x:v>Submits a question, search/source log, organized notes, synthesis, and matching source list.</x:v>
      </x:c>
      <x:c r="G1564" s="27" t="str">
        <x:v>S17</x:v>
      </x:c>
      <x:c r="H1564" s="27" t="str">
        <x:v>Writing &amp; Language</x:v>
      </x:c>
      <x:c r="I1564" s="27" t="str">
        <x:v>SRC10; SRC21</x:v>
      </x:c>
      <x:c r="J1564" s="27" t="str">
        <x:v>Observable evidence of usable learning.</x:v>
      </x:c>
    </x:row>
    <x:row r="1565">
      <x:c r="A1565" s="27" t="str">
        <x:v>E01561</x:v>
      </x:c>
      <x:c r="B1565" s="27" t="str">
        <x:v>S17-WRITE-03</x:v>
      </x:c>
      <x:c r="C1565" s="27" t="str">
        <x:v>Previous node in domain progression</x:v>
      </x:c>
      <x:c r="D1565" s="27" t="str">
        <x:v>DOMAIN_SEQUENCE</x:v>
      </x:c>
      <x:c r="E1565" s="27" t="str">
        <x:v>S17-WRITE-04</x:v>
      </x:c>
      <x:c r="F1565" s="27" t="str">
        <x:v>Sentence expansion and style control</x:v>
      </x:c>
      <x:c r="G1565" s="27" t="str">
        <x:v>S17</x:v>
      </x:c>
      <x:c r="H1565" s="27" t="str">
        <x:v>Writing &amp; Language</x:v>
      </x:c>
      <x:c r="I1565" s="27" t="str">
        <x:v>SRC10; SRC21</x:v>
      </x:c>
      <x:c r="J1565" s="27" t="str">
        <x:v>Ordered spiral link; consult explicit prerequisites for logical dependency.</x:v>
      </x:c>
    </x:row>
    <x:row r="1566">
      <x:c r="A1566" s="27" t="str">
        <x:v>E01562</x:v>
      </x:c>
      <x:c r="B1566" s="27" t="str">
        <x:v>S17-WRITE-04:PREREQ</x:v>
      </x:c>
      <x:c r="C1566" s="27" t="str">
        <x:v>Grade 4 coherence revision, morphology, and grammar consolidation.</x:v>
      </x:c>
      <x:c r="D1566" s="27" t="str">
        <x:v>PREREQUISITE</x:v>
      </x:c>
      <x:c r="E1566" s="27" t="str">
        <x:v>S17-WRITE-04</x:v>
      </x:c>
      <x:c r="F1566" s="27" t="str">
        <x:v>Sentence expansion and style control</x:v>
      </x:c>
      <x:c r="G1566" s="27" t="str">
        <x:v>S17</x:v>
      </x:c>
      <x:c r="H1566" s="27" t="str">
        <x:v>Writing &amp; Language</x:v>
      </x:c>
      <x:c r="I1566" s="27" t="str">
        <x:v>SRC10; SRC21</x:v>
      </x:c>
      <x:c r="J1566" s="27" t="str">
        <x:v>Incoming prerequisite relationship.</x:v>
      </x:c>
    </x:row>
    <x:row r="1567">
      <x:c r="A1567" s="27" t="str">
        <x:v>E01563</x:v>
      </x:c>
      <x:c r="B1567" s="27" t="str">
        <x:v>S17-WRITE-04:GROUND</x:v>
      </x:c>
      <x:c r="C1567" s="27" t="str">
        <x:v>G4/G5 — Concrete model linked to coordinated representations</x:v>
      </x:c>
      <x:c r="D1567" s="27" t="str">
        <x:v>GROUNDED_BY</x:v>
      </x:c>
      <x:c r="E1567" s="27" t="str">
        <x:v>S17-WRITE-04</x:v>
      </x:c>
      <x:c r="F1567" s="27" t="str">
        <x:v>Sentence expansion and style control</x:v>
      </x:c>
      <x:c r="G1567" s="27" t="str">
        <x:v>S17</x:v>
      </x:c>
      <x:c r="H1567" s="27" t="str">
        <x:v>Writing &amp; Language</x:v>
      </x:c>
      <x:c r="I1567" s="27" t="str">
        <x:v>SRC10; SRC21</x:v>
      </x:c>
      <x:c r="J1567" s="27" t="str">
        <x:v>Grounding form used to preserve meaning.</x:v>
      </x:c>
    </x:row>
    <x:row r="1568">
      <x:c r="A1568" s="27" t="str">
        <x:v>E01564</x:v>
      </x:c>
      <x:c r="B1568" s="27" t="str">
        <x:v>S17-WRITE-04</x:v>
      </x:c>
      <x:c r="C1568" s="27" t="str">
        <x:v>Sentence expansion and style control</x:v>
      </x:c>
      <x:c r="D1568" s="27" t="str">
        <x:v>CONNECTS_TO</x:v>
      </x:c>
      <x:c r="E1568" s="27" t="str">
        <x:v>S17-WRITE-04:CROSS</x:v>
      </x:c>
      <x:c r="F1568" s="27" t="str">
        <x:v>Reading models; evidence from science/social studies; mathematical explanation; research, media, and presentation.</x:v>
      </x:c>
      <x:c r="G1568" s="27" t="str">
        <x:v>S17</x:v>
      </x:c>
      <x:c r="H1568" s="27" t="str">
        <x:v>Writing &amp; Language</x:v>
      </x:c>
      <x:c r="I1568" s="27" t="str">
        <x:v>SRC10; SRC21</x:v>
      </x:c>
      <x:c r="J1568" s="27" t="str">
        <x:v>Parallel subject and representation links.</x:v>
      </x:c>
    </x:row>
    <x:row r="1569">
      <x:c r="A1569" s="27" t="str">
        <x:v>E01565</x:v>
      </x:c>
      <x:c r="B1569" s="27" t="str">
        <x:v>S17-WRITE-04</x:v>
      </x:c>
      <x:c r="C1569" s="27" t="str">
        <x:v>Sentence expansion and style control</x:v>
      </x:c>
      <x:c r="D1569" s="27" t="str">
        <x:v>UNLOCKS</x:v>
      </x:c>
      <x:c r="E1569" s="27" t="str">
        <x:v>S17-WRITE-04:NEXT</x:v>
      </x:c>
      <x:c r="F1569" s="27" t="str">
        <x:v>Syntactic flexibility supports dense disciplinary ideas and intentional style.</x:v>
      </x:c>
      <x:c r="G1569" s="27" t="str">
        <x:v>S17</x:v>
      </x:c>
      <x:c r="H1569" s="27" t="str">
        <x:v>Writing &amp; Language</x:v>
      </x:c>
      <x:c r="I1569" s="27" t="str">
        <x:v>SRC10; SRC21</x:v>
      </x:c>
      <x:c r="J1569" s="27" t="str">
        <x:v>Outgoing use and placement rationale.</x:v>
      </x:c>
    </x:row>
    <x:row r="1570">
      <x:c r="A1570" s="27" t="str">
        <x:v>E01566</x:v>
      </x:c>
      <x:c r="B1570" s="27" t="str">
        <x:v>S17-WRITE-04</x:v>
      </x:c>
      <x:c r="C1570" s="27" t="str">
        <x:v>Sentence expansion and style control</x:v>
      </x:c>
      <x:c r="D1570" s="27" t="str">
        <x:v>VERIFIED_BY</x:v>
      </x:c>
      <x:c r="E1570" s="27" t="str">
        <x:v>S17-WRITE-04:EVIDENCE</x:v>
      </x:c>
      <x:c r="F1570" s="27" t="str">
        <x:v>Revises a passage to improve precision, emphasis, and flow without changing its core claim.</x:v>
      </x:c>
      <x:c r="G1570" s="27" t="str">
        <x:v>S17</x:v>
      </x:c>
      <x:c r="H1570" s="27" t="str">
        <x:v>Writing &amp; Language</x:v>
      </x:c>
      <x:c r="I1570" s="27" t="str">
        <x:v>SRC10; SRC21</x:v>
      </x:c>
      <x:c r="J1570" s="27" t="str">
        <x:v>Observable evidence of usable learning.</x:v>
      </x:c>
    </x:row>
    <x:row r="1571">
      <x:c r="A1571" s="27" t="str">
        <x:v>E01567</x:v>
      </x:c>
      <x:c r="B1571" s="27" t="str">
        <x:v>S16-MATH-07</x:v>
      </x:c>
      <x:c r="C1571" s="27" t="str">
        <x:v>Previous node in domain progression</x:v>
      </x:c>
      <x:c r="D1571" s="27" t="str">
        <x:v>DOMAIN_SEQUENCE</x:v>
      </x:c>
      <x:c r="E1571" s="27" t="str">
        <x:v>S17-MATH-01</x:v>
      </x:c>
      <x:c r="F1571" s="27" t="str">
        <x:v>Base-ten system through thousandths</x:v>
      </x:c>
      <x:c r="G1571" s="27" t="str">
        <x:v>S17</x:v>
      </x:c>
      <x:c r="H1571" s="27" t="str">
        <x:v>Mathematics</x:v>
      </x:c>
      <x:c r="I1571" s="27" t="str">
        <x:v>SRC09</x:v>
      </x:c>
      <x:c r="J1571" s="27" t="str">
        <x:v>Ordered spiral link; consult explicit prerequisites for logical dependency.</x:v>
      </x:c>
    </x:row>
    <x:row r="1572">
      <x:c r="A1572" s="27" t="str">
        <x:v>E01568</x:v>
      </x:c>
      <x:c r="B1572" s="27" t="str">
        <x:v>S17-MATH-01:PREREQ</x:v>
      </x:c>
      <x:c r="C1572" s="27" t="str">
        <x:v>Grade 4 decimals/fractions and multi-digit algorithms.</x:v>
      </x:c>
      <x:c r="D1572" s="27" t="str">
        <x:v>PREREQUISITE</x:v>
      </x:c>
      <x:c r="E1572" s="27" t="str">
        <x:v>S17-MATH-01</x:v>
      </x:c>
      <x:c r="F1572" s="27" t="str">
        <x:v>Base-ten system through thousandths</x:v>
      </x:c>
      <x:c r="G1572" s="27" t="str">
        <x:v>S17</x:v>
      </x:c>
      <x:c r="H1572" s="27" t="str">
        <x:v>Mathematics</x:v>
      </x:c>
      <x:c r="I1572" s="27" t="str">
        <x:v>SRC09</x:v>
      </x:c>
      <x:c r="J1572" s="27" t="str">
        <x:v>Incoming prerequisite relationship.</x:v>
      </x:c>
    </x:row>
    <x:row r="1573">
      <x:c r="A1573" s="27" t="str">
        <x:v>E01569</x:v>
      </x:c>
      <x:c r="B1573" s="27" t="str">
        <x:v>S17-MATH-01:GROUND</x:v>
      </x:c>
      <x:c r="C1573" s="27" t="str">
        <x:v>G4/G5 — Concrete model linked to coordinated representations</x:v>
      </x:c>
      <x:c r="D1573" s="27" t="str">
        <x:v>GROUNDED_BY</x:v>
      </x:c>
      <x:c r="E1573" s="27" t="str">
        <x:v>S17-MATH-01</x:v>
      </x:c>
      <x:c r="F1573" s="27" t="str">
        <x:v>Base-ten system through thousandths</x:v>
      </x:c>
      <x:c r="G1573" s="27" t="str">
        <x:v>S17</x:v>
      </x:c>
      <x:c r="H1573" s="27" t="str">
        <x:v>Mathematics</x:v>
      </x:c>
      <x:c r="I1573" s="27" t="str">
        <x:v>SRC09</x:v>
      </x:c>
      <x:c r="J1573" s="27" t="str">
        <x:v>Grounding form used to preserve meaning.</x:v>
      </x:c>
    </x:row>
    <x:row r="1574">
      <x:c r="A1574" s="27" t="str">
        <x:v>E01570</x:v>
      </x:c>
      <x:c r="B1574" s="27" t="str">
        <x:v>S17-MATH-01</x:v>
      </x:c>
      <x:c r="C1574" s="27" t="str">
        <x:v>Base-ten system through thousandths</x:v>
      </x:c>
      <x:c r="D1574" s="27" t="str">
        <x:v>CONNECTS_TO</x:v>
      </x:c>
      <x:c r="E1574" s="27" t="str">
        <x:v>S17-MATH-01:CROSS</x:v>
      </x:c>
      <x:c r="F1574" s="27" t="str">
        <x:v>Physical quantity and spatial action; science measurement/models; computing/algorithms; finance; music rhythm/pattern; geographic data.</x:v>
      </x:c>
      <x:c r="G1574" s="27" t="str">
        <x:v>S17</x:v>
      </x:c>
      <x:c r="H1574" s="27" t="str">
        <x:v>Mathematics</x:v>
      </x:c>
      <x:c r="I1574" s="27" t="str">
        <x:v>SRC09</x:v>
      </x:c>
      <x:c r="J1574" s="27" t="str">
        <x:v>Parallel subject and representation links.</x:v>
      </x:c>
    </x:row>
    <x:row r="1575">
      <x:c r="A1575" s="27" t="str">
        <x:v>E01571</x:v>
      </x:c>
      <x:c r="B1575" s="27" t="str">
        <x:v>S17-MATH-01</x:v>
      </x:c>
      <x:c r="C1575" s="27" t="str">
        <x:v>Base-ten system through thousandths</x:v>
      </x:c>
      <x:c r="D1575" s="27" t="str">
        <x:v>UNLOCKS</x:v>
      </x:c>
      <x:c r="E1575" s="27" t="str">
        <x:v>S17-MATH-01:NEXT</x:v>
      </x:c>
      <x:c r="F1575" s="27" t="str">
        <x:v>Decimal operations support measurement, finance, statistics, and algebraic rational numbers.</x:v>
      </x:c>
      <x:c r="G1575" s="27" t="str">
        <x:v>S17</x:v>
      </x:c>
      <x:c r="H1575" s="27" t="str">
        <x:v>Mathematics</x:v>
      </x:c>
      <x:c r="I1575" s="27" t="str">
        <x:v>SRC09</x:v>
      </x:c>
      <x:c r="J1575" s="27" t="str">
        <x:v>Outgoing use and placement rationale.</x:v>
      </x:c>
    </x:row>
    <x:row r="1576">
      <x:c r="A1576" s="27" t="str">
        <x:v>E01572</x:v>
      </x:c>
      <x:c r="B1576" s="27" t="str">
        <x:v>S17-MATH-01</x:v>
      </x:c>
      <x:c r="C1576" s="27" t="str">
        <x:v>Base-ten system through thousandths</x:v>
      </x:c>
      <x:c r="D1576" s="27" t="str">
        <x:v>VERIFIED_BY</x:v>
      </x:c>
      <x:c r="E1576" s="27" t="str">
        <x:v>S17-MATH-01:EVIDENCE</x:v>
      </x:c>
      <x:c r="F1576" s="27" t="str">
        <x:v>Represents and computes with decimals, labels units, and checks reasonableness by estimation.</x:v>
      </x:c>
      <x:c r="G1576" s="27" t="str">
        <x:v>S17</x:v>
      </x:c>
      <x:c r="H1576" s="27" t="str">
        <x:v>Mathematics</x:v>
      </x:c>
      <x:c r="I1576" s="27" t="str">
        <x:v>SRC09</x:v>
      </x:c>
      <x:c r="J1576" s="27" t="str">
        <x:v>Observable evidence of usable learning.</x:v>
      </x:c>
    </x:row>
    <x:row r="1577">
      <x:c r="A1577" s="27" t="str">
        <x:v>E01573</x:v>
      </x:c>
      <x:c r="B1577" s="27" t="str">
        <x:v>S17-MATH-01</x:v>
      </x:c>
      <x:c r="C1577" s="27" t="str">
        <x:v>Previous node in domain progression</x:v>
      </x:c>
      <x:c r="D1577" s="27" t="str">
        <x:v>DOMAIN_SEQUENCE</x:v>
      </x:c>
      <x:c r="E1577" s="27" t="str">
        <x:v>S17-MATH-02</x:v>
      </x:c>
      <x:c r="F1577" s="27" t="str">
        <x:v>Multi-digit fluency and division</x:v>
      </x:c>
      <x:c r="G1577" s="27" t="str">
        <x:v>S17</x:v>
      </x:c>
      <x:c r="H1577" s="27" t="str">
        <x:v>Mathematics</x:v>
      </x:c>
      <x:c r="I1577" s="27" t="str">
        <x:v>SRC09</x:v>
      </x:c>
      <x:c r="J1577" s="27" t="str">
        <x:v>Ordered spiral link; consult explicit prerequisites for logical dependency.</x:v>
      </x:c>
    </x:row>
    <x:row r="1578">
      <x:c r="A1578" s="27" t="str">
        <x:v>E01574</x:v>
      </x:c>
      <x:c r="B1578" s="27" t="str">
        <x:v>S17-MATH-02:PREREQ</x:v>
      </x:c>
      <x:c r="C1578" s="27" t="str">
        <x:v>Grade 4 partial products/quotients, facts, and estimation.</x:v>
      </x:c>
      <x:c r="D1578" s="27" t="str">
        <x:v>PREREQUISITE</x:v>
      </x:c>
      <x:c r="E1578" s="27" t="str">
        <x:v>S17-MATH-02</x:v>
      </x:c>
      <x:c r="F1578" s="27" t="str">
        <x:v>Multi-digit fluency and division</x:v>
      </x:c>
      <x:c r="G1578" s="27" t="str">
        <x:v>S17</x:v>
      </x:c>
      <x:c r="H1578" s="27" t="str">
        <x:v>Mathematics</x:v>
      </x:c>
      <x:c r="I1578" s="27" t="str">
        <x:v>SRC09</x:v>
      </x:c>
      <x:c r="J1578" s="27" t="str">
        <x:v>Incoming prerequisite relationship.</x:v>
      </x:c>
    </x:row>
    <x:row r="1579">
      <x:c r="A1579" s="27" t="str">
        <x:v>E01575</x:v>
      </x:c>
      <x:c r="B1579" s="27" t="str">
        <x:v>S17-MATH-02:GROUND</x:v>
      </x:c>
      <x:c r="C1579" s="27" t="str">
        <x:v>G4/G5 — Concrete model linked to coordinated representations</x:v>
      </x:c>
      <x:c r="D1579" s="27" t="str">
        <x:v>GROUNDED_BY</x:v>
      </x:c>
      <x:c r="E1579" s="27" t="str">
        <x:v>S17-MATH-02</x:v>
      </x:c>
      <x:c r="F1579" s="27" t="str">
        <x:v>Multi-digit fluency and division</x:v>
      </x:c>
      <x:c r="G1579" s="27" t="str">
        <x:v>S17</x:v>
      </x:c>
      <x:c r="H1579" s="27" t="str">
        <x:v>Mathematics</x:v>
      </x:c>
      <x:c r="I1579" s="27" t="str">
        <x:v>SRC09</x:v>
      </x:c>
      <x:c r="J1579" s="27" t="str">
        <x:v>Grounding form used to preserve meaning.</x:v>
      </x:c>
    </x:row>
    <x:row r="1580">
      <x:c r="A1580" s="27" t="str">
        <x:v>E01576</x:v>
      </x:c>
      <x:c r="B1580" s="27" t="str">
        <x:v>S17-MATH-02</x:v>
      </x:c>
      <x:c r="C1580" s="27" t="str">
        <x:v>Multi-digit fluency and division</x:v>
      </x:c>
      <x:c r="D1580" s="27" t="str">
        <x:v>CONNECTS_TO</x:v>
      </x:c>
      <x:c r="E1580" s="27" t="str">
        <x:v>S17-MATH-02:CROSS</x:v>
      </x:c>
      <x:c r="F1580" s="27" t="str">
        <x:v>Physical quantity and spatial action; science measurement/models; computing/algorithms; finance; music rhythm/pattern; geographic data.</x:v>
      </x:c>
      <x:c r="G1580" s="27" t="str">
        <x:v>S17</x:v>
      </x:c>
      <x:c r="H1580" s="27" t="str">
        <x:v>Mathematics</x:v>
      </x:c>
      <x:c r="I1580" s="27" t="str">
        <x:v>SRC09</x:v>
      </x:c>
      <x:c r="J1580" s="27" t="str">
        <x:v>Parallel subject and representation links.</x:v>
      </x:c>
    </x:row>
    <x:row r="1581">
      <x:c r="A1581" s="27" t="str">
        <x:v>E01577</x:v>
      </x:c>
      <x:c r="B1581" s="27" t="str">
        <x:v>S17-MATH-02</x:v>
      </x:c>
      <x:c r="C1581" s="27" t="str">
        <x:v>Multi-digit fluency and division</x:v>
      </x:c>
      <x:c r="D1581" s="27" t="str">
        <x:v>UNLOCKS</x:v>
      </x:c>
      <x:c r="E1581" s="27" t="str">
        <x:v>S17-MATH-02:NEXT</x:v>
      </x:c>
      <x:c r="F1581" s="27" t="str">
        <x:v>Reliable operations remove a procedural bottleneck for fractions, ratios, and algebra.</x:v>
      </x:c>
      <x:c r="G1581" s="27" t="str">
        <x:v>S17</x:v>
      </x:c>
      <x:c r="H1581" s="27" t="str">
        <x:v>Mathematics</x:v>
      </x:c>
      <x:c r="I1581" s="27" t="str">
        <x:v>SRC09</x:v>
      </x:c>
      <x:c r="J1581" s="27" t="str">
        <x:v>Outgoing use and placement rationale.</x:v>
      </x:c>
    </x:row>
    <x:row r="1582">
      <x:c r="A1582" s="27" t="str">
        <x:v>E01578</x:v>
      </x:c>
      <x:c r="B1582" s="27" t="str">
        <x:v>S17-MATH-02</x:v>
      </x:c>
      <x:c r="C1582" s="27" t="str">
        <x:v>Multi-digit fluency and division</x:v>
      </x:c>
      <x:c r="D1582" s="27" t="str">
        <x:v>VERIFIED_BY</x:v>
      </x:c>
      <x:c r="E1582" s="27" t="str">
        <x:v>S17-MATH-02:EVIDENCE</x:v>
      </x:c>
      <x:c r="F1582" s="27" t="str">
        <x:v>Solves, estimates, and explains a multi-digit result using place-value units.</x:v>
      </x:c>
      <x:c r="G1582" s="27" t="str">
        <x:v>S17</x:v>
      </x:c>
      <x:c r="H1582" s="27" t="str">
        <x:v>Mathematics</x:v>
      </x:c>
      <x:c r="I1582" s="27" t="str">
        <x:v>SRC09</x:v>
      </x:c>
      <x:c r="J1582" s="27" t="str">
        <x:v>Observable evidence of usable learning.</x:v>
      </x:c>
    </x:row>
    <x:row r="1583">
      <x:c r="A1583" s="27" t="str">
        <x:v>E01579</x:v>
      </x:c>
      <x:c r="B1583" s="27" t="str">
        <x:v>S17-MATH-02</x:v>
      </x:c>
      <x:c r="C1583" s="27" t="str">
        <x:v>Previous node in domain progression</x:v>
      </x:c>
      <x:c r="D1583" s="27" t="str">
        <x:v>DOMAIN_SEQUENCE</x:v>
      </x:c>
      <x:c r="E1583" s="27" t="str">
        <x:v>S17-MATH-03</x:v>
      </x:c>
      <x:c r="F1583" s="27" t="str">
        <x:v>Add/subtract unlike denominators</x:v>
      </x:c>
      <x:c r="G1583" s="27" t="str">
        <x:v>S17</x:v>
      </x:c>
      <x:c r="H1583" s="27" t="str">
        <x:v>Mathematics</x:v>
      </x:c>
      <x:c r="I1583" s="27" t="str">
        <x:v>SRC09</x:v>
      </x:c>
      <x:c r="J1583" s="27" t="str">
        <x:v>Ordered spiral link; consult explicit prerequisites for logical dependency.</x:v>
      </x:c>
    </x:row>
    <x:row r="1584">
      <x:c r="A1584" s="27" t="str">
        <x:v>E01580</x:v>
      </x:c>
      <x:c r="B1584" s="27" t="str">
        <x:v>S17-MATH-03:PREREQ</x:v>
      </x:c>
      <x:c r="C1584" s="27" t="str">
        <x:v>Grade 4 equivalence, factors/multiples, and like-denominator operations.</x:v>
      </x:c>
      <x:c r="D1584" s="27" t="str">
        <x:v>PREREQUISITE</x:v>
      </x:c>
      <x:c r="E1584" s="27" t="str">
        <x:v>S17-MATH-03</x:v>
      </x:c>
      <x:c r="F1584" s="27" t="str">
        <x:v>Add/subtract unlike denominators</x:v>
      </x:c>
      <x:c r="G1584" s="27" t="str">
        <x:v>S17</x:v>
      </x:c>
      <x:c r="H1584" s="27" t="str">
        <x:v>Mathematics</x:v>
      </x:c>
      <x:c r="I1584" s="27" t="str">
        <x:v>SRC09</x:v>
      </x:c>
      <x:c r="J1584" s="27" t="str">
        <x:v>Incoming prerequisite relationship.</x:v>
      </x:c>
    </x:row>
    <x:row r="1585">
      <x:c r="A1585" s="27" t="str">
        <x:v>E01581</x:v>
      </x:c>
      <x:c r="B1585" s="27" t="str">
        <x:v>S17-MATH-03:GROUND</x:v>
      </x:c>
      <x:c r="C1585" s="27" t="str">
        <x:v>G4/G5 — Concrete model linked to coordinated representations</x:v>
      </x:c>
      <x:c r="D1585" s="27" t="str">
        <x:v>GROUNDED_BY</x:v>
      </x:c>
      <x:c r="E1585" s="27" t="str">
        <x:v>S17-MATH-03</x:v>
      </x:c>
      <x:c r="F1585" s="27" t="str">
        <x:v>Add/subtract unlike denominators</x:v>
      </x:c>
      <x:c r="G1585" s="27" t="str">
        <x:v>S17</x:v>
      </x:c>
      <x:c r="H1585" s="27" t="str">
        <x:v>Mathematics</x:v>
      </x:c>
      <x:c r="I1585" s="27" t="str">
        <x:v>SRC09</x:v>
      </x:c>
      <x:c r="J1585" s="27" t="str">
        <x:v>Grounding form used to preserve meaning.</x:v>
      </x:c>
    </x:row>
    <x:row r="1586">
      <x:c r="A1586" s="27" t="str">
        <x:v>E01582</x:v>
      </x:c>
      <x:c r="B1586" s="27" t="str">
        <x:v>S17-MATH-03</x:v>
      </x:c>
      <x:c r="C1586" s="27" t="str">
        <x:v>Add/subtract unlike denominators</x:v>
      </x:c>
      <x:c r="D1586" s="27" t="str">
        <x:v>CONNECTS_TO</x:v>
      </x:c>
      <x:c r="E1586" s="27" t="str">
        <x:v>S17-MATH-03:CROSS</x:v>
      </x:c>
      <x:c r="F1586" s="27" t="str">
        <x:v>Physical quantity and spatial action; science measurement/models; computing/algorithms; finance; music rhythm/pattern; geographic data.</x:v>
      </x:c>
      <x:c r="G1586" s="27" t="str">
        <x:v>S17</x:v>
      </x:c>
      <x:c r="H1586" s="27" t="str">
        <x:v>Mathematics</x:v>
      </x:c>
      <x:c r="I1586" s="27" t="str">
        <x:v>SRC09</x:v>
      </x:c>
      <x:c r="J1586" s="27" t="str">
        <x:v>Parallel subject and representation links.</x:v>
      </x:c>
    </x:row>
    <x:row r="1587">
      <x:c r="A1587" s="27" t="str">
        <x:v>E01583</x:v>
      </x:c>
      <x:c r="B1587" s="27" t="str">
        <x:v>S17-MATH-03</x:v>
      </x:c>
      <x:c r="C1587" s="27" t="str">
        <x:v>Add/subtract unlike denominators</x:v>
      </x:c>
      <x:c r="D1587" s="27" t="str">
        <x:v>UNLOCKS</x:v>
      </x:c>
      <x:c r="E1587" s="27" t="str">
        <x:v>S17-MATH-03:NEXT</x:v>
      </x:c>
      <x:c r="F1587" s="27" t="str">
        <x:v>Common units are logically required before quantities expressed in unlike fractional units can combine.</x:v>
      </x:c>
      <x:c r="G1587" s="27" t="str">
        <x:v>S17</x:v>
      </x:c>
      <x:c r="H1587" s="27" t="str">
        <x:v>Mathematics</x:v>
      </x:c>
      <x:c r="I1587" s="27" t="str">
        <x:v>SRC09</x:v>
      </x:c>
      <x:c r="J1587" s="27" t="str">
        <x:v>Outgoing use and placement rationale.</x:v>
      </x:c>
    </x:row>
    <x:row r="1588">
      <x:c r="A1588" s="27" t="str">
        <x:v>E01584</x:v>
      </x:c>
      <x:c r="B1588" s="27" t="str">
        <x:v>S17-MATH-03</x:v>
      </x:c>
      <x:c r="C1588" s="27" t="str">
        <x:v>Add/subtract unlike denominators</x:v>
      </x:c>
      <x:c r="D1588" s="27" t="str">
        <x:v>VERIFIED_BY</x:v>
      </x:c>
      <x:c r="E1588" s="27" t="str">
        <x:v>S17-MATH-03:EVIDENCE</x:v>
      </x:c>
      <x:c r="F1588" s="27" t="str">
        <x:v>Finds a common denominator, computes, and explains the equivalent-unit transformation.</x:v>
      </x:c>
      <x:c r="G1588" s="27" t="str">
        <x:v>S17</x:v>
      </x:c>
      <x:c r="H1588" s="27" t="str">
        <x:v>Mathematics</x:v>
      </x:c>
      <x:c r="I1588" s="27" t="str">
        <x:v>SRC09</x:v>
      </x:c>
      <x:c r="J1588" s="27" t="str">
        <x:v>Observable evidence of usable learning.</x:v>
      </x:c>
    </x:row>
    <x:row r="1589">
      <x:c r="A1589" s="27" t="str">
        <x:v>E01585</x:v>
      </x:c>
      <x:c r="B1589" s="27" t="str">
        <x:v>S17-MATH-03</x:v>
      </x:c>
      <x:c r="C1589" s="27" t="str">
        <x:v>Previous node in domain progression</x:v>
      </x:c>
      <x:c r="D1589" s="27" t="str">
        <x:v>DOMAIN_SEQUENCE</x:v>
      </x:c>
      <x:c r="E1589" s="27" t="str">
        <x:v>S17-MATH-04</x:v>
      </x:c>
      <x:c r="F1589" s="27" t="str">
        <x:v>Multiply fractions and scale</x:v>
      </x:c>
      <x:c r="G1589" s="27" t="str">
        <x:v>S17</x:v>
      </x:c>
      <x:c r="H1589" s="27" t="str">
        <x:v>Mathematics</x:v>
      </x:c>
      <x:c r="I1589" s="27" t="str">
        <x:v>SRC09</x:v>
      </x:c>
      <x:c r="J1589" s="27" t="str">
        <x:v>Ordered spiral link; consult explicit prerequisites for logical dependency.</x:v>
      </x:c>
    </x:row>
    <x:row r="1590">
      <x:c r="A1590" s="27" t="str">
        <x:v>E01586</x:v>
      </x:c>
      <x:c r="B1590" s="27" t="str">
        <x:v>S17-MATH-04:PREREQ</x:v>
      </x:c>
      <x:c r="C1590" s="27" t="str">
        <x:v>Grade 4 fraction×whole and area models.</x:v>
      </x:c>
      <x:c r="D1590" s="27" t="str">
        <x:v>PREREQUISITE</x:v>
      </x:c>
      <x:c r="E1590" s="27" t="str">
        <x:v>S17-MATH-04</x:v>
      </x:c>
      <x:c r="F1590" s="27" t="str">
        <x:v>Multiply fractions and scale</x:v>
      </x:c>
      <x:c r="G1590" s="27" t="str">
        <x:v>S17</x:v>
      </x:c>
      <x:c r="H1590" s="27" t="str">
        <x:v>Mathematics</x:v>
      </x:c>
      <x:c r="I1590" s="27" t="str">
        <x:v>SRC09</x:v>
      </x:c>
      <x:c r="J1590" s="27" t="str">
        <x:v>Incoming prerequisite relationship.</x:v>
      </x:c>
    </x:row>
    <x:row r="1591">
      <x:c r="A1591" s="27" t="str">
        <x:v>E01587</x:v>
      </x:c>
      <x:c r="B1591" s="27" t="str">
        <x:v>S17-MATH-04:GROUND</x:v>
      </x:c>
      <x:c r="C1591" s="27" t="str">
        <x:v>G4/G5 — Concrete model linked to coordinated representations</x:v>
      </x:c>
      <x:c r="D1591" s="27" t="str">
        <x:v>GROUNDED_BY</x:v>
      </x:c>
      <x:c r="E1591" s="27" t="str">
        <x:v>S17-MATH-04</x:v>
      </x:c>
      <x:c r="F1591" s="27" t="str">
        <x:v>Multiply fractions and scale</x:v>
      </x:c>
      <x:c r="G1591" s="27" t="str">
        <x:v>S17</x:v>
      </x:c>
      <x:c r="H1591" s="27" t="str">
        <x:v>Mathematics</x:v>
      </x:c>
      <x:c r="I1591" s="27" t="str">
        <x:v>SRC09</x:v>
      </x:c>
      <x:c r="J1591" s="27" t="str">
        <x:v>Grounding form used to preserve meaning.</x:v>
      </x:c>
    </x:row>
    <x:row r="1592">
      <x:c r="A1592" s="27" t="str">
        <x:v>E01588</x:v>
      </x:c>
      <x:c r="B1592" s="27" t="str">
        <x:v>S17-MATH-04</x:v>
      </x:c>
      <x:c r="C1592" s="27" t="str">
        <x:v>Multiply fractions and scale</x:v>
      </x:c>
      <x:c r="D1592" s="27" t="str">
        <x:v>CONNECTS_TO</x:v>
      </x:c>
      <x:c r="E1592" s="27" t="str">
        <x:v>S17-MATH-04:CROSS</x:v>
      </x:c>
      <x:c r="F1592" s="27" t="str">
        <x:v>Physical quantity and spatial action; science measurement/models; computing/algorithms; finance; music rhythm/pattern; geographic data.</x:v>
      </x:c>
      <x:c r="G1592" s="27" t="str">
        <x:v>S17</x:v>
      </x:c>
      <x:c r="H1592" s="27" t="str">
        <x:v>Mathematics</x:v>
      </x:c>
      <x:c r="I1592" s="27" t="str">
        <x:v>SRC09</x:v>
      </x:c>
      <x:c r="J1592" s="27" t="str">
        <x:v>Parallel subject and representation links.</x:v>
      </x:c>
    </x:row>
    <x:row r="1593">
      <x:c r="A1593" s="27" t="str">
        <x:v>E01589</x:v>
      </x:c>
      <x:c r="B1593" s="27" t="str">
        <x:v>S17-MATH-04</x:v>
      </x:c>
      <x:c r="C1593" s="27" t="str">
        <x:v>Multiply fractions and scale</x:v>
      </x:c>
      <x:c r="D1593" s="27" t="str">
        <x:v>UNLOCKS</x:v>
      </x:c>
      <x:c r="E1593" s="27" t="str">
        <x:v>S17-MATH-04:NEXT</x:v>
      </x:c>
      <x:c r="F1593" s="27" t="str">
        <x:v>Scaling generalizes multiplication and prepares ratios, similarity, probability, and algebra.</x:v>
      </x:c>
      <x:c r="G1593" s="27" t="str">
        <x:v>S17</x:v>
      </x:c>
      <x:c r="H1593" s="27" t="str">
        <x:v>Mathematics</x:v>
      </x:c>
      <x:c r="I1593" s="27" t="str">
        <x:v>SRC09</x:v>
      </x:c>
      <x:c r="J1593" s="27" t="str">
        <x:v>Outgoing use and placement rationale.</x:v>
      </x:c>
    </x:row>
    <x:row r="1594">
      <x:c r="A1594" s="27" t="str">
        <x:v>E01590</x:v>
      </x:c>
      <x:c r="B1594" s="27" t="str">
        <x:v>S17-MATH-04</x:v>
      </x:c>
      <x:c r="C1594" s="27" t="str">
        <x:v>Multiply fractions and scale</x:v>
      </x:c>
      <x:c r="D1594" s="27" t="str">
        <x:v>VERIFIED_BY</x:v>
      </x:c>
      <x:c r="E1594" s="27" t="str">
        <x:v>S17-MATH-04:EVIDENCE</x:v>
      </x:c>
      <x:c r="F1594" s="27" t="str">
        <x:v>Models a product, calculates it, and explains its size relative to a factor.</x:v>
      </x:c>
      <x:c r="G1594" s="27" t="str">
        <x:v>S17</x:v>
      </x:c>
      <x:c r="H1594" s="27" t="str">
        <x:v>Mathematics</x:v>
      </x:c>
      <x:c r="I1594" s="27" t="str">
        <x:v>SRC09</x:v>
      </x:c>
      <x:c r="J1594" s="27" t="str">
        <x:v>Observable evidence of usable learning.</x:v>
      </x:c>
    </x:row>
    <x:row r="1595">
      <x:c r="A1595" s="27" t="str">
        <x:v>E01591</x:v>
      </x:c>
      <x:c r="B1595" s="27" t="str">
        <x:v>S17-MATH-04</x:v>
      </x:c>
      <x:c r="C1595" s="27" t="str">
        <x:v>Previous node in domain progression</x:v>
      </x:c>
      <x:c r="D1595" s="27" t="str">
        <x:v>DOMAIN_SEQUENCE</x:v>
      </x:c>
      <x:c r="E1595" s="27" t="str">
        <x:v>S17-MATH-05</x:v>
      </x:c>
      <x:c r="F1595" s="27" t="str">
        <x:v>Divide unit fractions and whole numbers</x:v>
      </x:c>
      <x:c r="G1595" s="27" t="str">
        <x:v>S17</x:v>
      </x:c>
      <x:c r="H1595" s="27" t="str">
        <x:v>Mathematics</x:v>
      </x:c>
      <x:c r="I1595" s="27" t="str">
        <x:v>SRC09</x:v>
      </x:c>
      <x:c r="J1595" s="27" t="str">
        <x:v>Ordered spiral link; consult explicit prerequisites for logical dependency.</x:v>
      </x:c>
    </x:row>
    <x:row r="1596">
      <x:c r="A1596" s="27" t="str">
        <x:v>E01592</x:v>
      </x:c>
      <x:c r="B1596" s="27" t="str">
        <x:v>S17-MATH-05:PREREQ</x:v>
      </x:c>
      <x:c r="C1596" s="27" t="str">
        <x:v>Fraction meaning, division meanings, and multiplication inverse.</x:v>
      </x:c>
      <x:c r="D1596" s="27" t="str">
        <x:v>PREREQUISITE</x:v>
      </x:c>
      <x:c r="E1596" s="27" t="str">
        <x:v>S17-MATH-05</x:v>
      </x:c>
      <x:c r="F1596" s="27" t="str">
        <x:v>Divide unit fractions and whole numbers</x:v>
      </x:c>
      <x:c r="G1596" s="27" t="str">
        <x:v>S17</x:v>
      </x:c>
      <x:c r="H1596" s="27" t="str">
        <x:v>Mathematics</x:v>
      </x:c>
      <x:c r="I1596" s="27" t="str">
        <x:v>SRC09</x:v>
      </x:c>
      <x:c r="J1596" s="27" t="str">
        <x:v>Incoming prerequisite relationship.</x:v>
      </x:c>
    </x:row>
    <x:row r="1597">
      <x:c r="A1597" s="27" t="str">
        <x:v>E01593</x:v>
      </x:c>
      <x:c r="B1597" s="27" t="str">
        <x:v>S17-MATH-05:GROUND</x:v>
      </x:c>
      <x:c r="C1597" s="27" t="str">
        <x:v>G4/G5 — Concrete model linked to coordinated representations</x:v>
      </x:c>
      <x:c r="D1597" s="27" t="str">
        <x:v>GROUNDED_BY</x:v>
      </x:c>
      <x:c r="E1597" s="27" t="str">
        <x:v>S17-MATH-05</x:v>
      </x:c>
      <x:c r="F1597" s="27" t="str">
        <x:v>Divide unit fractions and whole numbers</x:v>
      </x:c>
      <x:c r="G1597" s="27" t="str">
        <x:v>S17</x:v>
      </x:c>
      <x:c r="H1597" s="27" t="str">
        <x:v>Mathematics</x:v>
      </x:c>
      <x:c r="I1597" s="27" t="str">
        <x:v>SRC09</x:v>
      </x:c>
      <x:c r="J1597" s="27" t="str">
        <x:v>Grounding form used to preserve meaning.</x:v>
      </x:c>
    </x:row>
    <x:row r="1598">
      <x:c r="A1598" s="27" t="str">
        <x:v>E01594</x:v>
      </x:c>
      <x:c r="B1598" s="27" t="str">
        <x:v>S17-MATH-05</x:v>
      </x:c>
      <x:c r="C1598" s="27" t="str">
        <x:v>Divide unit fractions and whole numbers</x:v>
      </x:c>
      <x:c r="D1598" s="27" t="str">
        <x:v>CONNECTS_TO</x:v>
      </x:c>
      <x:c r="E1598" s="27" t="str">
        <x:v>S17-MATH-05:CROSS</x:v>
      </x:c>
      <x:c r="F1598" s="27" t="str">
        <x:v>Physical quantity and spatial action; science measurement/models; computing/algorithms; finance; music rhythm/pattern; geographic data.</x:v>
      </x:c>
      <x:c r="G1598" s="27" t="str">
        <x:v>S17</x:v>
      </x:c>
      <x:c r="H1598" s="27" t="str">
        <x:v>Mathematics</x:v>
      </x:c>
      <x:c r="I1598" s="27" t="str">
        <x:v>SRC09</x:v>
      </x:c>
      <x:c r="J1598" s="27" t="str">
        <x:v>Parallel subject and representation links.</x:v>
      </x:c>
    </x:row>
    <x:row r="1599">
      <x:c r="A1599" s="27" t="str">
        <x:v>E01595</x:v>
      </x:c>
      <x:c r="B1599" s="27" t="str">
        <x:v>S17-MATH-05</x:v>
      </x:c>
      <x:c r="C1599" s="27" t="str">
        <x:v>Divide unit fractions and whole numbers</x:v>
      </x:c>
      <x:c r="D1599" s="27" t="str">
        <x:v>UNLOCKS</x:v>
      </x:c>
      <x:c r="E1599" s="27" t="str">
        <x:v>S17-MATH-05:NEXT</x:v>
      </x:c>
      <x:c r="F1599" s="27" t="str">
        <x:v>These cases introduce division with fractional units before full Grade 6 generalization.</x:v>
      </x:c>
      <x:c r="G1599" s="27" t="str">
        <x:v>S17</x:v>
      </x:c>
      <x:c r="H1599" s="27" t="str">
        <x:v>Mathematics</x:v>
      </x:c>
      <x:c r="I1599" s="27" t="str">
        <x:v>SRC09</x:v>
      </x:c>
      <x:c r="J1599" s="27" t="str">
        <x:v>Outgoing use and placement rationale.</x:v>
      </x:c>
    </x:row>
    <x:row r="1600">
      <x:c r="A1600" s="27" t="str">
        <x:v>E01596</x:v>
      </x:c>
      <x:c r="B1600" s="27" t="str">
        <x:v>S17-MATH-05</x:v>
      </x:c>
      <x:c r="C1600" s="27" t="str">
        <x:v>Divide unit fractions and whole numbers</x:v>
      </x:c>
      <x:c r="D1600" s="27" t="str">
        <x:v>VERIFIED_BY</x:v>
      </x:c>
      <x:c r="E1600" s="27" t="str">
        <x:v>S17-MATH-05:EVIDENCE</x:v>
      </x:c>
      <x:c r="F1600" s="27" t="str">
        <x:v>Uses a model/equation to explain how many fractional groups or how a fraction is shared.</x:v>
      </x:c>
      <x:c r="G1600" s="27" t="str">
        <x:v>S17</x:v>
      </x:c>
      <x:c r="H1600" s="27" t="str">
        <x:v>Mathematics</x:v>
      </x:c>
      <x:c r="I1600" s="27" t="str">
        <x:v>SRC09</x:v>
      </x:c>
      <x:c r="J1600" s="27" t="str">
        <x:v>Observable evidence of usable learning.</x:v>
      </x:c>
    </x:row>
    <x:row r="1601">
      <x:c r="A1601" s="27" t="str">
        <x:v>E01597</x:v>
      </x:c>
      <x:c r="B1601" s="27" t="str">
        <x:v>S17-MATH-05</x:v>
      </x:c>
      <x:c r="C1601" s="27" t="str">
        <x:v>Previous node in domain progression</x:v>
      </x:c>
      <x:c r="D1601" s="27" t="str">
        <x:v>DOMAIN_SEQUENCE</x:v>
      </x:c>
      <x:c r="E1601" s="27" t="str">
        <x:v>S17-MATH-06</x:v>
      </x:c>
      <x:c r="F1601" s="27" t="str">
        <x:v>Numerical expressions and coordinate relationships</x:v>
      </x:c>
      <x:c r="G1601" s="27" t="str">
        <x:v>S17</x:v>
      </x:c>
      <x:c r="H1601" s="27" t="str">
        <x:v>Mathematics</x:v>
      </x:c>
      <x:c r="I1601" s="27" t="str">
        <x:v>SRC09</x:v>
      </x:c>
      <x:c r="J1601" s="27" t="str">
        <x:v>Ordered spiral link; consult explicit prerequisites for logical dependency.</x:v>
      </x:c>
    </x:row>
    <x:row r="1602">
      <x:c r="A1602" s="27" t="str">
        <x:v>E01598</x:v>
      </x:c>
      <x:c r="B1602" s="27" t="str">
        <x:v>S17-MATH-06:PREREQ</x:v>
      </x:c>
      <x:c r="C1602" s="27" t="str">
        <x:v>Grade 4 number patterns, operation properties, and spatial axes.</x:v>
      </x:c>
      <x:c r="D1602" s="27" t="str">
        <x:v>PREREQUISITE</x:v>
      </x:c>
      <x:c r="E1602" s="27" t="str">
        <x:v>S17-MATH-06</x:v>
      </x:c>
      <x:c r="F1602" s="27" t="str">
        <x:v>Numerical expressions and coordinate relationships</x:v>
      </x:c>
      <x:c r="G1602" s="27" t="str">
        <x:v>S17</x:v>
      </x:c>
      <x:c r="H1602" s="27" t="str">
        <x:v>Mathematics</x:v>
      </x:c>
      <x:c r="I1602" s="27" t="str">
        <x:v>SRC09</x:v>
      </x:c>
      <x:c r="J1602" s="27" t="str">
        <x:v>Incoming prerequisite relationship.</x:v>
      </x:c>
    </x:row>
    <x:row r="1603">
      <x:c r="A1603" s="27" t="str">
        <x:v>E01599</x:v>
      </x:c>
      <x:c r="B1603" s="27" t="str">
        <x:v>S17-MATH-06:GROUND</x:v>
      </x:c>
      <x:c r="C1603" s="27" t="str">
        <x:v>G4/G5 — Concrete model linked to coordinated representations</x:v>
      </x:c>
      <x:c r="D1603" s="27" t="str">
        <x:v>GROUNDED_BY</x:v>
      </x:c>
      <x:c r="E1603" s="27" t="str">
        <x:v>S17-MATH-06</x:v>
      </x:c>
      <x:c r="F1603" s="27" t="str">
        <x:v>Numerical expressions and coordinate relationships</x:v>
      </x:c>
      <x:c r="G1603" s="27" t="str">
        <x:v>S17</x:v>
      </x:c>
      <x:c r="H1603" s="27" t="str">
        <x:v>Mathematics</x:v>
      </x:c>
      <x:c r="I1603" s="27" t="str">
        <x:v>SRC09</x:v>
      </x:c>
      <x:c r="J1603" s="27" t="str">
        <x:v>Grounding form used to preserve meaning.</x:v>
      </x:c>
    </x:row>
    <x:row r="1604">
      <x:c r="A1604" s="27" t="str">
        <x:v>E01600</x:v>
      </x:c>
      <x:c r="B1604" s="27" t="str">
        <x:v>S17-MATH-06</x:v>
      </x:c>
      <x:c r="C1604" s="27" t="str">
        <x:v>Numerical expressions and coordinate relationships</x:v>
      </x:c>
      <x:c r="D1604" s="27" t="str">
        <x:v>CONNECTS_TO</x:v>
      </x:c>
      <x:c r="E1604" s="27" t="str">
        <x:v>S17-MATH-06:CROSS</x:v>
      </x:c>
      <x:c r="F1604" s="27" t="str">
        <x:v>Physical quantity and spatial action; science measurement/models; computing/algorithms; finance; music rhythm/pattern; geographic data.</x:v>
      </x:c>
      <x:c r="G1604" s="27" t="str">
        <x:v>S17</x:v>
      </x:c>
      <x:c r="H1604" s="27" t="str">
        <x:v>Mathematics</x:v>
      </x:c>
      <x:c r="I1604" s="27" t="str">
        <x:v>SRC09</x:v>
      </x:c>
      <x:c r="J1604" s="27" t="str">
        <x:v>Parallel subject and representation links.</x:v>
      </x:c>
    </x:row>
    <x:row r="1605">
      <x:c r="A1605" s="27" t="str">
        <x:v>E01601</x:v>
      </x:c>
      <x:c r="B1605" s="27" t="str">
        <x:v>S17-MATH-06</x:v>
      </x:c>
      <x:c r="C1605" s="27" t="str">
        <x:v>Numerical expressions and coordinate relationships</x:v>
      </x:c>
      <x:c r="D1605" s="27" t="str">
        <x:v>UNLOCKS</x:v>
      </x:c>
      <x:c r="E1605" s="27" t="str">
        <x:v>S17-MATH-06:NEXT</x:v>
      </x:c>
      <x:c r="F1605" s="27" t="str">
        <x:v>Expressions separate structure from computation; coordinate graphs prepare functions.</x:v>
      </x:c>
      <x:c r="G1605" s="27" t="str">
        <x:v>S17</x:v>
      </x:c>
      <x:c r="H1605" s="27" t="str">
        <x:v>Mathematics</x:v>
      </x:c>
      <x:c r="I1605" s="27" t="str">
        <x:v>SRC09</x:v>
      </x:c>
      <x:c r="J1605" s="27" t="str">
        <x:v>Outgoing use and placement rationale.</x:v>
      </x:c>
    </x:row>
    <x:row r="1606">
      <x:c r="A1606" s="27" t="str">
        <x:v>E01602</x:v>
      </x:c>
      <x:c r="B1606" s="27" t="str">
        <x:v>S17-MATH-06</x:v>
      </x:c>
      <x:c r="C1606" s="27" t="str">
        <x:v>Numerical expressions and coordinate relationships</x:v>
      </x:c>
      <x:c r="D1606" s="27" t="str">
        <x:v>VERIFIED_BY</x:v>
      </x:c>
      <x:c r="E1606" s="27" t="str">
        <x:v>S17-MATH-06:EVIDENCE</x:v>
      </x:c>
      <x:c r="F1606" s="27" t="str">
        <x:v>Writes an expression from words and explains the relationship visible in paired patterns/graph.</x:v>
      </x:c>
      <x:c r="G1606" s="27" t="str">
        <x:v>S17</x:v>
      </x:c>
      <x:c r="H1606" s="27" t="str">
        <x:v>Mathematics</x:v>
      </x:c>
      <x:c r="I1606" s="27" t="str">
        <x:v>SRC09</x:v>
      </x:c>
      <x:c r="J1606" s="27" t="str">
        <x:v>Observable evidence of usable learning.</x:v>
      </x:c>
    </x:row>
    <x:row r="1607">
      <x:c r="A1607" s="27" t="str">
        <x:v>E01603</x:v>
      </x:c>
      <x:c r="B1607" s="27" t="str">
        <x:v>S17-MATH-06</x:v>
      </x:c>
      <x:c r="C1607" s="27" t="str">
        <x:v>Previous node in domain progression</x:v>
      </x:c>
      <x:c r="D1607" s="27" t="str">
        <x:v>DOMAIN_SEQUENCE</x:v>
      </x:c>
      <x:c r="E1607" s="27" t="str">
        <x:v>S17-MATH-07</x:v>
      </x:c>
      <x:c r="F1607" s="27" t="str">
        <x:v>Volume and coordinate classification</x:v>
      </x:c>
      <x:c r="G1607" s="27" t="str">
        <x:v>S17</x:v>
      </x:c>
      <x:c r="H1607" s="27" t="str">
        <x:v>Mathematics</x:v>
      </x:c>
      <x:c r="I1607" s="27" t="str">
        <x:v>SRC09</x:v>
      </x:c>
      <x:c r="J1607" s="27" t="str">
        <x:v>Ordered spiral link; consult explicit prerequisites for logical dependency.</x:v>
      </x:c>
    </x:row>
    <x:row r="1608">
      <x:c r="A1608" s="27" t="str">
        <x:v>E01604</x:v>
      </x:c>
      <x:c r="B1608" s="27" t="str">
        <x:v>S17-MATH-07:PREREQ</x:v>
      </x:c>
      <x:c r="C1608" s="27" t="str">
        <x:v>Area/multiplication, standard units, and Grade 4 shape categories.</x:v>
      </x:c>
      <x:c r="D1608" s="27" t="str">
        <x:v>PREREQUISITE</x:v>
      </x:c>
      <x:c r="E1608" s="27" t="str">
        <x:v>S17-MATH-07</x:v>
      </x:c>
      <x:c r="F1608" s="27" t="str">
        <x:v>Volume and coordinate classification</x:v>
      </x:c>
      <x:c r="G1608" s="27" t="str">
        <x:v>S17</x:v>
      </x:c>
      <x:c r="H1608" s="27" t="str">
        <x:v>Mathematics</x:v>
      </x:c>
      <x:c r="I1608" s="27" t="str">
        <x:v>SRC09</x:v>
      </x:c>
      <x:c r="J1608" s="27" t="str">
        <x:v>Incoming prerequisite relationship.</x:v>
      </x:c>
    </x:row>
    <x:row r="1609">
      <x:c r="A1609" s="27" t="str">
        <x:v>E01605</x:v>
      </x:c>
      <x:c r="B1609" s="27" t="str">
        <x:v>S17-MATH-07:GROUND</x:v>
      </x:c>
      <x:c r="C1609" s="27" t="str">
        <x:v>G4/G5 — Concrete model linked to coordinated representations</x:v>
      </x:c>
      <x:c r="D1609" s="27" t="str">
        <x:v>GROUNDED_BY</x:v>
      </x:c>
      <x:c r="E1609" s="27" t="str">
        <x:v>S17-MATH-07</x:v>
      </x:c>
      <x:c r="F1609" s="27" t="str">
        <x:v>Volume and coordinate classification</x:v>
      </x:c>
      <x:c r="G1609" s="27" t="str">
        <x:v>S17</x:v>
      </x:c>
      <x:c r="H1609" s="27" t="str">
        <x:v>Mathematics</x:v>
      </x:c>
      <x:c r="I1609" s="27" t="str">
        <x:v>SRC09</x:v>
      </x:c>
      <x:c r="J1609" s="27" t="str">
        <x:v>Grounding form used to preserve meaning.</x:v>
      </x:c>
    </x:row>
    <x:row r="1610">
      <x:c r="A1610" s="27" t="str">
        <x:v>E01606</x:v>
      </x:c>
      <x:c r="B1610" s="27" t="str">
        <x:v>S17-MATH-07</x:v>
      </x:c>
      <x:c r="C1610" s="27" t="str">
        <x:v>Volume and coordinate classification</x:v>
      </x:c>
      <x:c r="D1610" s="27" t="str">
        <x:v>CONNECTS_TO</x:v>
      </x:c>
      <x:c r="E1610" s="27" t="str">
        <x:v>S17-MATH-07:CROSS</x:v>
      </x:c>
      <x:c r="F1610" s="27" t="str">
        <x:v>Physical quantity and spatial action; science measurement/models; computing/algorithms; finance; music rhythm/pattern; geographic data.</x:v>
      </x:c>
      <x:c r="G1610" s="27" t="str">
        <x:v>S17</x:v>
      </x:c>
      <x:c r="H1610" s="27" t="str">
        <x:v>Mathematics</x:v>
      </x:c>
      <x:c r="I1610" s="27" t="str">
        <x:v>SRC09</x:v>
      </x:c>
      <x:c r="J1610" s="27" t="str">
        <x:v>Parallel subject and representation links.</x:v>
      </x:c>
    </x:row>
    <x:row r="1611">
      <x:c r="A1611" s="27" t="str">
        <x:v>E01607</x:v>
      </x:c>
      <x:c r="B1611" s="27" t="str">
        <x:v>S17-MATH-07</x:v>
      </x:c>
      <x:c r="C1611" s="27" t="str">
        <x:v>Volume and coordinate classification</x:v>
      </x:c>
      <x:c r="D1611" s="27" t="str">
        <x:v>UNLOCKS</x:v>
      </x:c>
      <x:c r="E1611" s="27" t="str">
        <x:v>S17-MATH-07:NEXT</x:v>
      </x:c>
      <x:c r="F1611" s="27" t="str">
        <x:v>Volume extends multiplicative measurement to three dimensions; hierarchy supports logical implication.</x:v>
      </x:c>
      <x:c r="G1611" s="27" t="str">
        <x:v>S17</x:v>
      </x:c>
      <x:c r="H1611" s="27" t="str">
        <x:v>Mathematics</x:v>
      </x:c>
      <x:c r="I1611" s="27" t="str">
        <x:v>SRC09</x:v>
      </x:c>
      <x:c r="J1611" s="27" t="str">
        <x:v>Outgoing use and placement rationale.</x:v>
      </x:c>
    </x:row>
    <x:row r="1612">
      <x:c r="A1612" s="27" t="str">
        <x:v>E01608</x:v>
      </x:c>
      <x:c r="B1612" s="27" t="str">
        <x:v>S17-MATH-07</x:v>
      </x:c>
      <x:c r="C1612" s="27" t="str">
        <x:v>Volume and coordinate classification</x:v>
      </x:c>
      <x:c r="D1612" s="27" t="str">
        <x:v>VERIFIED_BY</x:v>
      </x:c>
      <x:c r="E1612" s="27" t="str">
        <x:v>S17-MATH-07:EVIDENCE</x:v>
      </x:c>
      <x:c r="F1612" s="27" t="str">
        <x:v>Derives/uses a volume expression and explains why one figure can belong to nested categories.</x:v>
      </x:c>
      <x:c r="G1612" s="27" t="str">
        <x:v>S17</x:v>
      </x:c>
      <x:c r="H1612" s="27" t="str">
        <x:v>Mathematics</x:v>
      </x:c>
      <x:c r="I1612" s="27" t="str">
        <x:v>SRC09</x:v>
      </x:c>
      <x:c r="J1612" s="27" t="str">
        <x:v>Observable evidence of usable learning.</x:v>
      </x:c>
    </x:row>
    <x:row r="1613">
      <x:c r="A1613" s="27" t="str">
        <x:v>E01609</x:v>
      </x:c>
      <x:c r="B1613" s="27" t="str">
        <x:v>S17-MATH-07</x:v>
      </x:c>
      <x:c r="C1613" s="27" t="str">
        <x:v>Previous node in domain progression</x:v>
      </x:c>
      <x:c r="D1613" s="27" t="str">
        <x:v>DOMAIN_SEQUENCE</x:v>
      </x:c>
      <x:c r="E1613" s="27" t="str">
        <x:v>S17-MATH-08</x:v>
      </x:c>
      <x:c r="F1613" s="27" t="str">
        <x:v>Fractional line plots and data questions</x:v>
      </x:c>
      <x:c r="G1613" s="27" t="str">
        <x:v>S17</x:v>
      </x:c>
      <x:c r="H1613" s="27" t="str">
        <x:v>Mathematics</x:v>
      </x:c>
      <x:c r="I1613" s="27" t="str">
        <x:v>SRC09</x:v>
      </x:c>
      <x:c r="J1613" s="27" t="str">
        <x:v>Ordered spiral link; consult explicit prerequisites for logical dependency.</x:v>
      </x:c>
    </x:row>
    <x:row r="1614">
      <x:c r="A1614" s="27" t="str">
        <x:v>E01610</x:v>
      </x:c>
      <x:c r="B1614" s="27" t="str">
        <x:v>S17-MATH-08:PREREQ</x:v>
      </x:c>
      <x:c r="C1614" s="27" t="str">
        <x:v>Grade 3/4 line plots and fraction operations.</x:v>
      </x:c>
      <x:c r="D1614" s="27" t="str">
        <x:v>PREREQUISITE</x:v>
      </x:c>
      <x:c r="E1614" s="27" t="str">
        <x:v>S17-MATH-08</x:v>
      </x:c>
      <x:c r="F1614" s="27" t="str">
        <x:v>Fractional line plots and data questions</x:v>
      </x:c>
      <x:c r="G1614" s="27" t="str">
        <x:v>S17</x:v>
      </x:c>
      <x:c r="H1614" s="27" t="str">
        <x:v>Mathematics</x:v>
      </x:c>
      <x:c r="I1614" s="27" t="str">
        <x:v>SRC09</x:v>
      </x:c>
      <x:c r="J1614" s="27" t="str">
        <x:v>Incoming prerequisite relationship.</x:v>
      </x:c>
    </x:row>
    <x:row r="1615">
      <x:c r="A1615" s="27" t="str">
        <x:v>E01611</x:v>
      </x:c>
      <x:c r="B1615" s="27" t="str">
        <x:v>S17-MATH-08:GROUND</x:v>
      </x:c>
      <x:c r="C1615" s="27" t="str">
        <x:v>G4/G5 — Concrete model linked to coordinated representations</x:v>
      </x:c>
      <x:c r="D1615" s="27" t="str">
        <x:v>GROUNDED_BY</x:v>
      </x:c>
      <x:c r="E1615" s="27" t="str">
        <x:v>S17-MATH-08</x:v>
      </x:c>
      <x:c r="F1615" s="27" t="str">
        <x:v>Fractional line plots and data questions</x:v>
      </x:c>
      <x:c r="G1615" s="27" t="str">
        <x:v>S17</x:v>
      </x:c>
      <x:c r="H1615" s="27" t="str">
        <x:v>Mathematics</x:v>
      </x:c>
      <x:c r="I1615" s="27" t="str">
        <x:v>SRC09</x:v>
      </x:c>
      <x:c r="J1615" s="27" t="str">
        <x:v>Grounding form used to preserve meaning.</x:v>
      </x:c>
    </x:row>
    <x:row r="1616">
      <x:c r="A1616" s="27" t="str">
        <x:v>E01612</x:v>
      </x:c>
      <x:c r="B1616" s="27" t="str">
        <x:v>S17-MATH-08</x:v>
      </x:c>
      <x:c r="C1616" s="27" t="str">
        <x:v>Fractional line plots and data questions</x:v>
      </x:c>
      <x:c r="D1616" s="27" t="str">
        <x:v>CONNECTS_TO</x:v>
      </x:c>
      <x:c r="E1616" s="27" t="str">
        <x:v>S17-MATH-08:CROSS</x:v>
      </x:c>
      <x:c r="F1616" s="27" t="str">
        <x:v>Physical quantity and spatial action; science measurement/models; computing/algorithms; finance; music rhythm/pattern; geographic data.</x:v>
      </x:c>
      <x:c r="G1616" s="27" t="str">
        <x:v>S17</x:v>
      </x:c>
      <x:c r="H1616" s="27" t="str">
        <x:v>Mathematics</x:v>
      </x:c>
      <x:c r="I1616" s="27" t="str">
        <x:v>SRC09</x:v>
      </x:c>
      <x:c r="J1616" s="27" t="str">
        <x:v>Parallel subject and representation links.</x:v>
      </x:c>
    </x:row>
    <x:row r="1617">
      <x:c r="A1617" s="27" t="str">
        <x:v>E01613</x:v>
      </x:c>
      <x:c r="B1617" s="27" t="str">
        <x:v>S17-MATH-08</x:v>
      </x:c>
      <x:c r="C1617" s="27" t="str">
        <x:v>Fractional line plots and data questions</x:v>
      </x:c>
      <x:c r="D1617" s="27" t="str">
        <x:v>UNLOCKS</x:v>
      </x:c>
      <x:c r="E1617" s="27" t="str">
        <x:v>S17-MATH-08:NEXT</x:v>
      </x:c>
      <x:c r="F1617" s="27" t="str">
        <x:v>Operating on a dataset prepares center, variability, and statistical questions.</x:v>
      </x:c>
      <x:c r="G1617" s="27" t="str">
        <x:v>S17</x:v>
      </x:c>
      <x:c r="H1617" s="27" t="str">
        <x:v>Mathematics</x:v>
      </x:c>
      <x:c r="I1617" s="27" t="str">
        <x:v>SRC09</x:v>
      </x:c>
      <x:c r="J1617" s="27" t="str">
        <x:v>Outgoing use and placement rationale.</x:v>
      </x:c>
    </x:row>
    <x:row r="1618">
      <x:c r="A1618" s="27" t="str">
        <x:v>E01614</x:v>
      </x:c>
      <x:c r="B1618" s="27" t="str">
        <x:v>S17-MATH-08</x:v>
      </x:c>
      <x:c r="C1618" s="27" t="str">
        <x:v>Fractional line plots and data questions</x:v>
      </x:c>
      <x:c r="D1618" s="27" t="str">
        <x:v>VERIFIED_BY</x:v>
      </x:c>
      <x:c r="E1618" s="27" t="str">
        <x:v>S17-MATH-08:EVIDENCE</x:v>
      </x:c>
      <x:c r="F1618" s="27" t="str">
        <x:v>Constructs a line plot and answers a question requiring fraction calculation across observations.</x:v>
      </x:c>
      <x:c r="G1618" s="27" t="str">
        <x:v>S17</x:v>
      </x:c>
      <x:c r="H1618" s="27" t="str">
        <x:v>Mathematics</x:v>
      </x:c>
      <x:c r="I1618" s="27" t="str">
        <x:v>SRC09</x:v>
      </x:c>
      <x:c r="J1618" s="27" t="str">
        <x:v>Observable evidence of usable learning.</x:v>
      </x:c>
    </x:row>
    <x:row r="1619">
      <x:c r="A1619" s="27" t="str">
        <x:v>E01615</x:v>
      </x:c>
      <x:c r="B1619" s="27" t="str">
        <x:v>S16-SCI-03</x:v>
      </x:c>
      <x:c r="C1619" s="27" t="str">
        <x:v>Previous node in domain progression</x:v>
      </x:c>
      <x:c r="D1619" s="27" t="str">
        <x:v>DOMAIN_SEQUENCE</x:v>
      </x:c>
      <x:c r="E1619" s="27" t="str">
        <x:v>S17-SCI-01</x:v>
      </x:c>
      <x:c r="F1619" s="27" t="str">
        <x:v>Matter conservation and chemical change evidence</x:v>
      </x:c>
      <x:c r="G1619" s="27" t="str">
        <x:v>S17</x:v>
      </x:c>
      <x:c r="H1619" s="27" t="str">
        <x:v>Science &amp; Engineering</x:v>
      </x:c>
      <x:c r="I1619" s="27" t="str">
        <x:v>SRC11</x:v>
      </x:c>
      <x:c r="J1619" s="27" t="str">
        <x:v>Ordered spiral link; consult explicit prerequisites for logical dependency.</x:v>
      </x:c>
    </x:row>
    <x:row r="1620">
      <x:c r="A1620" s="27" t="str">
        <x:v>E01616</x:v>
      </x:c>
      <x:c r="B1620" s="27" t="str">
        <x:v>S17-SCI-01:PREREQ</x:v>
      </x:c>
      <x:c r="C1620" s="27" t="str">
        <x:v>Grade 2 matter/properties, Grade 4 energy, volume, and decimal measurement.</x:v>
      </x:c>
      <x:c r="D1620" s="27" t="str">
        <x:v>PREREQUISITE</x:v>
      </x:c>
      <x:c r="E1620" s="27" t="str">
        <x:v>S17-SCI-01</x:v>
      </x:c>
      <x:c r="F1620" s="27" t="str">
        <x:v>Matter conservation and chemical change evidence</x:v>
      </x:c>
      <x:c r="G1620" s="27" t="str">
        <x:v>S17</x:v>
      </x:c>
      <x:c r="H1620" s="27" t="str">
        <x:v>Science &amp; Engineering</x:v>
      </x:c>
      <x:c r="I1620" s="27" t="str">
        <x:v>SRC11</x:v>
      </x:c>
      <x:c r="J1620" s="27" t="str">
        <x:v>Incoming prerequisite relationship.</x:v>
      </x:c>
    </x:row>
    <x:row r="1621">
      <x:c r="A1621" s="27" t="str">
        <x:v>E01617</x:v>
      </x:c>
      <x:c r="B1621" s="27" t="str">
        <x:v>S17-SCI-01:GROUND</x:v>
      </x:c>
      <x:c r="C1621" s="27" t="str">
        <x:v>G4/G5 — Concrete model linked to coordinated representations</x:v>
      </x:c>
      <x:c r="D1621" s="27" t="str">
        <x:v>GROUNDED_BY</x:v>
      </x:c>
      <x:c r="E1621" s="27" t="str">
        <x:v>S17-SCI-01</x:v>
      </x:c>
      <x:c r="F1621" s="27" t="str">
        <x:v>Matter conservation and chemical change evidence</x:v>
      </x:c>
      <x:c r="G1621" s="27" t="str">
        <x:v>S17</x:v>
      </x:c>
      <x:c r="H1621" s="27" t="str">
        <x:v>Science &amp; Engineering</x:v>
      </x:c>
      <x:c r="I1621" s="27" t="str">
        <x:v>SRC11</x:v>
      </x:c>
      <x:c r="J1621" s="27" t="str">
        <x:v>Grounding form used to preserve meaning.</x:v>
      </x:c>
    </x:row>
    <x:row r="1622">
      <x:c r="A1622" s="27" t="str">
        <x:v>E01618</x:v>
      </x:c>
      <x:c r="B1622" s="27" t="str">
        <x:v>S17-SCI-01</x:v>
      </x:c>
      <x:c r="C1622" s="27" t="str">
        <x:v>Matter conservation and chemical change evidence</x:v>
      </x:c>
      <x:c r="D1622" s="27" t="str">
        <x:v>CONNECTS_TO</x:v>
      </x:c>
      <x:c r="E1622" s="27" t="str">
        <x:v>S17-SCI-01:CROSS</x:v>
      </x:c>
      <x:c r="F1622" s="27" t="str">
        <x:v>Sensory observation and action; mathematics/data; reading/writing evidence; computing/models; health and environmental/civic decisions.</x:v>
      </x:c>
      <x:c r="G1622" s="27" t="str">
        <x:v>S17</x:v>
      </x:c>
      <x:c r="H1622" s="27" t="str">
        <x:v>Science &amp; Engineering</x:v>
      </x:c>
      <x:c r="I1622" s="27" t="str">
        <x:v>SRC11</x:v>
      </x:c>
      <x:c r="J1622" s="27" t="str">
        <x:v>Parallel subject and representation links.</x:v>
      </x:c>
    </x:row>
    <x:row r="1623">
      <x:c r="A1623" s="27" t="str">
        <x:v>E01619</x:v>
      </x:c>
      <x:c r="B1623" s="27" t="str">
        <x:v>S17-SCI-01</x:v>
      </x:c>
      <x:c r="C1623" s="27" t="str">
        <x:v>Matter conservation and chemical change evidence</x:v>
      </x:c>
      <x:c r="D1623" s="27" t="str">
        <x:v>UNLOCKS</x:v>
      </x:c>
      <x:c r="E1623" s="27" t="str">
        <x:v>S17-SCI-01:NEXT</x:v>
      </x:c>
      <x:c r="F1623" s="27" t="str">
        <x:v>Conservation and particle models prepare middle-school chemistry.</x:v>
      </x:c>
      <x:c r="G1623" s="27" t="str">
        <x:v>S17</x:v>
      </x:c>
      <x:c r="H1623" s="27" t="str">
        <x:v>Science &amp; Engineering</x:v>
      </x:c>
      <x:c r="I1623" s="27" t="str">
        <x:v>SRC11</x:v>
      </x:c>
      <x:c r="J1623" s="27" t="str">
        <x:v>Outgoing use and placement rationale.</x:v>
      </x:c>
    </x:row>
    <x:row r="1624">
      <x:c r="A1624" s="27" t="str">
        <x:v>E01620</x:v>
      </x:c>
      <x:c r="B1624" s="27" t="str">
        <x:v>S17-SCI-01</x:v>
      </x:c>
      <x:c r="C1624" s="27" t="str">
        <x:v>Matter conservation and chemical change evidence</x:v>
      </x:c>
      <x:c r="D1624" s="27" t="str">
        <x:v>VERIFIED_BY</x:v>
      </x:c>
      <x:c r="E1624" s="27" t="str">
        <x:v>S17-SCI-01:EVIDENCE</x:v>
      </x:c>
      <x:c r="F1624" s="27" t="str">
        <x:v>Uses measured data and observations to defend whether matter was conserved and a new substance formed.</x:v>
      </x:c>
      <x:c r="G1624" s="27" t="str">
        <x:v>S17</x:v>
      </x:c>
      <x:c r="H1624" s="27" t="str">
        <x:v>Science &amp; Engineering</x:v>
      </x:c>
      <x:c r="I1624" s="27" t="str">
        <x:v>SRC11</x:v>
      </x:c>
      <x:c r="J1624" s="27" t="str">
        <x:v>Observable evidence of usable learning.</x:v>
      </x:c>
    </x:row>
    <x:row r="1625">
      <x:c r="A1625" s="27" t="str">
        <x:v>E01621</x:v>
      </x:c>
      <x:c r="B1625" s="27" t="str">
        <x:v>S17-SCI-01</x:v>
      </x:c>
      <x:c r="C1625" s="27" t="str">
        <x:v>Previous node in domain progression</x:v>
      </x:c>
      <x:c r="D1625" s="27" t="str">
        <x:v>DOMAIN_SEQUENCE</x:v>
      </x:c>
      <x:c r="E1625" s="27" t="str">
        <x:v>S17-SCI-02</x:v>
      </x:c>
      <x:c r="F1625" s="27" t="str">
        <x:v>Matter and energy in organisms/ecosystems</x:v>
      </x:c>
      <x:c r="G1625" s="27" t="str">
        <x:v>S17</x:v>
      </x:c>
      <x:c r="H1625" s="27" t="str">
        <x:v>Science &amp; Engineering</x:v>
      </x:c>
      <x:c r="I1625" s="27" t="str">
        <x:v>SRC11</x:v>
      </x:c>
      <x:c r="J1625" s="27" t="str">
        <x:v>Ordered spiral link; consult explicit prerequisites for logical dependency.</x:v>
      </x:c>
    </x:row>
    <x:row r="1626">
      <x:c r="A1626" s="27" t="str">
        <x:v>E01622</x:v>
      </x:c>
      <x:c r="B1626" s="27" t="str">
        <x:v>S17-SCI-02:PREREQ</x:v>
      </x:c>
      <x:c r="C1626" s="27" t="str">
        <x:v>Ecosystem needs/relationships, structure-function, and fraction/flow models.</x:v>
      </x:c>
      <x:c r="D1626" s="27" t="str">
        <x:v>PREREQUISITE</x:v>
      </x:c>
      <x:c r="E1626" s="27" t="str">
        <x:v>S17-SCI-02</x:v>
      </x:c>
      <x:c r="F1626" s="27" t="str">
        <x:v>Matter and energy in organisms/ecosystems</x:v>
      </x:c>
      <x:c r="G1626" s="27" t="str">
        <x:v>S17</x:v>
      </x:c>
      <x:c r="H1626" s="27" t="str">
        <x:v>Science &amp; Engineering</x:v>
      </x:c>
      <x:c r="I1626" s="27" t="str">
        <x:v>SRC11</x:v>
      </x:c>
      <x:c r="J1626" s="27" t="str">
        <x:v>Incoming prerequisite relationship.</x:v>
      </x:c>
    </x:row>
    <x:row r="1627">
      <x:c r="A1627" s="27" t="str">
        <x:v>E01623</x:v>
      </x:c>
      <x:c r="B1627" s="27" t="str">
        <x:v>S17-SCI-02:GROUND</x:v>
      </x:c>
      <x:c r="C1627" s="27" t="str">
        <x:v>G4/G5 — Concrete model linked to coordinated representations</x:v>
      </x:c>
      <x:c r="D1627" s="27" t="str">
        <x:v>GROUNDED_BY</x:v>
      </x:c>
      <x:c r="E1627" s="27" t="str">
        <x:v>S17-SCI-02</x:v>
      </x:c>
      <x:c r="F1627" s="27" t="str">
        <x:v>Matter and energy in organisms/ecosystems</x:v>
      </x:c>
      <x:c r="G1627" s="27" t="str">
        <x:v>S17</x:v>
      </x:c>
      <x:c r="H1627" s="27" t="str">
        <x:v>Science &amp; Engineering</x:v>
      </x:c>
      <x:c r="I1627" s="27" t="str">
        <x:v>SRC11</x:v>
      </x:c>
      <x:c r="J1627" s="27" t="str">
        <x:v>Grounding form used to preserve meaning.</x:v>
      </x:c>
    </x:row>
    <x:row r="1628">
      <x:c r="A1628" s="27" t="str">
        <x:v>E01624</x:v>
      </x:c>
      <x:c r="B1628" s="27" t="str">
        <x:v>S17-SCI-02</x:v>
      </x:c>
      <x:c r="C1628" s="27" t="str">
        <x:v>Matter and energy in organisms/ecosystems</x:v>
      </x:c>
      <x:c r="D1628" s="27" t="str">
        <x:v>CONNECTS_TO</x:v>
      </x:c>
      <x:c r="E1628" s="27" t="str">
        <x:v>S17-SCI-02:CROSS</x:v>
      </x:c>
      <x:c r="F1628" s="27" t="str">
        <x:v>Sensory observation and action; mathematics/data; reading/writing evidence; computing/models; health and environmental/civic decisions.</x:v>
      </x:c>
      <x:c r="G1628" s="27" t="str">
        <x:v>S17</x:v>
      </x:c>
      <x:c r="H1628" s="27" t="str">
        <x:v>Science &amp; Engineering</x:v>
      </x:c>
      <x:c r="I1628" s="27" t="str">
        <x:v>SRC11</x:v>
      </x:c>
      <x:c r="J1628" s="27" t="str">
        <x:v>Parallel subject and representation links.</x:v>
      </x:c>
    </x:row>
    <x:row r="1629">
      <x:c r="A1629" s="27" t="str">
        <x:v>E01625</x:v>
      </x:c>
      <x:c r="B1629" s="27" t="str">
        <x:v>S17-SCI-02</x:v>
      </x:c>
      <x:c r="C1629" s="27" t="str">
        <x:v>Matter and energy in organisms/ecosystems</x:v>
      </x:c>
      <x:c r="D1629" s="27" t="str">
        <x:v>UNLOCKS</x:v>
      </x:c>
      <x:c r="E1629" s="27" t="str">
        <x:v>S17-SCI-02:NEXT</x:v>
      </x:c>
      <x:c r="F1629" s="27" t="str">
        <x:v>Matter cycling and energy flow become the organizing ecosystem model.</x:v>
      </x:c>
      <x:c r="G1629" s="27" t="str">
        <x:v>S17</x:v>
      </x:c>
      <x:c r="H1629" s="27" t="str">
        <x:v>Science &amp; Engineering</x:v>
      </x:c>
      <x:c r="I1629" s="27" t="str">
        <x:v>SRC11</x:v>
      </x:c>
      <x:c r="J1629" s="27" t="str">
        <x:v>Outgoing use and placement rationale.</x:v>
      </x:c>
    </x:row>
    <x:row r="1630">
      <x:c r="A1630" s="27" t="str">
        <x:v>E01626</x:v>
      </x:c>
      <x:c r="B1630" s="27" t="str">
        <x:v>S17-SCI-02</x:v>
      </x:c>
      <x:c r="C1630" s="27" t="str">
        <x:v>Matter and energy in organisms/ecosystems</x:v>
      </x:c>
      <x:c r="D1630" s="27" t="str">
        <x:v>VERIFIED_BY</x:v>
      </x:c>
      <x:c r="E1630" s="27" t="str">
        <x:v>S17-SCI-02:EVIDENCE</x:v>
      </x:c>
      <x:c r="F1630" s="27" t="str">
        <x:v>Traces a material and energy pathway through a food-web or plant-growth model.</x:v>
      </x:c>
      <x:c r="G1630" s="27" t="str">
        <x:v>S17</x:v>
      </x:c>
      <x:c r="H1630" s="27" t="str">
        <x:v>Science &amp; Engineering</x:v>
      </x:c>
      <x:c r="I1630" s="27" t="str">
        <x:v>SRC11</x:v>
      </x:c>
      <x:c r="J1630" s="27" t="str">
        <x:v>Observable evidence of usable learning.</x:v>
      </x:c>
    </x:row>
    <x:row r="1631">
      <x:c r="A1631" s="27" t="str">
        <x:v>E01627</x:v>
      </x:c>
      <x:c r="B1631" s="27" t="str">
        <x:v>S17-SCI-02</x:v>
      </x:c>
      <x:c r="C1631" s="27" t="str">
        <x:v>Previous node in domain progression</x:v>
      </x:c>
      <x:c r="D1631" s="27" t="str">
        <x:v>DOMAIN_SEQUENCE</x:v>
      </x:c>
      <x:c r="E1631" s="27" t="str">
        <x:v>S17-SCI-03</x:v>
      </x:c>
      <x:c r="F1631" s="27" t="str">
        <x:v>Earth systems and space scale</x:v>
      </x:c>
      <x:c r="G1631" s="27" t="str">
        <x:v>S17</x:v>
      </x:c>
      <x:c r="H1631" s="27" t="str">
        <x:v>Science &amp; Engineering</x:v>
      </x:c>
      <x:c r="I1631" s="27" t="str">
        <x:v>SRC11</x:v>
      </x:c>
      <x:c r="J1631" s="27" t="str">
        <x:v>Ordered spiral link; consult explicit prerequisites for logical dependency.</x:v>
      </x:c>
    </x:row>
    <x:row r="1632">
      <x:c r="A1632" s="27" t="str">
        <x:v>E01628</x:v>
      </x:c>
      <x:c r="B1632" s="27" t="str">
        <x:v>S17-SCI-03:PREREQ</x:v>
      </x:c>
      <x:c r="C1632" s="27" t="str">
        <x:v>Grade 4 Earth processes, weather patterns, fractions, and scale reasoning.</x:v>
      </x:c>
      <x:c r="D1632" s="27" t="str">
        <x:v>PREREQUISITE</x:v>
      </x:c>
      <x:c r="E1632" s="27" t="str">
        <x:v>S17-SCI-03</x:v>
      </x:c>
      <x:c r="F1632" s="27" t="str">
        <x:v>Earth systems and space scale</x:v>
      </x:c>
      <x:c r="G1632" s="27" t="str">
        <x:v>S17</x:v>
      </x:c>
      <x:c r="H1632" s="27" t="str">
        <x:v>Science &amp; Engineering</x:v>
      </x:c>
      <x:c r="I1632" s="27" t="str">
        <x:v>SRC11</x:v>
      </x:c>
      <x:c r="J1632" s="27" t="str">
        <x:v>Incoming prerequisite relationship.</x:v>
      </x:c>
    </x:row>
    <x:row r="1633">
      <x:c r="A1633" s="27" t="str">
        <x:v>E01629</x:v>
      </x:c>
      <x:c r="B1633" s="27" t="str">
        <x:v>S17-SCI-03:GROUND</x:v>
      </x:c>
      <x:c r="C1633" s="27" t="str">
        <x:v>G4/G5 — Concrete model linked to coordinated representations</x:v>
      </x:c>
      <x:c r="D1633" s="27" t="str">
        <x:v>GROUNDED_BY</x:v>
      </x:c>
      <x:c r="E1633" s="27" t="str">
        <x:v>S17-SCI-03</x:v>
      </x:c>
      <x:c r="F1633" s="27" t="str">
        <x:v>Earth systems and space scale</x:v>
      </x:c>
      <x:c r="G1633" s="27" t="str">
        <x:v>S17</x:v>
      </x:c>
      <x:c r="H1633" s="27" t="str">
        <x:v>Science &amp; Engineering</x:v>
      </x:c>
      <x:c r="I1633" s="27" t="str">
        <x:v>SRC11</x:v>
      </x:c>
      <x:c r="J1633" s="27" t="str">
        <x:v>Grounding form used to preserve meaning.</x:v>
      </x:c>
    </x:row>
    <x:row r="1634">
      <x:c r="A1634" s="27" t="str">
        <x:v>E01630</x:v>
      </x:c>
      <x:c r="B1634" s="27" t="str">
        <x:v>S17-SCI-03</x:v>
      </x:c>
      <x:c r="C1634" s="27" t="str">
        <x:v>Earth systems and space scale</x:v>
      </x:c>
      <x:c r="D1634" s="27" t="str">
        <x:v>CONNECTS_TO</x:v>
      </x:c>
      <x:c r="E1634" s="27" t="str">
        <x:v>S17-SCI-03:CROSS</x:v>
      </x:c>
      <x:c r="F1634" s="27" t="str">
        <x:v>Sensory observation and action; mathematics/data; reading/writing evidence; computing/models; health and environmental/civic decisions.</x:v>
      </x:c>
      <x:c r="G1634" s="27" t="str">
        <x:v>S17</x:v>
      </x:c>
      <x:c r="H1634" s="27" t="str">
        <x:v>Science &amp; Engineering</x:v>
      </x:c>
      <x:c r="I1634" s="27" t="str">
        <x:v>SRC11</x:v>
      </x:c>
      <x:c r="J1634" s="27" t="str">
        <x:v>Parallel subject and representation links.</x:v>
      </x:c>
    </x:row>
    <x:row r="1635">
      <x:c r="A1635" s="27" t="str">
        <x:v>E01631</x:v>
      </x:c>
      <x:c r="B1635" s="27" t="str">
        <x:v>S17-SCI-03</x:v>
      </x:c>
      <x:c r="C1635" s="27" t="str">
        <x:v>Earth systems and space scale</x:v>
      </x:c>
      <x:c r="D1635" s="27" t="str">
        <x:v>UNLOCKS</x:v>
      </x:c>
      <x:c r="E1635" s="27" t="str">
        <x:v>S17-SCI-03:NEXT</x:v>
      </x:c>
      <x:c r="F1635" s="27" t="str">
        <x:v>Interacting Earth systems and astronomical patterns prepare dynamic-system study.</x:v>
      </x:c>
      <x:c r="G1635" s="27" t="str">
        <x:v>S17</x:v>
      </x:c>
      <x:c r="H1635" s="27" t="str">
        <x:v>Science &amp; Engineering</x:v>
      </x:c>
      <x:c r="I1635" s="27" t="str">
        <x:v>SRC11</x:v>
      </x:c>
      <x:c r="J1635" s="27" t="str">
        <x:v>Outgoing use and placement rationale.</x:v>
      </x:c>
    </x:row>
    <x:row r="1636">
      <x:c r="A1636" s="27" t="str">
        <x:v>E01632</x:v>
      </x:c>
      <x:c r="B1636" s="27" t="str">
        <x:v>S17-SCI-03</x:v>
      </x:c>
      <x:c r="C1636" s="27" t="str">
        <x:v>Earth systems and space scale</x:v>
      </x:c>
      <x:c r="D1636" s="27" t="str">
        <x:v>VERIFIED_BY</x:v>
      </x:c>
      <x:c r="E1636" s="27" t="str">
        <x:v>S17-SCI-03:EVIDENCE</x:v>
      </x:c>
      <x:c r="F1636" s="27" t="str">
        <x:v>Uses a model/data to explain one system interaction or observed space pattern.</x:v>
      </x:c>
      <x:c r="G1636" s="27" t="str">
        <x:v>S17</x:v>
      </x:c>
      <x:c r="H1636" s="27" t="str">
        <x:v>Science &amp; Engineering</x:v>
      </x:c>
      <x:c r="I1636" s="27" t="str">
        <x:v>SRC11</x:v>
      </x:c>
      <x:c r="J1636" s="27" t="str">
        <x:v>Observable evidence of usable learning.</x:v>
      </x:c>
    </x:row>
    <x:row r="1637">
      <x:c r="A1637" s="27" t="str">
        <x:v>E01633</x:v>
      </x:c>
      <x:c r="B1637" s="27" t="str">
        <x:v>S17-SCI-03</x:v>
      </x:c>
      <x:c r="C1637" s="27" t="str">
        <x:v>Previous node in domain progression</x:v>
      </x:c>
      <x:c r="D1637" s="27" t="str">
        <x:v>DOMAIN_SEQUENCE</x:v>
      </x:c>
      <x:c r="E1637" s="27" t="str">
        <x:v>S17-SCI-04</x:v>
      </x:c>
      <x:c r="F1637" s="27" t="str">
        <x:v>Criteria, constraints, prototypes, and fair tests</x:v>
      </x:c>
      <x:c r="G1637" s="27" t="str">
        <x:v>S17</x:v>
      </x:c>
      <x:c r="H1637" s="27" t="str">
        <x:v>Science &amp; Engineering</x:v>
      </x:c>
      <x:c r="I1637" s="27" t="str">
        <x:v>SRC11</x:v>
      </x:c>
      <x:c r="J1637" s="27" t="str">
        <x:v>Ordered spiral link; consult explicit prerequisites for logical dependency.</x:v>
      </x:c>
    </x:row>
    <x:row r="1638">
      <x:c r="A1638" s="27" t="str">
        <x:v>E01634</x:v>
      </x:c>
      <x:c r="B1638" s="27" t="str">
        <x:v>S17-SCI-04:PREREQ</x:v>
      </x:c>
      <x:c r="C1638" s="27" t="str">
        <x:v>Grade 3/4 investigations, consequence analysis, and project planning.</x:v>
      </x:c>
      <x:c r="D1638" s="27" t="str">
        <x:v>PREREQUISITE</x:v>
      </x:c>
      <x:c r="E1638" s="27" t="str">
        <x:v>S17-SCI-04</x:v>
      </x:c>
      <x:c r="F1638" s="27" t="str">
        <x:v>Criteria, constraints, prototypes, and fair tests</x:v>
      </x:c>
      <x:c r="G1638" s="27" t="str">
        <x:v>S17</x:v>
      </x:c>
      <x:c r="H1638" s="27" t="str">
        <x:v>Science &amp; Engineering</x:v>
      </x:c>
      <x:c r="I1638" s="27" t="str">
        <x:v>SRC11</x:v>
      </x:c>
      <x:c r="J1638" s="27" t="str">
        <x:v>Incoming prerequisite relationship.</x:v>
      </x:c>
    </x:row>
    <x:row r="1639">
      <x:c r="A1639" s="27" t="str">
        <x:v>E01635</x:v>
      </x:c>
      <x:c r="B1639" s="27" t="str">
        <x:v>S17-SCI-04:GROUND</x:v>
      </x:c>
      <x:c r="C1639" s="27" t="str">
        <x:v>G4/G5 — Concrete model linked to coordinated representations</x:v>
      </x:c>
      <x:c r="D1639" s="27" t="str">
        <x:v>GROUNDED_BY</x:v>
      </x:c>
      <x:c r="E1639" s="27" t="str">
        <x:v>S17-SCI-04</x:v>
      </x:c>
      <x:c r="F1639" s="27" t="str">
        <x:v>Criteria, constraints, prototypes, and fair tests</x:v>
      </x:c>
      <x:c r="G1639" s="27" t="str">
        <x:v>S17</x:v>
      </x:c>
      <x:c r="H1639" s="27" t="str">
        <x:v>Science &amp; Engineering</x:v>
      </x:c>
      <x:c r="I1639" s="27" t="str">
        <x:v>SRC11</x:v>
      </x:c>
      <x:c r="J1639" s="27" t="str">
        <x:v>Grounding form used to preserve meaning.</x:v>
      </x:c>
    </x:row>
    <x:row r="1640">
      <x:c r="A1640" s="27" t="str">
        <x:v>E01636</x:v>
      </x:c>
      <x:c r="B1640" s="27" t="str">
        <x:v>S17-SCI-04</x:v>
      </x:c>
      <x:c r="C1640" s="27" t="str">
        <x:v>Criteria, constraints, prototypes, and fair tests</x:v>
      </x:c>
      <x:c r="D1640" s="27" t="str">
        <x:v>CONNECTS_TO</x:v>
      </x:c>
      <x:c r="E1640" s="27" t="str">
        <x:v>S17-SCI-04:CROSS</x:v>
      </x:c>
      <x:c r="F1640" s="27" t="str">
        <x:v>Sensory observation and action; mathematics/data; reading/writing evidence; computing/models; health and environmental/civic decisions.</x:v>
      </x:c>
      <x:c r="G1640" s="27" t="str">
        <x:v>S17</x:v>
      </x:c>
      <x:c r="H1640" s="27" t="str">
        <x:v>Science &amp; Engineering</x:v>
      </x:c>
      <x:c r="I1640" s="27" t="str">
        <x:v>SRC11</x:v>
      </x:c>
      <x:c r="J1640" s="27" t="str">
        <x:v>Parallel subject and representation links.</x:v>
      </x:c>
    </x:row>
    <x:row r="1641">
      <x:c r="A1641" s="27" t="str">
        <x:v>E01637</x:v>
      </x:c>
      <x:c r="B1641" s="27" t="str">
        <x:v>S17-SCI-04</x:v>
      </x:c>
      <x:c r="C1641" s="27" t="str">
        <x:v>Criteria, constraints, prototypes, and fair tests</x:v>
      </x:c>
      <x:c r="D1641" s="27" t="str">
        <x:v>UNLOCKS</x:v>
      </x:c>
      <x:c r="E1641" s="27" t="str">
        <x:v>S17-SCI-04:NEXT</x:v>
      </x:c>
      <x:c r="F1641" s="27" t="str">
        <x:v>Explicit criteria and controlled testing make design decisions evidence-based.</x:v>
      </x:c>
      <x:c r="G1641" s="27" t="str">
        <x:v>S17</x:v>
      </x:c>
      <x:c r="H1641" s="27" t="str">
        <x:v>Science &amp; Engineering</x:v>
      </x:c>
      <x:c r="I1641" s="27" t="str">
        <x:v>SRC11</x:v>
      </x:c>
      <x:c r="J1641" s="27" t="str">
        <x:v>Outgoing use and placement rationale.</x:v>
      </x:c>
    </x:row>
    <x:row r="1642">
      <x:c r="A1642" s="27" t="str">
        <x:v>E01638</x:v>
      </x:c>
      <x:c r="B1642" s="27" t="str">
        <x:v>S17-SCI-04</x:v>
      </x:c>
      <x:c r="C1642" s="27" t="str">
        <x:v>Criteria, constraints, prototypes, and fair tests</x:v>
      </x:c>
      <x:c r="D1642" s="27" t="str">
        <x:v>VERIFIED_BY</x:v>
      </x:c>
      <x:c r="E1642" s="27" t="str">
        <x:v>S17-SCI-04:EVIDENCE</x:v>
      </x:c>
      <x:c r="F1642" s="27" t="str">
        <x:v>Documents requirements, test data, tradeoffs, and a justified revision.</x:v>
      </x:c>
      <x:c r="G1642" s="27" t="str">
        <x:v>S17</x:v>
      </x:c>
      <x:c r="H1642" s="27" t="str">
        <x:v>Science &amp; Engineering</x:v>
      </x:c>
      <x:c r="I1642" s="27" t="str">
        <x:v>SRC11</x:v>
      </x:c>
      <x:c r="J1642" s="27" t="str">
        <x:v>Observable evidence of usable learning.</x:v>
      </x:c>
    </x:row>
    <x:row r="1643">
      <x:c r="A1643" s="27" t="str">
        <x:v>E01639</x:v>
      </x:c>
      <x:c r="B1643" s="27" t="str">
        <x:v>S16-SST-01</x:v>
      </x:c>
      <x:c r="C1643" s="27" t="str">
        <x:v>Previous node in domain progression</x:v>
      </x:c>
      <x:c r="D1643" s="27" t="str">
        <x:v>DOMAIN_SEQUENCE</x:v>
      </x:c>
      <x:c r="E1643" s="27" t="str">
        <x:v>S17-SST-01</x:v>
      </x:c>
      <x:c r="F1643" s="27" t="str">
        <x:v>U.S. foundations and connected histories</x:v>
      </x:c>
      <x:c r="G1643" s="27" t="str">
        <x:v>S17</x:v>
      </x:c>
      <x:c r="H1643" s="27" t="str">
        <x:v>Social Studies</x:v>
      </x:c>
      <x:c r="I1643" s="27" t="str">
        <x:v>SRC12; SRC24</x:v>
      </x:c>
      <x:c r="J1643" s="27" t="str">
        <x:v>Ordered spiral link; consult explicit prerequisites for logical dependency.</x:v>
      </x:c>
    </x:row>
    <x:row r="1644">
      <x:c r="A1644" s="27" t="str">
        <x:v>E01640</x:v>
      </x:c>
      <x:c r="B1644" s="27" t="str">
        <x:v>S17-SST-01:PREREQ</x:v>
      </x:c>
      <x:c r="C1644" s="27" t="str">
        <x:v>Grade 4 state/region inquiry, source corroboration, and research.</x:v>
      </x:c>
      <x:c r="D1644" s="27" t="str">
        <x:v>PREREQUISITE</x:v>
      </x:c>
      <x:c r="E1644" s="27" t="str">
        <x:v>S17-SST-01</x:v>
      </x:c>
      <x:c r="F1644" s="27" t="str">
        <x:v>U.S. foundations and connected histories</x:v>
      </x:c>
      <x:c r="G1644" s="27" t="str">
        <x:v>S17</x:v>
      </x:c>
      <x:c r="H1644" s="27" t="str">
        <x:v>Social Studies</x:v>
      </x:c>
      <x:c r="I1644" s="27" t="str">
        <x:v>SRC12; SRC24</x:v>
      </x:c>
      <x:c r="J1644" s="27" t="str">
        <x:v>Incoming prerequisite relationship.</x:v>
      </x:c>
    </x:row>
    <x:row r="1645">
      <x:c r="A1645" s="27" t="str">
        <x:v>E01641</x:v>
      </x:c>
      <x:c r="B1645" s="27" t="str">
        <x:v>S17-SST-01:GROUND</x:v>
      </x:c>
      <x:c r="C1645" s="27" t="str">
        <x:v>G4/G5 — Concrete model linked to coordinated representations</x:v>
      </x:c>
      <x:c r="D1645" s="27" t="str">
        <x:v>GROUNDED_BY</x:v>
      </x:c>
      <x:c r="E1645" s="27" t="str">
        <x:v>S17-SST-01</x:v>
      </x:c>
      <x:c r="F1645" s="27" t="str">
        <x:v>U.S. foundations and connected histories</x:v>
      </x:c>
      <x:c r="G1645" s="27" t="str">
        <x:v>S17</x:v>
      </x:c>
      <x:c r="H1645" s="27" t="str">
        <x:v>Social Studies</x:v>
      </x:c>
      <x:c r="I1645" s="27" t="str">
        <x:v>SRC12; SRC24</x:v>
      </x:c>
      <x:c r="J1645" s="27" t="str">
        <x:v>Grounding form used to preserve meaning.</x:v>
      </x:c>
    </x:row>
    <x:row r="1646">
      <x:c r="A1646" s="27" t="str">
        <x:v>E01642</x:v>
      </x:c>
      <x:c r="B1646" s="27" t="str">
        <x:v>S17-SST-01</x:v>
      </x:c>
      <x:c r="C1646" s="27" t="str">
        <x:v>U.S. foundations and connected histories</x:v>
      </x:c>
      <x:c r="D1646" s="27" t="str">
        <x:v>CONNECTS_TO</x:v>
      </x:c>
      <x:c r="E1646" s="27" t="str">
        <x:v>S17-SST-01:CROSS</x:v>
      </x:c>
      <x:c r="F1646" s="27" t="str">
        <x:v>Language/literacy and source evidence; maps/data/economics; ethics/SEL; media literacy; arts/culture; civic action.</x:v>
      </x:c>
      <x:c r="G1646" s="27" t="str">
        <x:v>S17</x:v>
      </x:c>
      <x:c r="H1646" s="27" t="str">
        <x:v>Social Studies</x:v>
      </x:c>
      <x:c r="I1646" s="27" t="str">
        <x:v>SRC12; SRC24</x:v>
      </x:c>
      <x:c r="J1646" s="27" t="str">
        <x:v>Parallel subject and representation links.</x:v>
      </x:c>
    </x:row>
    <x:row r="1647">
      <x:c r="A1647" s="27" t="str">
        <x:v>E01643</x:v>
      </x:c>
      <x:c r="B1647" s="27" t="str">
        <x:v>S17-SST-01</x:v>
      </x:c>
      <x:c r="C1647" s="27" t="str">
        <x:v>U.S. foundations and connected histories</x:v>
      </x:c>
      <x:c r="D1647" s="27" t="str">
        <x:v>UNLOCKS</x:v>
      </x:c>
      <x:c r="E1647" s="27" t="str">
        <x:v>S17-SST-01:NEXT</x:v>
      </x:c>
      <x:c r="F1647" s="27" t="str">
        <x:v>National-scale study requires chronology, causation, institutions, and ethical source handling.</x:v>
      </x:c>
      <x:c r="G1647" s="27" t="str">
        <x:v>S17</x:v>
      </x:c>
      <x:c r="H1647" s="27" t="str">
        <x:v>Social Studies</x:v>
      </x:c>
      <x:c r="I1647" s="27" t="str">
        <x:v>SRC12; SRC24</x:v>
      </x:c>
      <x:c r="J1647" s="27" t="str">
        <x:v>Outgoing use and placement rationale.</x:v>
      </x:c>
    </x:row>
    <x:row r="1648">
      <x:c r="A1648" s="27" t="str">
        <x:v>E01644</x:v>
      </x:c>
      <x:c r="B1648" s="27" t="str">
        <x:v>S17-SST-01</x:v>
      </x:c>
      <x:c r="C1648" s="27" t="str">
        <x:v>U.S. foundations and connected histories</x:v>
      </x:c>
      <x:c r="D1648" s="27" t="str">
        <x:v>VERIFIED_BY</x:v>
      </x:c>
      <x:c r="E1648" s="27" t="str">
        <x:v>S17-SST-01:EVIDENCE</x:v>
      </x:c>
      <x:c r="F1648" s="27" t="str">
        <x:v>Presents a qualified historical/civic claim supported by corroborated evidence and perspective context.</x:v>
      </x:c>
      <x:c r="G1648" s="27" t="str">
        <x:v>S17</x:v>
      </x:c>
      <x:c r="H1648" s="27" t="str">
        <x:v>Social Studies</x:v>
      </x:c>
      <x:c r="I1648" s="27" t="str">
        <x:v>SRC12; SRC24</x:v>
      </x:c>
      <x:c r="J1648" s="27" t="str">
        <x:v>Observable evidence of usable learning.</x:v>
      </x:c>
    </x:row>
    <x:row r="1649">
      <x:c r="A1649" s="27" t="str">
        <x:v>E01645</x:v>
      </x:c>
      <x:c r="B1649" s="27" t="str">
        <x:v>S16-ARTS-01</x:v>
      </x:c>
      <x:c r="C1649" s="27" t="str">
        <x:v>Previous node in domain progression</x:v>
      </x:c>
      <x:c r="D1649" s="27" t="str">
        <x:v>DOMAIN_SEQUENCE</x:v>
      </x:c>
      <x:c r="E1649" s="27" t="str">
        <x:v>S17-ARTS-01</x:v>
      </x:c>
      <x:c r="F1649" s="27" t="str">
        <x:v>Harmony, notation fluency, composition, and cultural context</x:v>
      </x:c>
      <x:c r="G1649" s="27" t="str">
        <x:v>S17</x:v>
      </x:c>
      <x:c r="H1649" s="27" t="str">
        <x:v>Music &amp; Arts</x:v>
      </x:c>
      <x:c r="I1649" s="27" t="str">
        <x:v>SRC13</x:v>
      </x:c>
      <x:c r="J1649" s="27" t="str">
        <x:v>Ordered spiral link; consult explicit prerequisites for logical dependency.</x:v>
      </x:c>
    </x:row>
    <x:row r="1650">
      <x:c r="A1650" s="27" t="str">
        <x:v>E01646</x:v>
      </x:c>
      <x:c r="B1650" s="27" t="str">
        <x:v>S17-ARTS-01:PREREQ</x:v>
      </x:c>
      <x:c r="C1650" s="27" t="str">
        <x:v>Grade 4 texture/form/refinement and teamwork roles.</x:v>
      </x:c>
      <x:c r="D1650" s="27" t="str">
        <x:v>PREREQUISITE</x:v>
      </x:c>
      <x:c r="E1650" s="27" t="str">
        <x:v>S17-ARTS-01</x:v>
      </x:c>
      <x:c r="F1650" s="27" t="str">
        <x:v>Harmony, notation fluency, composition, and cultural context</x:v>
      </x:c>
      <x:c r="G1650" s="27" t="str">
        <x:v>S17</x:v>
      </x:c>
      <x:c r="H1650" s="27" t="str">
        <x:v>Music &amp; Arts</x:v>
      </x:c>
      <x:c r="I1650" s="27" t="str">
        <x:v>SRC13</x:v>
      </x:c>
      <x:c r="J1650" s="27" t="str">
        <x:v>Incoming prerequisite relationship.</x:v>
      </x:c>
    </x:row>
    <x:row r="1651">
      <x:c r="A1651" s="27" t="str">
        <x:v>E01647</x:v>
      </x:c>
      <x:c r="B1651" s="27" t="str">
        <x:v>S17-ARTS-01:GROUND</x:v>
      </x:c>
      <x:c r="C1651" s="27" t="str">
        <x:v>G4/G5 — Concrete model linked to coordinated representations</x:v>
      </x:c>
      <x:c r="D1651" s="27" t="str">
        <x:v>GROUNDED_BY</x:v>
      </x:c>
      <x:c r="E1651" s="27" t="str">
        <x:v>S17-ARTS-01</x:v>
      </x:c>
      <x:c r="F1651" s="27" t="str">
        <x:v>Harmony, notation fluency, composition, and cultural context</x:v>
      </x:c>
      <x:c r="G1651" s="27" t="str">
        <x:v>S17</x:v>
      </x:c>
      <x:c r="H1651" s="27" t="str">
        <x:v>Music &amp; Arts</x:v>
      </x:c>
      <x:c r="I1651" s="27" t="str">
        <x:v>SRC13</x:v>
      </x:c>
      <x:c r="J1651" s="27" t="str">
        <x:v>Grounding form used to preserve meaning.</x:v>
      </x:c>
    </x:row>
    <x:row r="1652">
      <x:c r="A1652" s="27" t="str">
        <x:v>E01648</x:v>
      </x:c>
      <x:c r="B1652" s="27" t="str">
        <x:v>S17-ARTS-01</x:v>
      </x:c>
      <x:c r="C1652" s="27" t="str">
        <x:v>Harmony, notation fluency, composition, and cultural context</x:v>
      </x:c>
      <x:c r="D1652" s="27" t="str">
        <x:v>CONNECTS_TO</x:v>
      </x:c>
      <x:c r="E1652" s="27" t="str">
        <x:v>S17-ARTS-01:CROSS</x:v>
      </x:c>
      <x:c r="F1652" s="27" t="str">
        <x:v>Sensory discrimination; motor timing; language/prosody; mathematics/pattern; history/culture; emotion, design, and technology.</x:v>
      </x:c>
      <x:c r="G1652" s="27" t="str">
        <x:v>S17</x:v>
      </x:c>
      <x:c r="H1652" s="27" t="str">
        <x:v>Music &amp; Arts</x:v>
      </x:c>
      <x:c r="I1652" s="27" t="str">
        <x:v>SRC13</x:v>
      </x:c>
      <x:c r="J1652" s="27" t="str">
        <x:v>Parallel subject and representation links.</x:v>
      </x:c>
    </x:row>
    <x:row r="1653">
      <x:c r="A1653" s="27" t="str">
        <x:v>E01649</x:v>
      </x:c>
      <x:c r="B1653" s="27" t="str">
        <x:v>S17-ARTS-01</x:v>
      </x:c>
      <x:c r="C1653" s="27" t="str">
        <x:v>Harmony, notation fluency, composition, and cultural context</x:v>
      </x:c>
      <x:c r="D1653" s="27" t="str">
        <x:v>UNLOCKS</x:v>
      </x:c>
      <x:c r="E1653" s="27" t="str">
        <x:v>S17-ARTS-01:NEXT</x:v>
      </x:c>
      <x:c r="F1653" s="27" t="str">
        <x:v>Harmony and context integrate technical, expressive, and social understanding.</x:v>
      </x:c>
      <x:c r="G1653" s="27" t="str">
        <x:v>S17</x:v>
      </x:c>
      <x:c r="H1653" s="27" t="str">
        <x:v>Music &amp; Arts</x:v>
      </x:c>
      <x:c r="I1653" s="27" t="str">
        <x:v>SRC13</x:v>
      </x:c>
      <x:c r="J1653" s="27" t="str">
        <x:v>Outgoing use and placement rationale.</x:v>
      </x:c>
    </x:row>
    <x:row r="1654">
      <x:c r="A1654" s="27" t="str">
        <x:v>E01650</x:v>
      </x:c>
      <x:c r="B1654" s="27" t="str">
        <x:v>S17-ARTS-01</x:v>
      </x:c>
      <x:c r="C1654" s="27" t="str">
        <x:v>Harmony, notation fluency, composition, and cultural context</x:v>
      </x:c>
      <x:c r="D1654" s="27" t="str">
        <x:v>VERIFIED_BY</x:v>
      </x:c>
      <x:c r="E1654" s="27" t="str">
        <x:v>S17-ARTS-01:EVIDENCE</x:v>
      </x:c>
      <x:c r="F1654" s="27" t="str">
        <x:v>Performs/creates a structured work and explains a harmonic, formal, or cultural choice.</x:v>
      </x:c>
      <x:c r="G1654" s="27" t="str">
        <x:v>S17</x:v>
      </x:c>
      <x:c r="H1654" s="27" t="str">
        <x:v>Music &amp; Arts</x:v>
      </x:c>
      <x:c r="I1654" s="27" t="str">
        <x:v>SRC13</x:v>
      </x:c>
      <x:c r="J1654" s="27" t="str">
        <x:v>Observable evidence of usable learning.</x:v>
      </x:c>
    </x:row>
    <x:row r="1655">
      <x:c r="A1655" s="27" t="str">
        <x:v>E01651</x:v>
      </x:c>
      <x:c r="B1655" s="27" t="str">
        <x:v>S16-HLTH-01</x:v>
      </x:c>
      <x:c r="C1655" s="27" t="str">
        <x:v>Previous node in domain progression</x:v>
      </x:c>
      <x:c r="D1655" s="27" t="str">
        <x:v>DOMAIN_SEQUENCE</x:v>
      </x:c>
      <x:c r="E1655" s="27" t="str">
        <x:v>S17-HLTH-01</x:v>
      </x:c>
      <x:c r="F1655" s="27" t="str">
        <x:v>Personal activity and health goal</x:v>
      </x:c>
      <x:c r="G1655" s="27" t="str">
        <x:v>S17</x:v>
      </x:c>
      <x:c r="H1655" s="27" t="str">
        <x:v>Physical &amp; Health</x:v>
      </x:c>
      <x:c r="I1655" s="27" t="str">
        <x:v>SRC14; SRC15</x:v>
      </x:c>
      <x:c r="J1655" s="27" t="str">
        <x:v>Ordered spiral link; consult explicit prerequisites for logical dependency.</x:v>
      </x:c>
    </x:row>
    <x:row r="1656">
      <x:c r="A1656" s="27" t="str">
        <x:v>E01652</x:v>
      </x:c>
      <x:c r="B1656" s="27" t="str">
        <x:v>S17-HLTH-01:PREREQ</x:v>
      </x:c>
      <x:c r="C1656" s="27" t="str">
        <x:v>Grade 4 fitness components, project planning, and data displays.</x:v>
      </x:c>
      <x:c r="D1656" s="27" t="str">
        <x:v>PREREQUISITE</x:v>
      </x:c>
      <x:c r="E1656" s="27" t="str">
        <x:v>S17-HLTH-01</x:v>
      </x:c>
      <x:c r="F1656" s="27" t="str">
        <x:v>Personal activity and health goal</x:v>
      </x:c>
      <x:c r="G1656" s="27" t="str">
        <x:v>S17</x:v>
      </x:c>
      <x:c r="H1656" s="27" t="str">
        <x:v>Physical &amp; Health</x:v>
      </x:c>
      <x:c r="I1656" s="27" t="str">
        <x:v>SRC14; SRC15</x:v>
      </x:c>
      <x:c r="J1656" s="27" t="str">
        <x:v>Incoming prerequisite relationship.</x:v>
      </x:c>
    </x:row>
    <x:row r="1657">
      <x:c r="A1657" s="27" t="str">
        <x:v>E01653</x:v>
      </x:c>
      <x:c r="B1657" s="27" t="str">
        <x:v>S17-HLTH-01:GROUND</x:v>
      </x:c>
      <x:c r="C1657" s="27" t="str">
        <x:v>G4/G5 — Concrete model linked to coordinated representations</x:v>
      </x:c>
      <x:c r="D1657" s="27" t="str">
        <x:v>GROUNDED_BY</x:v>
      </x:c>
      <x:c r="E1657" s="27" t="str">
        <x:v>S17-HLTH-01</x:v>
      </x:c>
      <x:c r="F1657" s="27" t="str">
        <x:v>Personal activity and health goal</x:v>
      </x:c>
      <x:c r="G1657" s="27" t="str">
        <x:v>S17</x:v>
      </x:c>
      <x:c r="H1657" s="27" t="str">
        <x:v>Physical &amp; Health</x:v>
      </x:c>
      <x:c r="I1657" s="27" t="str">
        <x:v>SRC14; SRC15</x:v>
      </x:c>
      <x:c r="J1657" s="27" t="str">
        <x:v>Grounding form used to preserve meaning.</x:v>
      </x:c>
    </x:row>
    <x:row r="1658">
      <x:c r="A1658" s="27" t="str">
        <x:v>E01654</x:v>
      </x:c>
      <x:c r="B1658" s="27" t="str">
        <x:v>S17-HLTH-01</x:v>
      </x:c>
      <x:c r="C1658" s="27" t="str">
        <x:v>Personal activity and health goal</x:v>
      </x:c>
      <x:c r="D1658" s="27" t="str">
        <x:v>CONNECTS_TO</x:v>
      </x:c>
      <x:c r="E1658" s="27" t="str">
        <x:v>S17-HLTH-01:CROSS</x:v>
      </x:c>
      <x:c r="F1658" s="27" t="str">
        <x:v>Motor/sensory development; life science; measurement/data; SEL/self-management; communication, safety, and decision-making.</x:v>
      </x:c>
      <x:c r="G1658" s="27" t="str">
        <x:v>S17</x:v>
      </x:c>
      <x:c r="H1658" s="27" t="str">
        <x:v>Physical &amp; Health</x:v>
      </x:c>
      <x:c r="I1658" s="27" t="str">
        <x:v>SRC14; SRC15</x:v>
      </x:c>
      <x:c r="J1658" s="27" t="str">
        <x:v>Parallel subject and representation links.</x:v>
      </x:c>
    </x:row>
    <x:row r="1659">
      <x:c r="A1659" s="27" t="str">
        <x:v>E01655</x:v>
      </x:c>
      <x:c r="B1659" s="27" t="str">
        <x:v>S17-HLTH-01</x:v>
      </x:c>
      <x:c r="C1659" s="27" t="str">
        <x:v>Personal activity and health goal</x:v>
      </x:c>
      <x:c r="D1659" s="27" t="str">
        <x:v>UNLOCKS</x:v>
      </x:c>
      <x:c r="E1659" s="27" t="str">
        <x:v>S17-HLTH-01:NEXT</x:v>
      </x:c>
      <x:c r="F1659" s="27" t="str">
        <x:v>A monitored goal cycle prepares adolescent self-management and lifelong wellness.</x:v>
      </x:c>
      <x:c r="G1659" s="27" t="str">
        <x:v>S17</x:v>
      </x:c>
      <x:c r="H1659" s="27" t="str">
        <x:v>Physical &amp; Health</x:v>
      </x:c>
      <x:c r="I1659" s="27" t="str">
        <x:v>SRC14; SRC15</x:v>
      </x:c>
      <x:c r="J1659" s="27" t="str">
        <x:v>Outgoing use and placement rationale.</x:v>
      </x:c>
    </x:row>
    <x:row r="1660">
      <x:c r="A1660" s="27" t="str">
        <x:v>E01656</x:v>
      </x:c>
      <x:c r="B1660" s="27" t="str">
        <x:v>S17-HLTH-01</x:v>
      </x:c>
      <x:c r="C1660" s="27" t="str">
        <x:v>Personal activity and health goal</x:v>
      </x:c>
      <x:c r="D1660" s="27" t="str">
        <x:v>VERIFIED_BY</x:v>
      </x:c>
      <x:c r="E1660" s="27" t="str">
        <x:v>S17-HLTH-01:EVIDENCE</x:v>
      </x:c>
      <x:c r="F1660" s="27" t="str">
        <x:v>Submits baseline, goal, plan, progress evidence, reflection, and a justified adjustment.</x:v>
      </x:c>
      <x:c r="G1660" s="27" t="str">
        <x:v>S17</x:v>
      </x:c>
      <x:c r="H1660" s="27" t="str">
        <x:v>Physical &amp; Health</x:v>
      </x:c>
      <x:c r="I1660" s="27" t="str">
        <x:v>SRC14; SRC15</x:v>
      </x:c>
      <x:c r="J1660" s="27" t="str">
        <x:v>Observable evidence of usable learning.</x:v>
      </x:c>
    </x:row>
    <x:row r="1661">
      <x:c r="A1661" s="27" t="str">
        <x:v>E01657</x:v>
      </x:c>
      <x:c r="B1661" s="27" t="str">
        <x:v>S16-COMP-02</x:v>
      </x:c>
      <x:c r="C1661" s="27" t="str">
        <x:v>Previous node in domain progression</x:v>
      </x:c>
      <x:c r="D1661" s="27" t="str">
        <x:v>DOMAIN_SEQUENCE</x:v>
      </x:c>
      <x:c r="E1661" s="27" t="str">
        <x:v>S17-COMP-01</x:v>
      </x:c>
      <x:c r="F1661" s="27" t="str">
        <x:v>Abstraction, functions, data patterns, and privacy</x:v>
      </x:c>
      <x:c r="G1661" s="27" t="str">
        <x:v>S17</x:v>
      </x:c>
      <x:c r="H1661" s="27" t="str">
        <x:v>Computing &amp; Media</x:v>
      </x:c>
      <x:c r="I1661" s="27" t="str">
        <x:v>SRC16</x:v>
      </x:c>
      <x:c r="J1661" s="27" t="str">
        <x:v>Ordered spiral link; consult explicit prerequisites for logical dependency.</x:v>
      </x:c>
    </x:row>
    <x:row r="1662">
      <x:c r="A1662" s="27" t="str">
        <x:v>E01658</x:v>
      </x:c>
      <x:c r="B1662" s="27" t="str">
        <x:v>S17-COMP-01:PREREQ</x:v>
      </x:c>
      <x:c r="C1662" s="27" t="str">
        <x:v>Grade 4 systems/data, Grade 3 variables/modules, and fraction/coordinate patterns.</x:v>
      </x:c>
      <x:c r="D1662" s="27" t="str">
        <x:v>PREREQUISITE</x:v>
      </x:c>
      <x:c r="E1662" s="27" t="str">
        <x:v>S17-COMP-01</x:v>
      </x:c>
      <x:c r="F1662" s="27" t="str">
        <x:v>Abstraction, functions, data patterns, and privacy</x:v>
      </x:c>
      <x:c r="G1662" s="27" t="str">
        <x:v>S17</x:v>
      </x:c>
      <x:c r="H1662" s="27" t="str">
        <x:v>Computing &amp; Media</x:v>
      </x:c>
      <x:c r="I1662" s="27" t="str">
        <x:v>SRC16</x:v>
      </x:c>
      <x:c r="J1662" s="27" t="str">
        <x:v>Incoming prerequisite relationship.</x:v>
      </x:c>
    </x:row>
    <x:row r="1663">
      <x:c r="A1663" s="27" t="str">
        <x:v>E01659</x:v>
      </x:c>
      <x:c r="B1663" s="27" t="str">
        <x:v>S17-COMP-01:GROUND</x:v>
      </x:c>
      <x:c r="C1663" s="27" t="str">
        <x:v>G4/G5 — Concrete model linked to coordinated representations</x:v>
      </x:c>
      <x:c r="D1663" s="27" t="str">
        <x:v>GROUNDED_BY</x:v>
      </x:c>
      <x:c r="E1663" s="27" t="str">
        <x:v>S17-COMP-01</x:v>
      </x:c>
      <x:c r="F1663" s="27" t="str">
        <x:v>Abstraction, functions, data patterns, and privacy</x:v>
      </x:c>
      <x:c r="G1663" s="27" t="str">
        <x:v>S17</x:v>
      </x:c>
      <x:c r="H1663" s="27" t="str">
        <x:v>Computing &amp; Media</x:v>
      </x:c>
      <x:c r="I1663" s="27" t="str">
        <x:v>SRC16</x:v>
      </x:c>
      <x:c r="J1663" s="27" t="str">
        <x:v>Grounding form used to preserve meaning.</x:v>
      </x:c>
    </x:row>
    <x:row r="1664">
      <x:c r="A1664" s="27" t="str">
        <x:v>E01660</x:v>
      </x:c>
      <x:c r="B1664" s="27" t="str">
        <x:v>S17-COMP-01</x:v>
      </x:c>
      <x:c r="C1664" s="27" t="str">
        <x:v>Abstraction, functions, data patterns, and privacy</x:v>
      </x:c>
      <x:c r="D1664" s="27" t="str">
        <x:v>CONNECTS_TO</x:v>
      </x:c>
      <x:c r="E1664" s="27" t="str">
        <x:v>S17-COMP-01:CROSS</x:v>
      </x:c>
      <x:c r="F1664" s="27" t="str">
        <x:v>Mathematics/logic/data; language and media evidence; science/engineering models; art/design; civics, privacy, finance, and ethics.</x:v>
      </x:c>
      <x:c r="G1664" s="27" t="str">
        <x:v>S17</x:v>
      </x:c>
      <x:c r="H1664" s="27" t="str">
        <x:v>Computing &amp; Media</x:v>
      </x:c>
      <x:c r="I1664" s="27" t="str">
        <x:v>SRC16</x:v>
      </x:c>
      <x:c r="J1664" s="27" t="str">
        <x:v>Parallel subject and representation links.</x:v>
      </x:c>
    </x:row>
    <x:row r="1665">
      <x:c r="A1665" s="27" t="str">
        <x:v>E01661</x:v>
      </x:c>
      <x:c r="B1665" s="27" t="str">
        <x:v>S17-COMP-01</x:v>
      </x:c>
      <x:c r="C1665" s="27" t="str">
        <x:v>Abstraction, functions, data patterns, and privacy</x:v>
      </x:c>
      <x:c r="D1665" s="27" t="str">
        <x:v>UNLOCKS</x:v>
      </x:c>
      <x:c r="E1665" s="27" t="str">
        <x:v>S17-COMP-01:NEXT</x:v>
      </x:c>
      <x:c r="F1665" s="27" t="str">
        <x:v>Abstraction manages complexity; data-pattern and privacy reasoning prepare secondary computing.</x:v>
      </x:c>
      <x:c r="G1665" s="27" t="str">
        <x:v>S17</x:v>
      </x:c>
      <x:c r="H1665" s="27" t="str">
        <x:v>Computing &amp; Media</x:v>
      </x:c>
      <x:c r="I1665" s="27" t="str">
        <x:v>SRC16</x:v>
      </x:c>
      <x:c r="J1665" s="27" t="str">
        <x:v>Outgoing use and placement rationale.</x:v>
      </x:c>
    </x:row>
    <x:row r="1666">
      <x:c r="A1666" s="27" t="str">
        <x:v>E01662</x:v>
      </x:c>
      <x:c r="B1666" s="27" t="str">
        <x:v>S17-COMP-01</x:v>
      </x:c>
      <x:c r="C1666" s="27" t="str">
        <x:v>Abstraction, functions, data patterns, and privacy</x:v>
      </x:c>
      <x:c r="D1666" s="27" t="str">
        <x:v>VERIFIED_BY</x:v>
      </x:c>
      <x:c r="E1666" s="27" t="str">
        <x:v>S17-COMP-01:EVIDENCE</x:v>
      </x:c>
      <x:c r="F1666" s="27" t="str">
        <x:v>Builds a reusable procedure, identifies a data pattern, and states a specific privacy control.</x:v>
      </x:c>
      <x:c r="G1666" s="27" t="str">
        <x:v>S17</x:v>
      </x:c>
      <x:c r="H1666" s="27" t="str">
        <x:v>Computing &amp; Media</x:v>
      </x:c>
      <x:c r="I1666" s="27" t="str">
        <x:v>SRC16</x:v>
      </x:c>
      <x:c r="J1666" s="27" t="str">
        <x:v>Observable evidence of usable learning.</x:v>
      </x:c>
    </x:row>
    <x:row r="1667">
      <x:c r="A1667" s="27" t="str">
        <x:v>E01663</x:v>
      </x:c>
      <x:c r="B1667" s="27" t="str">
        <x:v>S17-WLANG-01:PREREQ</x:v>
      </x:c>
      <x:c r="C1667" s="27" t="str">
        <x:v>Strong first-language oral/literacy foundations and willingness to communicate.</x:v>
      </x:c>
      <x:c r="D1667" s="27" t="str">
        <x:v>PREREQUISITE</x:v>
      </x:c>
      <x:c r="E1667" s="27" t="str">
        <x:v>S17-WLANG-01</x:v>
      </x:c>
      <x:c r="F1667" s="27" t="str">
        <x:v>Novice interpersonal/interpretive/presentational cycle</x:v>
      </x:c>
      <x:c r="G1667" s="27" t="str">
        <x:v>S17</x:v>
      </x:c>
      <x:c r="H1667" s="27" t="str">
        <x:v>World Languages</x:v>
      </x:c>
      <x:c r="I1667" s="27" t="str">
        <x:v>SRC17</x:v>
      </x:c>
      <x:c r="J1667" s="27" t="str">
        <x:v>Incoming prerequisite relationship.</x:v>
      </x:c>
    </x:row>
    <x:row r="1668">
      <x:c r="A1668" s="27" t="str">
        <x:v>E01664</x:v>
      </x:c>
      <x:c r="B1668" s="27" t="str">
        <x:v>S17-WLANG-01:GROUND</x:v>
      </x:c>
      <x:c r="C1668" s="27" t="str">
        <x:v>G4/G5 — Concrete model linked to coordinated representations</x:v>
      </x:c>
      <x:c r="D1668" s="27" t="str">
        <x:v>GROUNDED_BY</x:v>
      </x:c>
      <x:c r="E1668" s="27" t="str">
        <x:v>S17-WLANG-01</x:v>
      </x:c>
      <x:c r="F1668" s="27" t="str">
        <x:v>Novice interpersonal/interpretive/presentational cycle</x:v>
      </x:c>
      <x:c r="G1668" s="27" t="str">
        <x:v>S17</x:v>
      </x:c>
      <x:c r="H1668" s="27" t="str">
        <x:v>World Languages</x:v>
      </x:c>
      <x:c r="I1668" s="27" t="str">
        <x:v>SRC17</x:v>
      </x:c>
      <x:c r="J1668" s="27" t="str">
        <x:v>Grounding form used to preserve meaning.</x:v>
      </x:c>
    </x:row>
    <x:row r="1669">
      <x:c r="A1669" s="27" t="str">
        <x:v>E01665</x:v>
      </x:c>
      <x:c r="B1669" s="27" t="str">
        <x:v>S17-WLANG-01</x:v>
      </x:c>
      <x:c r="C1669" s="27" t="str">
        <x:v>Novice interpersonal/interpretive/presentational cycle</x:v>
      </x:c>
      <x:c r="D1669" s="27" t="str">
        <x:v>CONNECTS_TO</x:v>
      </x:c>
      <x:c r="E1669" s="27" t="str">
        <x:v>S17-WLANG-01:CROSS</x:v>
      </x:c>
      <x:c r="F1669" s="27" t="str">
        <x:v>Oral language, reading, and writing; memory/retrieval; social interaction; history/geography/arts; intercultural perspective.</x:v>
      </x:c>
      <x:c r="G1669" s="27" t="str">
        <x:v>S17</x:v>
      </x:c>
      <x:c r="H1669" s="27" t="str">
        <x:v>World Languages</x:v>
      </x:c>
      <x:c r="I1669" s="27" t="str">
        <x:v>SRC17</x:v>
      </x:c>
      <x:c r="J1669" s="27" t="str">
        <x:v>Parallel subject and representation links.</x:v>
      </x:c>
    </x:row>
    <x:row r="1670">
      <x:c r="A1670" s="27" t="str">
        <x:v>E01666</x:v>
      </x:c>
      <x:c r="B1670" s="27" t="str">
        <x:v>S17-WLANG-01</x:v>
      </x:c>
      <x:c r="C1670" s="27" t="str">
        <x:v>Novice interpersonal/interpretive/presentational cycle</x:v>
      </x:c>
      <x:c r="D1670" s="27" t="str">
        <x:v>UNLOCKS</x:v>
      </x:c>
      <x:c r="E1670" s="27" t="str">
        <x:v>S17-WLANG-01:NEXT</x:v>
      </x:c>
      <x:c r="F1670" s="27" t="str">
        <x:v>The three communication modes and cultural reflection establish a proficiency-based pathway.</x:v>
      </x:c>
      <x:c r="G1670" s="27" t="str">
        <x:v>S17</x:v>
      </x:c>
      <x:c r="H1670" s="27" t="str">
        <x:v>World Languages</x:v>
      </x:c>
      <x:c r="I1670" s="27" t="str">
        <x:v>SRC17</x:v>
      </x:c>
      <x:c r="J1670" s="27" t="str">
        <x:v>Outgoing use and placement rationale.</x:v>
      </x:c>
    </x:row>
    <x:row r="1671">
      <x:c r="A1671" s="27" t="str">
        <x:v>E01667</x:v>
      </x:c>
      <x:c r="B1671" s="27" t="str">
        <x:v>S17-WLANG-01</x:v>
      </x:c>
      <x:c r="C1671" s="27" t="str">
        <x:v>Novice interpersonal/interpretive/presentational cycle</x:v>
      </x:c>
      <x:c r="D1671" s="27" t="str">
        <x:v>VERIFIED_BY</x:v>
      </x:c>
      <x:c r="E1671" s="27" t="str">
        <x:v>S17-WLANG-01:EVIDENCE</x:v>
      </x:c>
      <x:c r="F1671" s="27" t="str">
        <x:v>Completes a short exchange, identifies key meaning in a source, and gives a brief comprehensible presentation.</x:v>
      </x:c>
      <x:c r="G1671" s="27" t="str">
        <x:v>S17</x:v>
      </x:c>
      <x:c r="H1671" s="27" t="str">
        <x:v>World Languages</x:v>
      </x:c>
      <x:c r="I1671" s="27" t="str">
        <x:v>SRC17</x:v>
      </x:c>
      <x:c r="J1671" s="27" t="str">
        <x:v>Observable evidence of usable learning.</x:v>
      </x:c>
    </x:row>
    <x:row r="1672">
      <x:c r="A1672" s="27" t="str">
        <x:v>E01668</x:v>
      </x:c>
      <x:c r="B1672" s="27" t="str">
        <x:v>S16-LIFE-01</x:v>
      </x:c>
      <x:c r="C1672" s="27" t="str">
        <x:v>Previous node in domain progression</x:v>
      </x:c>
      <x:c r="D1672" s="27" t="str">
        <x:v>DOMAIN_SEQUENCE</x:v>
      </x:c>
      <x:c r="E1672" s="27" t="str">
        <x:v>S17-LIFE-01</x:v>
      </x:c>
      <x:c r="F1672" s="27" t="str">
        <x:v>Interest, risk, and long-term choice introduction</x:v>
      </x:c>
      <x:c r="G1672" s="27" t="str">
        <x:v>S17</x:v>
      </x:c>
      <x:c r="H1672" s="27" t="str">
        <x:v>Life, Finance &amp; Career</x:v>
      </x:c>
      <x:c r="I1672" s="27" t="str">
        <x:v>SRC19</x:v>
      </x:c>
      <x:c r="J1672" s="27" t="str">
        <x:v>Ordered spiral link; consult explicit prerequisites for logical dependency.</x:v>
      </x:c>
    </x:row>
    <x:row r="1673">
      <x:c r="A1673" s="27" t="str">
        <x:v>E01669</x:v>
      </x:c>
      <x:c r="B1673" s="27" t="str">
        <x:v>S17-LIFE-01:PREREQ</x:v>
      </x:c>
      <x:c r="C1673" s="27" t="str">
        <x:v>Grade 4 institutions/opportunity cost, decimals, and fractions.</x:v>
      </x:c>
      <x:c r="D1673" s="27" t="str">
        <x:v>PREREQUISITE</x:v>
      </x:c>
      <x:c r="E1673" s="27" t="str">
        <x:v>S17-LIFE-01</x:v>
      </x:c>
      <x:c r="F1673" s="27" t="str">
        <x:v>Interest, risk, and long-term choice introduction</x:v>
      </x:c>
      <x:c r="G1673" s="27" t="str">
        <x:v>S17</x:v>
      </x:c>
      <x:c r="H1673" s="27" t="str">
        <x:v>Life, Finance &amp; Career</x:v>
      </x:c>
      <x:c r="I1673" s="27" t="str">
        <x:v>SRC19</x:v>
      </x:c>
      <x:c r="J1673" s="27" t="str">
        <x:v>Incoming prerequisite relationship.</x:v>
      </x:c>
    </x:row>
    <x:row r="1674">
      <x:c r="A1674" s="27" t="str">
        <x:v>E01670</x:v>
      </x:c>
      <x:c r="B1674" s="27" t="str">
        <x:v>S17-LIFE-01:GROUND</x:v>
      </x:c>
      <x:c r="C1674" s="27" t="str">
        <x:v>G4/G5 — Concrete model linked to coordinated representations</x:v>
      </x:c>
      <x:c r="D1674" s="27" t="str">
        <x:v>GROUNDED_BY</x:v>
      </x:c>
      <x:c r="E1674" s="27" t="str">
        <x:v>S17-LIFE-01</x:v>
      </x:c>
      <x:c r="F1674" s="27" t="str">
        <x:v>Interest, risk, and long-term choice introduction</x:v>
      </x:c>
      <x:c r="G1674" s="27" t="str">
        <x:v>S17</x:v>
      </x:c>
      <x:c r="H1674" s="27" t="str">
        <x:v>Life, Finance &amp; Career</x:v>
      </x:c>
      <x:c r="I1674" s="27" t="str">
        <x:v>SRC19</x:v>
      </x:c>
      <x:c r="J1674" s="27" t="str">
        <x:v>Grounding form used to preserve meaning.</x:v>
      </x:c>
    </x:row>
    <x:row r="1675">
      <x:c r="A1675" s="27" t="str">
        <x:v>E01671</x:v>
      </x:c>
      <x:c r="B1675" s="27" t="str">
        <x:v>S17-LIFE-01</x:v>
      </x:c>
      <x:c r="C1675" s="27" t="str">
        <x:v>Interest, risk, and long-term choice introduction</x:v>
      </x:c>
      <x:c r="D1675" s="27" t="str">
        <x:v>CONNECTS_TO</x:v>
      </x:c>
      <x:c r="E1675" s="27" t="str">
        <x:v>S17-LIFE-01:CROSS</x:v>
      </x:c>
      <x:c r="F1675" s="27" t="str">
        <x:v>Mathematics/percent/growth; economics/civics; reading contracts/sources; computing/privacy; SEL, planning, and risk decisions.</x:v>
      </x:c>
      <x:c r="G1675" s="27" t="str">
        <x:v>S17</x:v>
      </x:c>
      <x:c r="H1675" s="27" t="str">
        <x:v>Life, Finance &amp; Career</x:v>
      </x:c>
      <x:c r="I1675" s="27" t="str">
        <x:v>SRC19</x:v>
      </x:c>
      <x:c r="J1675" s="27" t="str">
        <x:v>Parallel subject and representation links.</x:v>
      </x:c>
    </x:row>
    <x:row r="1676">
      <x:c r="A1676" s="27" t="str">
        <x:v>E01672</x:v>
      </x:c>
      <x:c r="B1676" s="27" t="str">
        <x:v>S17-LIFE-01</x:v>
      </x:c>
      <x:c r="C1676" s="27" t="str">
        <x:v>Interest, risk, and long-term choice introduction</x:v>
      </x:c>
      <x:c r="D1676" s="27" t="str">
        <x:v>UNLOCKS</x:v>
      </x:c>
      <x:c r="E1676" s="27" t="str">
        <x:v>S17-LIFE-01:NEXT</x:v>
      </x:c>
      <x:c r="F1676" s="27" t="str">
        <x:v>These relationships prepare compound growth, credit comparison, and risk management.</x:v>
      </x:c>
      <x:c r="G1676" s="27" t="str">
        <x:v>S17</x:v>
      </x:c>
      <x:c r="H1676" s="27" t="str">
        <x:v>Life, Finance &amp; Career</x:v>
      </x:c>
      <x:c r="I1676" s="27" t="str">
        <x:v>SRC19</x:v>
      </x:c>
      <x:c r="J1676" s="27" t="str">
        <x:v>Outgoing use and placement rationale.</x:v>
      </x:c>
    </x:row>
    <x:row r="1677">
      <x:c r="A1677" s="27" t="str">
        <x:v>E01673</x:v>
      </x:c>
      <x:c r="B1677" s="27" t="str">
        <x:v>S17-LIFE-01</x:v>
      </x:c>
      <x:c r="C1677" s="27" t="str">
        <x:v>Interest, risk, and long-term choice introduction</x:v>
      </x:c>
      <x:c r="D1677" s="27" t="str">
        <x:v>VERIFIED_BY</x:v>
      </x:c>
      <x:c r="E1677" s="27" t="str">
        <x:v>S17-LIFE-01:EVIDENCE</x:v>
      </x:c>
      <x:c r="F1677" s="27" t="str">
        <x:v>Compares two simple financial options using cost, time, risk, and goal fit.</x:v>
      </x:c>
      <x:c r="G1677" s="27" t="str">
        <x:v>S17</x:v>
      </x:c>
      <x:c r="H1677" s="27" t="str">
        <x:v>Life, Finance &amp; Career</x:v>
      </x:c>
      <x:c r="I1677" s="27" t="str">
        <x:v>SRC19</x:v>
      </x:c>
      <x:c r="J1677" s="27" t="str">
        <x:v>Observable evidence of usable learning.</x:v>
      </x:c>
    </x:row>
    <x:row r="1678">
      <x:c r="A1678" s="27" t="str">
        <x:v>E01674</x:v>
      </x:c>
      <x:c r="B1678" s="27" t="str">
        <x:v>S17-LEARN-01</x:v>
      </x:c>
      <x:c r="C1678" s="27" t="str">
        <x:v>Previous node in domain progression</x:v>
      </x:c>
      <x:c r="D1678" s="27" t="str">
        <x:v>DOMAIN_SEQUENCE</x:v>
      </x:c>
      <x:c r="E1678" s="27" t="str">
        <x:v>S18-LEARN-01</x:v>
      </x:c>
      <x:c r="F1678" s="27" t="str">
        <x:v>Retrieval–feedback–spacing cycle</x:v>
      </x:c>
      <x:c r="G1678" s="27" t="str">
        <x:v>S18</x:v>
      </x:c>
      <x:c r="H1678" s="27" t="str">
        <x:v>Learning Foundations</x:v>
      </x:c>
      <x:c r="I1678" s="27" t="str">
        <x:v>SRC23; SRC29; SRC30; SRC31; SRC34</x:v>
      </x:c>
      <x:c r="J1678" s="27" t="str">
        <x:v>Ordered spiral link; consult explicit prerequisites for logical dependency.</x:v>
      </x:c>
    </x:row>
    <x:row r="1679">
      <x:c r="A1679" s="27" t="str">
        <x:v>E01675</x:v>
      </x:c>
      <x:c r="B1679" s="27" t="str">
        <x:v>S18-LEARN-01:PREREQ</x:v>
      </x:c>
      <x:c r="C1679" s="27" t="str">
        <x:v>Grade 5 project scheduling, error classification, and confidence monitoring.</x:v>
      </x:c>
      <x:c r="D1679" s="27" t="str">
        <x:v>PREREQUISITE</x:v>
      </x:c>
      <x:c r="E1679" s="27" t="str">
        <x:v>S18-LEARN-01</x:v>
      </x:c>
      <x:c r="F1679" s="27" t="str">
        <x:v>Retrieval–feedback–spacing cycle</x:v>
      </x:c>
      <x:c r="G1679" s="27" t="str">
        <x:v>S18</x:v>
      </x:c>
      <x:c r="H1679" s="27" t="str">
        <x:v>Learning Foundations</x:v>
      </x:c>
      <x:c r="I1679" s="27" t="str">
        <x:v>SRC23; SRC29; SRC30; SRC31; SRC34</x:v>
      </x:c>
      <x:c r="J1679" s="27" t="str">
        <x:v>Incoming prerequisite relationship.</x:v>
      </x:c>
    </x:row>
    <x:row r="1680">
      <x:c r="A1680" s="27" t="str">
        <x:v>E01676</x:v>
      </x:c>
      <x:c r="B1680" s="27" t="str">
        <x:v>S18-LEARN-01:GROUND</x:v>
      </x:c>
      <x:c r="C1680" s="27" t="str">
        <x:v>G5/G6 — Coordinated representations within an evidence-based formal system</x:v>
      </x:c>
      <x:c r="D1680" s="27" t="str">
        <x:v>GROUNDED_BY</x:v>
      </x:c>
      <x:c r="E1680" s="27" t="str">
        <x:v>S18-LEARN-01</x:v>
      </x:c>
      <x:c r="F1680" s="27" t="str">
        <x:v>Retrieval–feedback–spacing cycle</x:v>
      </x:c>
      <x:c r="G1680" s="27" t="str">
        <x:v>S18</x:v>
      </x:c>
      <x:c r="H1680" s="27" t="str">
        <x:v>Learning Foundations</x:v>
      </x:c>
      <x:c r="I1680" s="27" t="str">
        <x:v>SRC23; SRC29; SRC30; SRC31; SRC34</x:v>
      </x:c>
      <x:c r="J1680" s="27" t="str">
        <x:v>Grounding form used to preserve meaning.</x:v>
      </x:c>
    </x:row>
    <x:row r="1681">
      <x:c r="A1681" s="27" t="str">
        <x:v>E01677</x:v>
      </x:c>
      <x:c r="B1681" s="27" t="str">
        <x:v>S18-LEARN-01</x:v>
      </x:c>
      <x:c r="C1681" s="27" t="str">
        <x:v>Retrieval–feedback–spacing cycle</x:v>
      </x:c>
      <x:c r="D1681" s="27" t="str">
        <x:v>CONNECTS_TO</x:v>
      </x:c>
      <x:c r="E1681" s="27" t="str">
        <x:v>S18-LEARN-01:CROSS</x:v>
      </x:c>
      <x:c r="F1681" s="27" t="str">
        <x:v>All domains: attention, memory, strategy choice, monitoring, retrieval, and transfer.</x:v>
      </x:c>
      <x:c r="G1681" s="27" t="str">
        <x:v>S18</x:v>
      </x:c>
      <x:c r="H1681" s="27" t="str">
        <x:v>Learning Foundations</x:v>
      </x:c>
      <x:c r="I1681" s="27" t="str">
        <x:v>SRC23; SRC29; SRC30; SRC31; SRC34</x:v>
      </x:c>
      <x:c r="J1681" s="27" t="str">
        <x:v>Parallel subject and representation links.</x:v>
      </x:c>
    </x:row>
    <x:row r="1682">
      <x:c r="A1682" s="27" t="str">
        <x:v>E01678</x:v>
      </x:c>
      <x:c r="B1682" s="27" t="str">
        <x:v>S18-LEARN-01</x:v>
      </x:c>
      <x:c r="C1682" s="27" t="str">
        <x:v>Retrieval–feedback–spacing cycle</x:v>
      </x:c>
      <x:c r="D1682" s="27" t="str">
        <x:v>UNLOCKS</x:v>
      </x:c>
      <x:c r="E1682" s="27" t="str">
        <x:v>S18-LEARN-01:NEXT</x:v>
      </x:c>
      <x:c r="F1682" s="27" t="str">
        <x:v>The cycle converts study from repeated exposure into measured strengthening of usable access.</x:v>
      </x:c>
      <x:c r="G1682" s="27" t="str">
        <x:v>S18</x:v>
      </x:c>
      <x:c r="H1682" s="27" t="str">
        <x:v>Learning Foundations</x:v>
      </x:c>
      <x:c r="I1682" s="27" t="str">
        <x:v>SRC23; SRC29; SRC30; SRC31; SRC34</x:v>
      </x:c>
      <x:c r="J1682" s="27" t="str">
        <x:v>Outgoing use and placement rationale.</x:v>
      </x:c>
    </x:row>
    <x:row r="1683">
      <x:c r="A1683" s="27" t="str">
        <x:v>E01679</x:v>
      </x:c>
      <x:c r="B1683" s="27" t="str">
        <x:v>S18-LEARN-01</x:v>
      </x:c>
      <x:c r="C1683" s="27" t="str">
        <x:v>Retrieval–feedback–spacing cycle</x:v>
      </x:c>
      <x:c r="D1683" s="27" t="str">
        <x:v>VERIFIED_BY</x:v>
      </x:c>
      <x:c r="E1683" s="27" t="str">
        <x:v>S18-LEARN-01:EVIDENCE</x:v>
      </x:c>
      <x:c r="F1683" s="27" t="str">
        <x:v>Completes delayed retrieval, corrects specific gaps, and records the next review interval.</x:v>
      </x:c>
      <x:c r="G1683" s="27" t="str">
        <x:v>S18</x:v>
      </x:c>
      <x:c r="H1683" s="27" t="str">
        <x:v>Learning Foundations</x:v>
      </x:c>
      <x:c r="I1683" s="27" t="str">
        <x:v>SRC23; SRC29; SRC30; SRC31; SRC34</x:v>
      </x:c>
      <x:c r="J1683" s="27" t="str">
        <x:v>Observable evidence of usable learning.</x:v>
      </x:c>
    </x:row>
    <x:row r="1684">
      <x:c r="A1684" s="27" t="str">
        <x:v>E01680</x:v>
      </x:c>
      <x:c r="B1684" s="27" t="str">
        <x:v>S18-LEARN-01</x:v>
      </x:c>
      <x:c r="C1684" s="27" t="str">
        <x:v>Previous node in domain progression</x:v>
      </x:c>
      <x:c r="D1684" s="27" t="str">
        <x:v>DOMAIN_SEQUENCE</x:v>
      </x:c>
      <x:c r="E1684" s="27" t="str">
        <x:v>S18-LEARN-02</x:v>
      </x:c>
      <x:c r="F1684" s="27" t="str">
        <x:v>Representation mapping</x:v>
      </x:c>
      <x:c r="G1684" s="27" t="str">
        <x:v>S18</x:v>
      </x:c>
      <x:c r="H1684" s="27" t="str">
        <x:v>Learning Foundations</x:v>
      </x:c>
      <x:c r="I1684" s="27" t="str">
        <x:v>SRC29; SRC32</x:v>
      </x:c>
      <x:c r="J1684" s="27" t="str">
        <x:v>Ordered spiral link; consult explicit prerequisites for logical dependency.</x:v>
      </x:c>
    </x:row>
    <x:row r="1685">
      <x:c r="A1685" s="27" t="str">
        <x:v>E01681</x:v>
      </x:c>
      <x:c r="B1685" s="27" t="str">
        <x:v>S18-LEARN-02:PREREQ</x:v>
      </x:c>
      <x:c r="C1685" s="27" t="str">
        <x:v>Symbolic representation, model interpretation, and explanation.</x:v>
      </x:c>
      <x:c r="D1685" s="27" t="str">
        <x:v>PREREQUISITE</x:v>
      </x:c>
      <x:c r="E1685" s="27" t="str">
        <x:v>S18-LEARN-02</x:v>
      </x:c>
      <x:c r="F1685" s="27" t="str">
        <x:v>Representation mapping</x:v>
      </x:c>
      <x:c r="G1685" s="27" t="str">
        <x:v>S18</x:v>
      </x:c>
      <x:c r="H1685" s="27" t="str">
        <x:v>Learning Foundations</x:v>
      </x:c>
      <x:c r="I1685" s="27" t="str">
        <x:v>SRC29; SRC32</x:v>
      </x:c>
      <x:c r="J1685" s="27" t="str">
        <x:v>Incoming prerequisite relationship.</x:v>
      </x:c>
    </x:row>
    <x:row r="1686">
      <x:c r="A1686" s="27" t="str">
        <x:v>E01682</x:v>
      </x:c>
      <x:c r="B1686" s="27" t="str">
        <x:v>S18-LEARN-02:GROUND</x:v>
      </x:c>
      <x:c r="C1686" s="27" t="str">
        <x:v>G5/G6 — Coordinated representations within an evidence-based formal system</x:v>
      </x:c>
      <x:c r="D1686" s="27" t="str">
        <x:v>GROUNDED_BY</x:v>
      </x:c>
      <x:c r="E1686" s="27" t="str">
        <x:v>S18-LEARN-02</x:v>
      </x:c>
      <x:c r="F1686" s="27" t="str">
        <x:v>Representation mapping</x:v>
      </x:c>
      <x:c r="G1686" s="27" t="str">
        <x:v>S18</x:v>
      </x:c>
      <x:c r="H1686" s="27" t="str">
        <x:v>Learning Foundations</x:v>
      </x:c>
      <x:c r="I1686" s="27" t="str">
        <x:v>SRC29; SRC32</x:v>
      </x:c>
      <x:c r="J1686" s="27" t="str">
        <x:v>Grounding form used to preserve meaning.</x:v>
      </x:c>
    </x:row>
    <x:row r="1687">
      <x:c r="A1687" s="27" t="str">
        <x:v>E01683</x:v>
      </x:c>
      <x:c r="B1687" s="27" t="str">
        <x:v>S18-LEARN-02</x:v>
      </x:c>
      <x:c r="C1687" s="27" t="str">
        <x:v>Representation mapping</x:v>
      </x:c>
      <x:c r="D1687" s="27" t="str">
        <x:v>CONNECTS_TO</x:v>
      </x:c>
      <x:c r="E1687" s="27" t="str">
        <x:v>S18-LEARN-02:CROSS</x:v>
      </x:c>
      <x:c r="F1687" s="27" t="str">
        <x:v>All domains: attention, memory, strategy choice, monitoring, retrieval, and transfer.</x:v>
      </x:c>
      <x:c r="G1687" s="27" t="str">
        <x:v>S18</x:v>
      </x:c>
      <x:c r="H1687" s="27" t="str">
        <x:v>Learning Foundations</x:v>
      </x:c>
      <x:c r="I1687" s="27" t="str">
        <x:v>SRC29; SRC32</x:v>
      </x:c>
      <x:c r="J1687" s="27" t="str">
        <x:v>Parallel subject and representation links.</x:v>
      </x:c>
    </x:row>
    <x:row r="1688">
      <x:c r="A1688" s="27" t="str">
        <x:v>E01684</x:v>
      </x:c>
      <x:c r="B1688" s="27" t="str">
        <x:v>S18-LEARN-02</x:v>
      </x:c>
      <x:c r="C1688" s="27" t="str">
        <x:v>Representation mapping</x:v>
      </x:c>
      <x:c r="D1688" s="27" t="str">
        <x:v>UNLOCKS</x:v>
      </x:c>
      <x:c r="E1688" s="27" t="str">
        <x:v>S18-LEARN-02:NEXT</x:v>
      </x:c>
      <x:c r="F1688" s="27" t="str">
        <x:v>Congruent mappings create multiple usable cues while preserving one coherent concept.</x:v>
      </x:c>
      <x:c r="G1688" s="27" t="str">
        <x:v>S18</x:v>
      </x:c>
      <x:c r="H1688" s="27" t="str">
        <x:v>Learning Foundations</x:v>
      </x:c>
      <x:c r="I1688" s="27" t="str">
        <x:v>SRC29; SRC32</x:v>
      </x:c>
      <x:c r="J1688" s="27" t="str">
        <x:v>Outgoing use and placement rationale.</x:v>
      </x:c>
    </x:row>
    <x:row r="1689">
      <x:c r="A1689" s="27" t="str">
        <x:v>E01685</x:v>
      </x:c>
      <x:c r="B1689" s="27" t="str">
        <x:v>S18-LEARN-02</x:v>
      </x:c>
      <x:c r="C1689" s="27" t="str">
        <x:v>Representation mapping</x:v>
      </x:c>
      <x:c r="D1689" s="27" t="str">
        <x:v>VERIFIED_BY</x:v>
      </x:c>
      <x:c r="E1689" s="27" t="str">
        <x:v>S18-LEARN-02:EVIDENCE</x:v>
      </x:c>
      <x:c r="F1689" s="27" t="str">
        <x:v>Translates among at least three representations and explains what remains invariant.</x:v>
      </x:c>
      <x:c r="G1689" s="27" t="str">
        <x:v>S18</x:v>
      </x:c>
      <x:c r="H1689" s="27" t="str">
        <x:v>Learning Foundations</x:v>
      </x:c>
      <x:c r="I1689" s="27" t="str">
        <x:v>SRC29; SRC32</x:v>
      </x:c>
      <x:c r="J1689" s="27" t="str">
        <x:v>Observable evidence of usable learning.</x:v>
      </x:c>
    </x:row>
    <x:row r="1690">
      <x:c r="A1690" s="27" t="str">
        <x:v>E01686</x:v>
      </x:c>
      <x:c r="B1690" s="27" t="str">
        <x:v>S17-SEL-01</x:v>
      </x:c>
      <x:c r="C1690" s="27" t="str">
        <x:v>Previous node in domain progression</x:v>
      </x:c>
      <x:c r="D1690" s="27" t="str">
        <x:v>DOMAIN_SEQUENCE</x:v>
      </x:c>
      <x:c r="E1690" s="27" t="str">
        <x:v>S18-SEL-01</x:v>
      </x:c>
      <x:c r="F1690" s="27" t="str">
        <x:v>Identity, belonging, and self-advocacy</x:v>
      </x:c>
      <x:c r="G1690" s="27" t="str">
        <x:v>S18</x:v>
      </x:c>
      <x:c r="H1690" s="27" t="str">
        <x:v>Social-Emotional</x:v>
      </x:c>
      <x:c r="I1690" s="27" t="str">
        <x:v>SRC18</x:v>
      </x:c>
      <x:c r="J1690" s="27" t="str">
        <x:v>Ordered spiral link; consult explicit prerequisites for logical dependency.</x:v>
      </x:c>
    </x:row>
    <x:row r="1691">
      <x:c r="A1691" s="27" t="str">
        <x:v>E01687</x:v>
      </x:c>
      <x:c r="B1691" s="27" t="str">
        <x:v>S18-SEL-01:PREREQ</x:v>
      </x:c>
      <x:c r="C1691" s="27" t="str">
        <x:v>Self-awareness, perspective, help calibration, and health communication.</x:v>
      </x:c>
      <x:c r="D1691" s="27" t="str">
        <x:v>PREREQUISITE</x:v>
      </x:c>
      <x:c r="E1691" s="27" t="str">
        <x:v>S18-SEL-01</x:v>
      </x:c>
      <x:c r="F1691" s="27" t="str">
        <x:v>Identity, belonging, and self-advocacy</x:v>
      </x:c>
      <x:c r="G1691" s="27" t="str">
        <x:v>S18</x:v>
      </x:c>
      <x:c r="H1691" s="27" t="str">
        <x:v>Social-Emotional</x:v>
      </x:c>
      <x:c r="I1691" s="27" t="str">
        <x:v>SRC18</x:v>
      </x:c>
      <x:c r="J1691" s="27" t="str">
        <x:v>Incoming prerequisite relationship.</x:v>
      </x:c>
    </x:row>
    <x:row r="1692">
      <x:c r="A1692" s="27" t="str">
        <x:v>E01688</x:v>
      </x:c>
      <x:c r="B1692" s="27" t="str">
        <x:v>S18-SEL-01:GROUND</x:v>
      </x:c>
      <x:c r="C1692" s="27" t="str">
        <x:v>G5/G6 — Coordinated representations within an evidence-based formal system</x:v>
      </x:c>
      <x:c r="D1692" s="27" t="str">
        <x:v>GROUNDED_BY</x:v>
      </x:c>
      <x:c r="E1692" s="27" t="str">
        <x:v>S18-SEL-01</x:v>
      </x:c>
      <x:c r="F1692" s="27" t="str">
        <x:v>Identity, belonging, and self-advocacy</x:v>
      </x:c>
      <x:c r="G1692" s="27" t="str">
        <x:v>S18</x:v>
      </x:c>
      <x:c r="H1692" s="27" t="str">
        <x:v>Social-Emotional</x:v>
      </x:c>
      <x:c r="I1692" s="27" t="str">
        <x:v>SRC18</x:v>
      </x:c>
      <x:c r="J1692" s="27" t="str">
        <x:v>Grounding form used to preserve meaning.</x:v>
      </x:c>
    </x:row>
    <x:row r="1693">
      <x:c r="A1693" s="27" t="str">
        <x:v>E01689</x:v>
      </x:c>
      <x:c r="B1693" s="27" t="str">
        <x:v>S18-SEL-01</x:v>
      </x:c>
      <x:c r="C1693" s="27" t="str">
        <x:v>Identity, belonging, and self-advocacy</x:v>
      </x:c>
      <x:c r="D1693" s="27" t="str">
        <x:v>CONNECTS_TO</x:v>
      </x:c>
      <x:c r="E1693" s="27" t="str">
        <x:v>S18-SEL-01:CROSS</x:v>
      </x:c>
      <x:c r="F1693" s="27" t="str">
        <x:v>Language and communication; health; collaboration in science, arts, civics, and projects; responsible digital/financial decisions.</x:v>
      </x:c>
      <x:c r="G1693" s="27" t="str">
        <x:v>S18</x:v>
      </x:c>
      <x:c r="H1693" s="27" t="str">
        <x:v>Social-Emotional</x:v>
      </x:c>
      <x:c r="I1693" s="27" t="str">
        <x:v>SRC18</x:v>
      </x:c>
      <x:c r="J1693" s="27" t="str">
        <x:v>Parallel subject and representation links.</x:v>
      </x:c>
    </x:row>
    <x:row r="1694">
      <x:c r="A1694" s="27" t="str">
        <x:v>E01690</x:v>
      </x:c>
      <x:c r="B1694" s="27" t="str">
        <x:v>S18-SEL-01</x:v>
      </x:c>
      <x:c r="C1694" s="27" t="str">
        <x:v>Identity, belonging, and self-advocacy</x:v>
      </x:c>
      <x:c r="D1694" s="27" t="str">
        <x:v>UNLOCKS</x:v>
      </x:c>
      <x:c r="E1694" s="27" t="str">
        <x:v>S18-SEL-01:NEXT</x:v>
      </x:c>
      <x:c r="F1694" s="27" t="str">
        <x:v>Identity and advocacy support motivation, inclusion, and responsible independence during adolescence.</x:v>
      </x:c>
      <x:c r="G1694" s="27" t="str">
        <x:v>S18</x:v>
      </x:c>
      <x:c r="H1694" s="27" t="str">
        <x:v>Social-Emotional</x:v>
      </x:c>
      <x:c r="I1694" s="27" t="str">
        <x:v>SRC18</x:v>
      </x:c>
      <x:c r="J1694" s="27" t="str">
        <x:v>Outgoing use and placement rationale.</x:v>
      </x:c>
    </x:row>
    <x:row r="1695">
      <x:c r="A1695" s="27" t="str">
        <x:v>E01691</x:v>
      </x:c>
      <x:c r="B1695" s="27" t="str">
        <x:v>S18-SEL-01</x:v>
      </x:c>
      <x:c r="C1695" s="27" t="str">
        <x:v>Identity, belonging, and self-advocacy</x:v>
      </x:c>
      <x:c r="D1695" s="27" t="str">
        <x:v>VERIFIED_BY</x:v>
      </x:c>
      <x:c r="E1695" s="27" t="str">
        <x:v>S18-SEL-01:EVIDENCE</x:v>
      </x:c>
      <x:c r="F1695" s="27" t="str">
        <x:v>Explains a goal or need and makes a clear, context-appropriate request.</x:v>
      </x:c>
      <x:c r="G1695" s="27" t="str">
        <x:v>S18</x:v>
      </x:c>
      <x:c r="H1695" s="27" t="str">
        <x:v>Social-Emotional</x:v>
      </x:c>
      <x:c r="I1695" s="27" t="str">
        <x:v>SRC18</x:v>
      </x:c>
      <x:c r="J1695" s="27" t="str">
        <x:v>Observable evidence of usable learning.</x:v>
      </x:c>
    </x:row>
    <x:row r="1696">
      <x:c r="A1696" s="27" t="str">
        <x:v>E01692</x:v>
      </x:c>
      <x:c r="B1696" s="27" t="str">
        <x:v>S17-READ-02</x:v>
      </x:c>
      <x:c r="C1696" s="27" t="str">
        <x:v>Previous node in domain progression</x:v>
      </x:c>
      <x:c r="D1696" s="27" t="str">
        <x:v>DOMAIN_SEQUENCE</x:v>
      </x:c>
      <x:c r="E1696" s="27" t="str">
        <x:v>S18-READ-01</x:v>
      </x:c>
      <x:c r="F1696" s="27" t="str">
        <x:v>Read differently by discipline</x:v>
      </x:c>
      <x:c r="G1696" s="27" t="str">
        <x:v>S18</x:v>
      </x:c>
      <x:c r="H1696" s="27" t="str">
        <x:v>Reading</x:v>
      </x:c>
      <x:c r="I1696" s="27" t="str">
        <x:v>SRC10; SRC12</x:v>
      </x:c>
      <x:c r="J1696" s="27" t="str">
        <x:v>Ordered spiral link; consult explicit prerequisites for logical dependency.</x:v>
      </x:c>
    </x:row>
    <x:row r="1697">
      <x:c r="A1697" s="27" t="str">
        <x:v>E01693</x:v>
      </x:c>
      <x:c r="B1697" s="27" t="str">
        <x:v>S18-READ-01:PREREQ</x:v>
      </x:c>
      <x:c r="C1697" s="27" t="str">
        <x:v>Grade 5 synthesis, author analysis, and domain vocabulary.</x:v>
      </x:c>
      <x:c r="D1697" s="27" t="str">
        <x:v>PREREQUISITE</x:v>
      </x:c>
      <x:c r="E1697" s="27" t="str">
        <x:v>S18-READ-01</x:v>
      </x:c>
      <x:c r="F1697" s="27" t="str">
        <x:v>Read differently by discipline</x:v>
      </x:c>
      <x:c r="G1697" s="27" t="str">
        <x:v>S18</x:v>
      </x:c>
      <x:c r="H1697" s="27" t="str">
        <x:v>Reading</x:v>
      </x:c>
      <x:c r="I1697" s="27" t="str">
        <x:v>SRC10; SRC12</x:v>
      </x:c>
      <x:c r="J1697" s="27" t="str">
        <x:v>Incoming prerequisite relationship.</x:v>
      </x:c>
    </x:row>
    <x:row r="1698">
      <x:c r="A1698" s="27" t="str">
        <x:v>E01694</x:v>
      </x:c>
      <x:c r="B1698" s="27" t="str">
        <x:v>S18-READ-01:GROUND</x:v>
      </x:c>
      <x:c r="C1698" s="27" t="str">
        <x:v>G5/G6 — Coordinated representations within an evidence-based formal system</x:v>
      </x:c>
      <x:c r="D1698" s="27" t="str">
        <x:v>GROUNDED_BY</x:v>
      </x:c>
      <x:c r="E1698" s="27" t="str">
        <x:v>S18-READ-01</x:v>
      </x:c>
      <x:c r="F1698" s="27" t="str">
        <x:v>Read differently by discipline</x:v>
      </x:c>
      <x:c r="G1698" s="27" t="str">
        <x:v>S18</x:v>
      </x:c>
      <x:c r="H1698" s="27" t="str">
        <x:v>Reading</x:v>
      </x:c>
      <x:c r="I1698" s="27" t="str">
        <x:v>SRC10; SRC12</x:v>
      </x:c>
      <x:c r="J1698" s="27" t="str">
        <x:v>Grounding form used to preserve meaning.</x:v>
      </x:c>
    </x:row>
    <x:row r="1699">
      <x:c r="A1699" s="27" t="str">
        <x:v>E01695</x:v>
      </x:c>
      <x:c r="B1699" s="27" t="str">
        <x:v>S18-READ-01</x:v>
      </x:c>
      <x:c r="C1699" s="27" t="str">
        <x:v>Read differently by discipline</x:v>
      </x:c>
      <x:c r="D1699" s="27" t="str">
        <x:v>CONNECTS_TO</x:v>
      </x:c>
      <x:c r="E1699" s="27" t="str">
        <x:v>S18-READ-01:CROSS</x:v>
      </x:c>
      <x:c r="F1699" s="27" t="str">
        <x:v>Oral language and writing; evidence in science/social studies; mathematical and technical problem interpretation; media verification.</x:v>
      </x:c>
      <x:c r="G1699" s="27" t="str">
        <x:v>S18</x:v>
      </x:c>
      <x:c r="H1699" s="27" t="str">
        <x:v>Reading</x:v>
      </x:c>
      <x:c r="I1699" s="27" t="str">
        <x:v>SRC10; SRC12</x:v>
      </x:c>
      <x:c r="J1699" s="27" t="str">
        <x:v>Parallel subject and representation links.</x:v>
      </x:c>
    </x:row>
    <x:row r="1700">
      <x:c r="A1700" s="27" t="str">
        <x:v>E01696</x:v>
      </x:c>
      <x:c r="B1700" s="27" t="str">
        <x:v>S18-READ-01</x:v>
      </x:c>
      <x:c r="C1700" s="27" t="str">
        <x:v>Read differently by discipline</x:v>
      </x:c>
      <x:c r="D1700" s="27" t="str">
        <x:v>UNLOCKS</x:v>
      </x:c>
      <x:c r="E1700" s="27" t="str">
        <x:v>S18-READ-01:NEXT</x:v>
      </x:c>
      <x:c r="F1700" s="27" t="str">
        <x:v>Disciplinary reading aligns attention with how each field builds knowledge.</x:v>
      </x:c>
      <x:c r="G1700" s="27" t="str">
        <x:v>S18</x:v>
      </x:c>
      <x:c r="H1700" s="27" t="str">
        <x:v>Reading</x:v>
      </x:c>
      <x:c r="I1700" s="27" t="str">
        <x:v>SRC10; SRC12</x:v>
      </x:c>
      <x:c r="J1700" s="27" t="str">
        <x:v>Outgoing use and placement rationale.</x:v>
      </x:c>
    </x:row>
    <x:row r="1701">
      <x:c r="A1701" s="27" t="str">
        <x:v>E01697</x:v>
      </x:c>
      <x:c r="B1701" s="27" t="str">
        <x:v>S18-READ-01</x:v>
      </x:c>
      <x:c r="C1701" s="27" t="str">
        <x:v>Read differently by discipline</x:v>
      </x:c>
      <x:c r="D1701" s="27" t="str">
        <x:v>VERIFIED_BY</x:v>
      </x:c>
      <x:c r="E1701" s="27" t="str">
        <x:v>S18-READ-01:EVIDENCE</x:v>
      </x:c>
      <x:c r="F1701" s="27" t="str">
        <x:v>Annotates two subject texts using different, appropriate evidence questions.</x:v>
      </x:c>
      <x:c r="G1701" s="27" t="str">
        <x:v>S18</x:v>
      </x:c>
      <x:c r="H1701" s="27" t="str">
        <x:v>Reading</x:v>
      </x:c>
      <x:c r="I1701" s="27" t="str">
        <x:v>SRC10; SRC12</x:v>
      </x:c>
      <x:c r="J1701" s="27" t="str">
        <x:v>Observable evidence of usable learning.</x:v>
      </x:c>
    </x:row>
    <x:row r="1702">
      <x:c r="A1702" s="27" t="str">
        <x:v>E01698</x:v>
      </x:c>
      <x:c r="B1702" s="27" t="str">
        <x:v>S18-READ-01</x:v>
      </x:c>
      <x:c r="C1702" s="27" t="str">
        <x:v>Previous node in domain progression</x:v>
      </x:c>
      <x:c r="D1702" s="27" t="str">
        <x:v>DOMAIN_SEQUENCE</x:v>
      </x:c>
      <x:c r="E1702" s="27" t="str">
        <x:v>S18-READ-02</x:v>
      </x:c>
      <x:c r="F1702" s="27" t="str">
        <x:v>Central ideas, objective summary, and development</x:v>
      </x:c>
      <x:c r="G1702" s="27" t="str">
        <x:v>S18</x:v>
      </x:c>
      <x:c r="H1702" s="27" t="str">
        <x:v>Reading</x:v>
      </x:c>
      <x:c r="I1702" s="27" t="str">
        <x:v>SRC10</x:v>
      </x:c>
      <x:c r="J1702" s="27" t="str">
        <x:v>Ordered spiral link; consult explicit prerequisites for logical dependency.</x:v>
      </x:c>
    </x:row>
    <x:row r="1703">
      <x:c r="A1703" s="27" t="str">
        <x:v>E01699</x:v>
      </x:c>
      <x:c r="B1703" s="27" t="str">
        <x:v>S18-READ-02:PREREQ</x:v>
      </x:c>
      <x:c r="C1703" s="27" t="str">
        <x:v>Grade 5 quote/infer/summarize and multi-paragraph structure.</x:v>
      </x:c>
      <x:c r="D1703" s="27" t="str">
        <x:v>PREREQUISITE</x:v>
      </x:c>
      <x:c r="E1703" s="27" t="str">
        <x:v>S18-READ-02</x:v>
      </x:c>
      <x:c r="F1703" s="27" t="str">
        <x:v>Central ideas, objective summary, and development</x:v>
      </x:c>
      <x:c r="G1703" s="27" t="str">
        <x:v>S18</x:v>
      </x:c>
      <x:c r="H1703" s="27" t="str">
        <x:v>Reading</x:v>
      </x:c>
      <x:c r="I1703" s="27" t="str">
        <x:v>SRC10</x:v>
      </x:c>
      <x:c r="J1703" s="27" t="str">
        <x:v>Incoming prerequisite relationship.</x:v>
      </x:c>
    </x:row>
    <x:row r="1704">
      <x:c r="A1704" s="27" t="str">
        <x:v>E01700</x:v>
      </x:c>
      <x:c r="B1704" s="27" t="str">
        <x:v>S18-READ-02:GROUND</x:v>
      </x:c>
      <x:c r="C1704" s="27" t="str">
        <x:v>G5/G6 — Coordinated representations within an evidence-based formal system</x:v>
      </x:c>
      <x:c r="D1704" s="27" t="str">
        <x:v>GROUNDED_BY</x:v>
      </x:c>
      <x:c r="E1704" s="27" t="str">
        <x:v>S18-READ-02</x:v>
      </x:c>
      <x:c r="F1704" s="27" t="str">
        <x:v>Central ideas, objective summary, and development</x:v>
      </x:c>
      <x:c r="G1704" s="27" t="str">
        <x:v>S18</x:v>
      </x:c>
      <x:c r="H1704" s="27" t="str">
        <x:v>Reading</x:v>
      </x:c>
      <x:c r="I1704" s="27" t="str">
        <x:v>SRC10</x:v>
      </x:c>
      <x:c r="J1704" s="27" t="str">
        <x:v>Grounding form used to preserve meaning.</x:v>
      </x:c>
    </x:row>
    <x:row r="1705">
      <x:c r="A1705" s="27" t="str">
        <x:v>E01701</x:v>
      </x:c>
      <x:c r="B1705" s="27" t="str">
        <x:v>S18-READ-02</x:v>
      </x:c>
      <x:c r="C1705" s="27" t="str">
        <x:v>Central ideas, objective summary, and development</x:v>
      </x:c>
      <x:c r="D1705" s="27" t="str">
        <x:v>CONNECTS_TO</x:v>
      </x:c>
      <x:c r="E1705" s="27" t="str">
        <x:v>S18-READ-02:CROSS</x:v>
      </x:c>
      <x:c r="F1705" s="27" t="str">
        <x:v>Oral language and writing; evidence in science/social studies; mathematical and technical problem interpretation; media verification.</x:v>
      </x:c>
      <x:c r="G1705" s="27" t="str">
        <x:v>S18</x:v>
      </x:c>
      <x:c r="H1705" s="27" t="str">
        <x:v>Reading</x:v>
      </x:c>
      <x:c r="I1705" s="27" t="str">
        <x:v>SRC10</x:v>
      </x:c>
      <x:c r="J1705" s="27" t="str">
        <x:v>Parallel subject and representation links.</x:v>
      </x:c>
    </x:row>
    <x:row r="1706">
      <x:c r="A1706" s="27" t="str">
        <x:v>E01702</x:v>
      </x:c>
      <x:c r="B1706" s="27" t="str">
        <x:v>S18-READ-02</x:v>
      </x:c>
      <x:c r="C1706" s="27" t="str">
        <x:v>Central ideas, objective summary, and development</x:v>
      </x:c>
      <x:c r="D1706" s="27" t="str">
        <x:v>UNLOCKS</x:v>
      </x:c>
      <x:c r="E1706" s="27" t="str">
        <x:v>S18-READ-02:NEXT</x:v>
      </x:c>
      <x:c r="F1706" s="27" t="str">
        <x:v>Tracing development prepares analysis of longer arguments and narratives.</x:v>
      </x:c>
      <x:c r="G1706" s="27" t="str">
        <x:v>S18</x:v>
      </x:c>
      <x:c r="H1706" s="27" t="str">
        <x:v>Reading</x:v>
      </x:c>
      <x:c r="I1706" s="27" t="str">
        <x:v>SRC10</x:v>
      </x:c>
      <x:c r="J1706" s="27" t="str">
        <x:v>Outgoing use and placement rationale.</x:v>
      </x:c>
    </x:row>
    <x:row r="1707">
      <x:c r="A1707" s="27" t="str">
        <x:v>E01703</x:v>
      </x:c>
      <x:c r="B1707" s="27" t="str">
        <x:v>S18-READ-02</x:v>
      </x:c>
      <x:c r="C1707" s="27" t="str">
        <x:v>Central ideas, objective summary, and development</x:v>
      </x:c>
      <x:c r="D1707" s="27" t="str">
        <x:v>VERIFIED_BY</x:v>
      </x:c>
      <x:c r="E1707" s="27" t="str">
        <x:v>S18-READ-02:EVIDENCE</x:v>
      </x:c>
      <x:c r="F1707" s="27" t="str">
        <x:v>Writes an accurate objective summary and a separate analysis with cited evidence.</x:v>
      </x:c>
      <x:c r="G1707" s="27" t="str">
        <x:v>S18</x:v>
      </x:c>
      <x:c r="H1707" s="27" t="str">
        <x:v>Reading</x:v>
      </x:c>
      <x:c r="I1707" s="27" t="str">
        <x:v>SRC10</x:v>
      </x:c>
      <x:c r="J1707" s="27" t="str">
        <x:v>Observable evidence of usable learning.</x:v>
      </x:c>
    </x:row>
    <x:row r="1708">
      <x:c r="A1708" s="27" t="str">
        <x:v>E01704</x:v>
      </x:c>
      <x:c r="B1708" s="27" t="str">
        <x:v>S18-READ-02</x:v>
      </x:c>
      <x:c r="C1708" s="27" t="str">
        <x:v>Previous node in domain progression</x:v>
      </x:c>
      <x:c r="D1708" s="27" t="str">
        <x:v>DOMAIN_SEQUENCE</x:v>
      </x:c>
      <x:c r="E1708" s="27" t="str">
        <x:v>S18-READ-03</x:v>
      </x:c>
      <x:c r="F1708" s="27" t="str">
        <x:v>Claim, reasons, evidence, and relevance</x:v>
      </x:c>
      <x:c r="G1708" s="27" t="str">
        <x:v>S18</x:v>
      </x:c>
      <x:c r="H1708" s="27" t="str">
        <x:v>Reading</x:v>
      </x:c>
      <x:c r="I1708" s="27" t="str">
        <x:v>SRC10; SRC20</x:v>
      </x:c>
      <x:c r="J1708" s="27" t="str">
        <x:v>Ordered spiral link; consult explicit prerequisites for logical dependency.</x:v>
      </x:c>
    </x:row>
    <x:row r="1709">
      <x:c r="A1709" s="27" t="str">
        <x:v>E01705</x:v>
      </x:c>
      <x:c r="B1709" s="27" t="str">
        <x:v>S18-READ-03:PREREQ</x:v>
      </x:c>
      <x:c r="C1709" s="27" t="str">
        <x:v>Grade 5 reasons/evidence analysis and source credibility.</x:v>
      </x:c>
      <x:c r="D1709" s="27" t="str">
        <x:v>PREREQUISITE</x:v>
      </x:c>
      <x:c r="E1709" s="27" t="str">
        <x:v>S18-READ-03</x:v>
      </x:c>
      <x:c r="F1709" s="27" t="str">
        <x:v>Claim, reasons, evidence, and relevance</x:v>
      </x:c>
      <x:c r="G1709" s="27" t="str">
        <x:v>S18</x:v>
      </x:c>
      <x:c r="H1709" s="27" t="str">
        <x:v>Reading</x:v>
      </x:c>
      <x:c r="I1709" s="27" t="str">
        <x:v>SRC10; SRC20</x:v>
      </x:c>
      <x:c r="J1709" s="27" t="str">
        <x:v>Incoming prerequisite relationship.</x:v>
      </x:c>
    </x:row>
    <x:row r="1710">
      <x:c r="A1710" s="27" t="str">
        <x:v>E01706</x:v>
      </x:c>
      <x:c r="B1710" s="27" t="str">
        <x:v>S18-READ-03:GROUND</x:v>
      </x:c>
      <x:c r="C1710" s="27" t="str">
        <x:v>G5/G6 — Coordinated representations within an evidence-based formal system</x:v>
      </x:c>
      <x:c r="D1710" s="27" t="str">
        <x:v>GROUNDED_BY</x:v>
      </x:c>
      <x:c r="E1710" s="27" t="str">
        <x:v>S18-READ-03</x:v>
      </x:c>
      <x:c r="F1710" s="27" t="str">
        <x:v>Claim, reasons, evidence, and relevance</x:v>
      </x:c>
      <x:c r="G1710" s="27" t="str">
        <x:v>S18</x:v>
      </x:c>
      <x:c r="H1710" s="27" t="str">
        <x:v>Reading</x:v>
      </x:c>
      <x:c r="I1710" s="27" t="str">
        <x:v>SRC10; SRC20</x:v>
      </x:c>
      <x:c r="J1710" s="27" t="str">
        <x:v>Grounding form used to preserve meaning.</x:v>
      </x:c>
    </x:row>
    <x:row r="1711">
      <x:c r="A1711" s="27" t="str">
        <x:v>E01707</x:v>
      </x:c>
      <x:c r="B1711" s="27" t="str">
        <x:v>S18-READ-03</x:v>
      </x:c>
      <x:c r="C1711" s="27" t="str">
        <x:v>Claim, reasons, evidence, and relevance</x:v>
      </x:c>
      <x:c r="D1711" s="27" t="str">
        <x:v>CONNECTS_TO</x:v>
      </x:c>
      <x:c r="E1711" s="27" t="str">
        <x:v>S18-READ-03:CROSS</x:v>
      </x:c>
      <x:c r="F1711" s="27" t="str">
        <x:v>Oral language and writing; evidence in science/social studies; mathematical and technical problem interpretation; media verification.</x:v>
      </x:c>
      <x:c r="G1711" s="27" t="str">
        <x:v>S18</x:v>
      </x:c>
      <x:c r="H1711" s="27" t="str">
        <x:v>Reading</x:v>
      </x:c>
      <x:c r="I1711" s="27" t="str">
        <x:v>SRC10; SRC20</x:v>
      </x:c>
      <x:c r="J1711" s="27" t="str">
        <x:v>Parallel subject and representation links.</x:v>
      </x:c>
    </x:row>
    <x:row r="1712">
      <x:c r="A1712" s="27" t="str">
        <x:v>E01708</x:v>
      </x:c>
      <x:c r="B1712" s="27" t="str">
        <x:v>S18-READ-03</x:v>
      </x:c>
      <x:c r="C1712" s="27" t="str">
        <x:v>Claim, reasons, evidence, and relevance</x:v>
      </x:c>
      <x:c r="D1712" s="27" t="str">
        <x:v>UNLOCKS</x:v>
      </x:c>
      <x:c r="E1712" s="27" t="str">
        <x:v>S18-READ-03:NEXT</x:v>
      </x:c>
      <x:c r="F1712" s="27" t="str">
        <x:v>Argument anatomy is required for informed reading, writing, science, and civics.</x:v>
      </x:c>
      <x:c r="G1712" s="27" t="str">
        <x:v>S18</x:v>
      </x:c>
      <x:c r="H1712" s="27" t="str">
        <x:v>Reading</x:v>
      </x:c>
      <x:c r="I1712" s="27" t="str">
        <x:v>SRC10; SRC20</x:v>
      </x:c>
      <x:c r="J1712" s="27" t="str">
        <x:v>Outgoing use and placement rationale.</x:v>
      </x:c>
    </x:row>
    <x:row r="1713">
      <x:c r="A1713" s="27" t="str">
        <x:v>E01709</x:v>
      </x:c>
      <x:c r="B1713" s="27" t="str">
        <x:v>S18-READ-03</x:v>
      </x:c>
      <x:c r="C1713" s="27" t="str">
        <x:v>Claim, reasons, evidence, and relevance</x:v>
      </x:c>
      <x:c r="D1713" s="27" t="str">
        <x:v>VERIFIED_BY</x:v>
      </x:c>
      <x:c r="E1713" s="27" t="str">
        <x:v>S18-READ-03:EVIDENCE</x:v>
      </x:c>
      <x:c r="F1713" s="27" t="str">
        <x:v>Maps an argument and evaluates whether each cited item actually supports its claim.</x:v>
      </x:c>
      <x:c r="G1713" s="27" t="str">
        <x:v>S18</x:v>
      </x:c>
      <x:c r="H1713" s="27" t="str">
        <x:v>Reading</x:v>
      </x:c>
      <x:c r="I1713" s="27" t="str">
        <x:v>SRC10; SRC20</x:v>
      </x:c>
      <x:c r="J1713" s="27" t="str">
        <x:v>Observable evidence of usable learning.</x:v>
      </x:c>
    </x:row>
    <x:row r="1714">
      <x:c r="A1714" s="27" t="str">
        <x:v>E01710</x:v>
      </x:c>
      <x:c r="B1714" s="27" t="str">
        <x:v>S17-WRITE-04</x:v>
      </x:c>
      <x:c r="C1714" s="27" t="str">
        <x:v>Previous node in domain progression</x:v>
      </x:c>
      <x:c r="D1714" s="27" t="str">
        <x:v>DOMAIN_SEQUENCE</x:v>
      </x:c>
      <x:c r="E1714" s="27" t="str">
        <x:v>S18-WRITE-01</x:v>
      </x:c>
      <x:c r="F1714" s="27" t="str">
        <x:v>Focused claim and logical evidence chain</x:v>
      </x:c>
      <x:c r="G1714" s="27" t="str">
        <x:v>S18</x:v>
      </x:c>
      <x:c r="H1714" s="27" t="str">
        <x:v>Writing &amp; Language</x:v>
      </x:c>
      <x:c r="I1714" s="27" t="str">
        <x:v>SRC10; SRC22</x:v>
      </x:c>
      <x:c r="J1714" s="27" t="str">
        <x:v>Ordered spiral link; consult explicit prerequisites for logical dependency.</x:v>
      </x:c>
    </x:row>
    <x:row r="1715">
      <x:c r="A1715" s="27" t="str">
        <x:v>E01711</x:v>
      </x:c>
      <x:c r="B1715" s="27" t="str">
        <x:v>S18-WRITE-01:PREREQ</x:v>
      </x:c>
      <x:c r="C1715" s="27" t="str">
        <x:v>Grade 5 claim-evidence-reasoning and argument evaluation.</x:v>
      </x:c>
      <x:c r="D1715" s="27" t="str">
        <x:v>PREREQUISITE</x:v>
      </x:c>
      <x:c r="E1715" s="27" t="str">
        <x:v>S18-WRITE-01</x:v>
      </x:c>
      <x:c r="F1715" s="27" t="str">
        <x:v>Focused claim and logical evidence chain</x:v>
      </x:c>
      <x:c r="G1715" s="27" t="str">
        <x:v>S18</x:v>
      </x:c>
      <x:c r="H1715" s="27" t="str">
        <x:v>Writing &amp; Language</x:v>
      </x:c>
      <x:c r="I1715" s="27" t="str">
        <x:v>SRC10; SRC22</x:v>
      </x:c>
      <x:c r="J1715" s="27" t="str">
        <x:v>Incoming prerequisite relationship.</x:v>
      </x:c>
    </x:row>
    <x:row r="1716">
      <x:c r="A1716" s="27" t="str">
        <x:v>E01712</x:v>
      </x:c>
      <x:c r="B1716" s="27" t="str">
        <x:v>S18-WRITE-01:GROUND</x:v>
      </x:c>
      <x:c r="C1716" s="27" t="str">
        <x:v>G5/G6 — Coordinated representations within an evidence-based formal system</x:v>
      </x:c>
      <x:c r="D1716" s="27" t="str">
        <x:v>GROUNDED_BY</x:v>
      </x:c>
      <x:c r="E1716" s="27" t="str">
        <x:v>S18-WRITE-01</x:v>
      </x:c>
      <x:c r="F1716" s="27" t="str">
        <x:v>Focused claim and logical evidence chain</x:v>
      </x:c>
      <x:c r="G1716" s="27" t="str">
        <x:v>S18</x:v>
      </x:c>
      <x:c r="H1716" s="27" t="str">
        <x:v>Writing &amp; Language</x:v>
      </x:c>
      <x:c r="I1716" s="27" t="str">
        <x:v>SRC10; SRC22</x:v>
      </x:c>
      <x:c r="J1716" s="27" t="str">
        <x:v>Grounding form used to preserve meaning.</x:v>
      </x:c>
    </x:row>
    <x:row r="1717">
      <x:c r="A1717" s="27" t="str">
        <x:v>E01713</x:v>
      </x:c>
      <x:c r="B1717" s="27" t="str">
        <x:v>S18-WRITE-01</x:v>
      </x:c>
      <x:c r="C1717" s="27" t="str">
        <x:v>Focused claim and logical evidence chain</x:v>
      </x:c>
      <x:c r="D1717" s="27" t="str">
        <x:v>CONNECTS_TO</x:v>
      </x:c>
      <x:c r="E1717" s="27" t="str">
        <x:v>S18-WRITE-01:CROSS</x:v>
      </x:c>
      <x:c r="F1717" s="27" t="str">
        <x:v>Reading models; evidence from science/social studies; mathematical explanation; research, media, and presentation.</x:v>
      </x:c>
      <x:c r="G1717" s="27" t="str">
        <x:v>S18</x:v>
      </x:c>
      <x:c r="H1717" s="27" t="str">
        <x:v>Writing &amp; Language</x:v>
      </x:c>
      <x:c r="I1717" s="27" t="str">
        <x:v>SRC10; SRC22</x:v>
      </x:c>
      <x:c r="J1717" s="27" t="str">
        <x:v>Parallel subject and representation links.</x:v>
      </x:c>
    </x:row>
    <x:row r="1718">
      <x:c r="A1718" s="27" t="str">
        <x:v>E01714</x:v>
      </x:c>
      <x:c r="B1718" s="27" t="str">
        <x:v>S18-WRITE-01</x:v>
      </x:c>
      <x:c r="C1718" s="27" t="str">
        <x:v>Focused claim and logical evidence chain</x:v>
      </x:c>
      <x:c r="D1718" s="27" t="str">
        <x:v>UNLOCKS</x:v>
      </x:c>
      <x:c r="E1718" s="27" t="str">
        <x:v>S18-WRITE-01:NEXT</x:v>
      </x:c>
      <x:c r="F1718" s="27" t="str">
        <x:v>A visible reasoning chain prevents evidence lists and prepares counterclaim work.</x:v>
      </x:c>
      <x:c r="G1718" s="27" t="str">
        <x:v>S18</x:v>
      </x:c>
      <x:c r="H1718" s="27" t="str">
        <x:v>Writing &amp; Language</x:v>
      </x:c>
      <x:c r="I1718" s="27" t="str">
        <x:v>SRC10; SRC22</x:v>
      </x:c>
      <x:c r="J1718" s="27" t="str">
        <x:v>Outgoing use and placement rationale.</x:v>
      </x:c>
    </x:row>
    <x:row r="1719">
      <x:c r="A1719" s="27" t="str">
        <x:v>E01715</x:v>
      </x:c>
      <x:c r="B1719" s="27" t="str">
        <x:v>S18-WRITE-01</x:v>
      </x:c>
      <x:c r="C1719" s="27" t="str">
        <x:v>Focused claim and logical evidence chain</x:v>
      </x:c>
      <x:c r="D1719" s="27" t="str">
        <x:v>VERIFIED_BY</x:v>
      </x:c>
      <x:c r="E1719" s="27" t="str">
        <x:v>S18-WRITE-01:EVIDENCE</x:v>
      </x:c>
      <x:c r="F1719" s="27" t="str">
        <x:v>Produces an argument whose conclusion follows from explained evidence.</x:v>
      </x:c>
      <x:c r="G1719" s="27" t="str">
        <x:v>S18</x:v>
      </x:c>
      <x:c r="H1719" s="27" t="str">
        <x:v>Writing &amp; Language</x:v>
      </x:c>
      <x:c r="I1719" s="27" t="str">
        <x:v>SRC10; SRC22</x:v>
      </x:c>
      <x:c r="J1719" s="27" t="str">
        <x:v>Observable evidence of usable learning.</x:v>
      </x:c>
    </x:row>
    <x:row r="1720">
      <x:c r="A1720" s="27" t="str">
        <x:v>E01716</x:v>
      </x:c>
      <x:c r="B1720" s="27" t="str">
        <x:v>S18-WRITE-01</x:v>
      </x:c>
      <x:c r="C1720" s="27" t="str">
        <x:v>Previous node in domain progression</x:v>
      </x:c>
      <x:c r="D1720" s="27" t="str">
        <x:v>DOMAIN_SEQUENCE</x:v>
      </x:c>
      <x:c r="E1720" s="27" t="str">
        <x:v>S18-WRITE-02</x:v>
      </x:c>
      <x:c r="F1720" s="27" t="str">
        <x:v>Definition, classification, comparison, cause, and process</x:v>
      </x:c>
      <x:c r="G1720" s="27" t="str">
        <x:v>S18</x:v>
      </x:c>
      <x:c r="H1720" s="27" t="str">
        <x:v>Writing &amp; Language</x:v>
      </x:c>
      <x:c r="I1720" s="27" t="str">
        <x:v>SRC10; SRC22</x:v>
      </x:c>
      <x:c r="J1720" s="27" t="str">
        <x:v>Ordered spiral link; consult explicit prerequisites for logical dependency.</x:v>
      </x:c>
    </x:row>
    <x:row r="1721">
      <x:c r="A1721" s="27" t="str">
        <x:v>E01717</x:v>
      </x:c>
      <x:c r="B1721" s="27" t="str">
        <x:v>S18-WRITE-02:PREREQ</x:v>
      </x:c>
      <x:c r="C1721" s="27" t="str">
        <x:v>Grade 5 synthesis, paragraph organization, and disciplinary reading.</x:v>
      </x:c>
      <x:c r="D1721" s="27" t="str">
        <x:v>PREREQUISITE</x:v>
      </x:c>
      <x:c r="E1721" s="27" t="str">
        <x:v>S18-WRITE-02</x:v>
      </x:c>
      <x:c r="F1721" s="27" t="str">
        <x:v>Definition, classification, comparison, cause, and process</x:v>
      </x:c>
      <x:c r="G1721" s="27" t="str">
        <x:v>S18</x:v>
      </x:c>
      <x:c r="H1721" s="27" t="str">
        <x:v>Writing &amp; Language</x:v>
      </x:c>
      <x:c r="I1721" s="27" t="str">
        <x:v>SRC10; SRC22</x:v>
      </x:c>
      <x:c r="J1721" s="27" t="str">
        <x:v>Incoming prerequisite relationship.</x:v>
      </x:c>
    </x:row>
    <x:row r="1722">
      <x:c r="A1722" s="27" t="str">
        <x:v>E01718</x:v>
      </x:c>
      <x:c r="B1722" s="27" t="str">
        <x:v>S18-WRITE-02:GROUND</x:v>
      </x:c>
      <x:c r="C1722" s="27" t="str">
        <x:v>G5/G6 — Coordinated representations within an evidence-based formal system</x:v>
      </x:c>
      <x:c r="D1722" s="27" t="str">
        <x:v>GROUNDED_BY</x:v>
      </x:c>
      <x:c r="E1722" s="27" t="str">
        <x:v>S18-WRITE-02</x:v>
      </x:c>
      <x:c r="F1722" s="27" t="str">
        <x:v>Definition, classification, comparison, cause, and process</x:v>
      </x:c>
      <x:c r="G1722" s="27" t="str">
        <x:v>S18</x:v>
      </x:c>
      <x:c r="H1722" s="27" t="str">
        <x:v>Writing &amp; Language</x:v>
      </x:c>
      <x:c r="I1722" s="27" t="str">
        <x:v>SRC10; SRC22</x:v>
      </x:c>
      <x:c r="J1722" s="27" t="str">
        <x:v>Grounding form used to preserve meaning.</x:v>
      </x:c>
    </x:row>
    <x:row r="1723">
      <x:c r="A1723" s="27" t="str">
        <x:v>E01719</x:v>
      </x:c>
      <x:c r="B1723" s="27" t="str">
        <x:v>S18-WRITE-02</x:v>
      </x:c>
      <x:c r="C1723" s="27" t="str">
        <x:v>Definition, classification, comparison, cause, and process</x:v>
      </x:c>
      <x:c r="D1723" s="27" t="str">
        <x:v>CONNECTS_TO</x:v>
      </x:c>
      <x:c r="E1723" s="27" t="str">
        <x:v>S18-WRITE-02:CROSS</x:v>
      </x:c>
      <x:c r="F1723" s="27" t="str">
        <x:v>Reading models; evidence from science/social studies; mathematical explanation; research, media, and presentation.</x:v>
      </x:c>
      <x:c r="G1723" s="27" t="str">
        <x:v>S18</x:v>
      </x:c>
      <x:c r="H1723" s="27" t="str">
        <x:v>Writing &amp; Language</x:v>
      </x:c>
      <x:c r="I1723" s="27" t="str">
        <x:v>SRC10; SRC22</x:v>
      </x:c>
      <x:c r="J1723" s="27" t="str">
        <x:v>Parallel subject and representation links.</x:v>
      </x:c>
    </x:row>
    <x:row r="1724">
      <x:c r="A1724" s="27" t="str">
        <x:v>E01720</x:v>
      </x:c>
      <x:c r="B1724" s="27" t="str">
        <x:v>S18-WRITE-02</x:v>
      </x:c>
      <x:c r="C1724" s="27" t="str">
        <x:v>Definition, classification, comparison, cause, and process</x:v>
      </x:c>
      <x:c r="D1724" s="27" t="str">
        <x:v>UNLOCKS</x:v>
      </x:c>
      <x:c r="E1724" s="27" t="str">
        <x:v>S18-WRITE-02:NEXT</x:v>
      </x:c>
      <x:c r="F1724" s="27" t="str">
        <x:v>Structure choice makes complex knowledge teachable to an audience.</x:v>
      </x:c>
      <x:c r="G1724" s="27" t="str">
        <x:v>S18</x:v>
      </x:c>
      <x:c r="H1724" s="27" t="str">
        <x:v>Writing &amp; Language</x:v>
      </x:c>
      <x:c r="I1724" s="27" t="str">
        <x:v>SRC10; SRC22</x:v>
      </x:c>
      <x:c r="J1724" s="27" t="str">
        <x:v>Outgoing use and placement rationale.</x:v>
      </x:c>
    </x:row>
    <x:row r="1725">
      <x:c r="A1725" s="27" t="str">
        <x:v>E01721</x:v>
      </x:c>
      <x:c r="B1725" s="27" t="str">
        <x:v>S18-WRITE-02</x:v>
      </x:c>
      <x:c r="C1725" s="27" t="str">
        <x:v>Definition, classification, comparison, cause, and process</x:v>
      </x:c>
      <x:c r="D1725" s="27" t="str">
        <x:v>VERIFIED_BY</x:v>
      </x:c>
      <x:c r="E1725" s="27" t="str">
        <x:v>S18-WRITE-02:EVIDENCE</x:v>
      </x:c>
      <x:c r="F1725" s="27" t="str">
        <x:v>Explains a topic using the correct organizing relationship and integrated evidence.</x:v>
      </x:c>
      <x:c r="G1725" s="27" t="str">
        <x:v>S18</x:v>
      </x:c>
      <x:c r="H1725" s="27" t="str">
        <x:v>Writing &amp; Language</x:v>
      </x:c>
      <x:c r="I1725" s="27" t="str">
        <x:v>SRC10; SRC22</x:v>
      </x:c>
      <x:c r="J1725" s="27" t="str">
        <x:v>Observable evidence of usable learning.</x:v>
      </x:c>
    </x:row>
    <x:row r="1726">
      <x:c r="A1726" s="27" t="str">
        <x:v>E01722</x:v>
      </x:c>
      <x:c r="B1726" s="27" t="str">
        <x:v>S18-WRITE-02</x:v>
      </x:c>
      <x:c r="C1726" s="27" t="str">
        <x:v>Previous node in domain progression</x:v>
      </x:c>
      <x:c r="D1726" s="27" t="str">
        <x:v>DOMAIN_SEQUENCE</x:v>
      </x:c>
      <x:c r="E1726" s="27" t="str">
        <x:v>S18-WRITE-03</x:v>
      </x:c>
      <x:c r="F1726" s="27" t="str">
        <x:v>Source evaluation and consistent citation introduction</x:v>
      </x:c>
      <x:c r="G1726" s="27" t="str">
        <x:v>S18</x:v>
      </x:c>
      <x:c r="H1726" s="27" t="str">
        <x:v>Writing &amp; Language</x:v>
      </x:c>
      <x:c r="I1726" s="27" t="str">
        <x:v>SRC10; SRC20; SRC22</x:v>
      </x:c>
      <x:c r="J1726" s="27" t="str">
        <x:v>Ordered spiral link; consult explicit prerequisites for logical dependency.</x:v>
      </x:c>
    </x:row>
    <x:row r="1727">
      <x:c r="A1727" s="27" t="str">
        <x:v>E01723</x:v>
      </x:c>
      <x:c r="B1727" s="27" t="str">
        <x:v>S18-WRITE-03:PREREQ</x:v>
      </x:c>
      <x:c r="C1727" s="27" t="str">
        <x:v>Grade 5 source trail, media analysis, and independent inquiry.</x:v>
      </x:c>
      <x:c r="D1727" s="27" t="str">
        <x:v>PREREQUISITE</x:v>
      </x:c>
      <x:c r="E1727" s="27" t="str">
        <x:v>S18-WRITE-03</x:v>
      </x:c>
      <x:c r="F1727" s="27" t="str">
        <x:v>Source evaluation and consistent citation introduction</x:v>
      </x:c>
      <x:c r="G1727" s="27" t="str">
        <x:v>S18</x:v>
      </x:c>
      <x:c r="H1727" s="27" t="str">
        <x:v>Writing &amp; Language</x:v>
      </x:c>
      <x:c r="I1727" s="27" t="str">
        <x:v>SRC10; SRC20; SRC22</x:v>
      </x:c>
      <x:c r="J1727" s="27" t="str">
        <x:v>Incoming prerequisite relationship.</x:v>
      </x:c>
    </x:row>
    <x:row r="1728">
      <x:c r="A1728" s="27" t="str">
        <x:v>E01724</x:v>
      </x:c>
      <x:c r="B1728" s="27" t="str">
        <x:v>S18-WRITE-03:GROUND</x:v>
      </x:c>
      <x:c r="C1728" s="27" t="str">
        <x:v>G5/G6 — Coordinated representations within an evidence-based formal system</x:v>
      </x:c>
      <x:c r="D1728" s="27" t="str">
        <x:v>GROUNDED_BY</x:v>
      </x:c>
      <x:c r="E1728" s="27" t="str">
        <x:v>S18-WRITE-03</x:v>
      </x:c>
      <x:c r="F1728" s="27" t="str">
        <x:v>Source evaluation and consistent citation introduction</x:v>
      </x:c>
      <x:c r="G1728" s="27" t="str">
        <x:v>S18</x:v>
      </x:c>
      <x:c r="H1728" s="27" t="str">
        <x:v>Writing &amp; Language</x:v>
      </x:c>
      <x:c r="I1728" s="27" t="str">
        <x:v>SRC10; SRC20; SRC22</x:v>
      </x:c>
      <x:c r="J1728" s="27" t="str">
        <x:v>Grounding form used to preserve meaning.</x:v>
      </x:c>
    </x:row>
    <x:row r="1729">
      <x:c r="A1729" s="27" t="str">
        <x:v>E01725</x:v>
      </x:c>
      <x:c r="B1729" s="27" t="str">
        <x:v>S18-WRITE-03</x:v>
      </x:c>
      <x:c r="C1729" s="27" t="str">
        <x:v>Source evaluation and consistent citation introduction</x:v>
      </x:c>
      <x:c r="D1729" s="27" t="str">
        <x:v>CONNECTS_TO</x:v>
      </x:c>
      <x:c r="E1729" s="27" t="str">
        <x:v>S18-WRITE-03:CROSS</x:v>
      </x:c>
      <x:c r="F1729" s="27" t="str">
        <x:v>Reading models; evidence from science/social studies; mathematical explanation; research, media, and presentation.</x:v>
      </x:c>
      <x:c r="G1729" s="27" t="str">
        <x:v>S18</x:v>
      </x:c>
      <x:c r="H1729" s="27" t="str">
        <x:v>Writing &amp; Language</x:v>
      </x:c>
      <x:c r="I1729" s="27" t="str">
        <x:v>SRC10; SRC20; SRC22</x:v>
      </x:c>
      <x:c r="J1729" s="27" t="str">
        <x:v>Parallel subject and representation links.</x:v>
      </x:c>
    </x:row>
    <x:row r="1730">
      <x:c r="A1730" s="27" t="str">
        <x:v>E01726</x:v>
      </x:c>
      <x:c r="B1730" s="27" t="str">
        <x:v>S18-WRITE-03</x:v>
      </x:c>
      <x:c r="C1730" s="27" t="str">
        <x:v>Source evaluation and consistent citation introduction</x:v>
      </x:c>
      <x:c r="D1730" s="27" t="str">
        <x:v>UNLOCKS</x:v>
      </x:c>
      <x:c r="E1730" s="27" t="str">
        <x:v>S18-WRITE-03:NEXT</x:v>
      </x:c>
      <x:c r="F1730" s="27" t="str">
        <x:v>Evaluation plus traceable attribution makes claims auditable.</x:v>
      </x:c>
      <x:c r="G1730" s="27" t="str">
        <x:v>S18</x:v>
      </x:c>
      <x:c r="H1730" s="27" t="str">
        <x:v>Writing &amp; Language</x:v>
      </x:c>
      <x:c r="I1730" s="27" t="str">
        <x:v>SRC10; SRC20; SRC22</x:v>
      </x:c>
      <x:c r="J1730" s="27" t="str">
        <x:v>Outgoing use and placement rationale.</x:v>
      </x:c>
    </x:row>
    <x:row r="1731">
      <x:c r="A1731" s="27" t="str">
        <x:v>E01727</x:v>
      </x:c>
      <x:c r="B1731" s="27" t="str">
        <x:v>S18-WRITE-03</x:v>
      </x:c>
      <x:c r="C1731" s="27" t="str">
        <x:v>Source evaluation and consistent citation introduction</x:v>
      </x:c>
      <x:c r="D1731" s="27" t="str">
        <x:v>VERIFIED_BY</x:v>
      </x:c>
      <x:c r="E1731" s="27" t="str">
        <x:v>S18-WRITE-03:EVIDENCE</x:v>
      </x:c>
      <x:c r="F1731" s="27" t="str">
        <x:v>Submits an annotated source set and a paper whose in-text attributions match the source list.</x:v>
      </x:c>
      <x:c r="G1731" s="27" t="str">
        <x:v>S18</x:v>
      </x:c>
      <x:c r="H1731" s="27" t="str">
        <x:v>Writing &amp; Language</x:v>
      </x:c>
      <x:c r="I1731" s="27" t="str">
        <x:v>SRC10; SRC20; SRC22</x:v>
      </x:c>
      <x:c r="J1731" s="27" t="str">
        <x:v>Observable evidence of usable learning.</x:v>
      </x:c>
    </x:row>
    <x:row r="1732">
      <x:c r="A1732" s="27" t="str">
        <x:v>E01728</x:v>
      </x:c>
      <x:c r="B1732" s="27" t="str">
        <x:v>S17-MATH-08</x:v>
      </x:c>
      <x:c r="C1732" s="27" t="str">
        <x:v>Previous node in domain progression</x:v>
      </x:c>
      <x:c r="D1732" s="27" t="str">
        <x:v>DOMAIN_SEQUENCE</x:v>
      </x:c>
      <x:c r="E1732" s="27" t="str">
        <x:v>S18-MATH-01</x:v>
      </x:c>
      <x:c r="F1732" s="27" t="str">
        <x:v>Ratio concepts and unit rates</x:v>
      </x:c>
      <x:c r="G1732" s="27" t="str">
        <x:v>S18</x:v>
      </x:c>
      <x:c r="H1732" s="27" t="str">
        <x:v>Mathematics</x:v>
      </x:c>
      <x:c r="I1732" s="27" t="str">
        <x:v>SRC09</x:v>
      </x:c>
      <x:c r="J1732" s="27" t="str">
        <x:v>Ordered spiral link; consult explicit prerequisites for logical dependency.</x:v>
      </x:c>
    </x:row>
    <x:row r="1733">
      <x:c r="A1733" s="27" t="str">
        <x:v>E01729</x:v>
      </x:c>
      <x:c r="B1733" s="27" t="str">
        <x:v>S18-MATH-01:PREREQ</x:v>
      </x:c>
      <x:c r="C1733" s="27" t="str">
        <x:v>Grade 5 fraction multiplication/division, decimals, and paired patterns.</x:v>
      </x:c>
      <x:c r="D1733" s="27" t="str">
        <x:v>PREREQUISITE</x:v>
      </x:c>
      <x:c r="E1733" s="27" t="str">
        <x:v>S18-MATH-01</x:v>
      </x:c>
      <x:c r="F1733" s="27" t="str">
        <x:v>Ratio concepts and unit rates</x:v>
      </x:c>
      <x:c r="G1733" s="27" t="str">
        <x:v>S18</x:v>
      </x:c>
      <x:c r="H1733" s="27" t="str">
        <x:v>Mathematics</x:v>
      </x:c>
      <x:c r="I1733" s="27" t="str">
        <x:v>SRC09</x:v>
      </x:c>
      <x:c r="J1733" s="27" t="str">
        <x:v>Incoming prerequisite relationship.</x:v>
      </x:c>
    </x:row>
    <x:row r="1734">
      <x:c r="A1734" s="27" t="str">
        <x:v>E01730</x:v>
      </x:c>
      <x:c r="B1734" s="27" t="str">
        <x:v>S18-MATH-01:GROUND</x:v>
      </x:c>
      <x:c r="C1734" s="27" t="str">
        <x:v>G5/G6 — Coordinated representations within an evidence-based formal system</x:v>
      </x:c>
      <x:c r="D1734" s="27" t="str">
        <x:v>GROUNDED_BY</x:v>
      </x:c>
      <x:c r="E1734" s="27" t="str">
        <x:v>S18-MATH-01</x:v>
      </x:c>
      <x:c r="F1734" s="27" t="str">
        <x:v>Ratio concepts and unit rates</x:v>
      </x:c>
      <x:c r="G1734" s="27" t="str">
        <x:v>S18</x:v>
      </x:c>
      <x:c r="H1734" s="27" t="str">
        <x:v>Mathematics</x:v>
      </x:c>
      <x:c r="I1734" s="27" t="str">
        <x:v>SRC09</x:v>
      </x:c>
      <x:c r="J1734" s="27" t="str">
        <x:v>Grounding form used to preserve meaning.</x:v>
      </x:c>
    </x:row>
    <x:row r="1735">
      <x:c r="A1735" s="27" t="str">
        <x:v>E01731</x:v>
      </x:c>
      <x:c r="B1735" s="27" t="str">
        <x:v>S18-MATH-01</x:v>
      </x:c>
      <x:c r="C1735" s="27" t="str">
        <x:v>Ratio concepts and unit rates</x:v>
      </x:c>
      <x:c r="D1735" s="27" t="str">
        <x:v>CONNECTS_TO</x:v>
      </x:c>
      <x:c r="E1735" s="27" t="str">
        <x:v>S18-MATH-01:CROSS</x:v>
      </x:c>
      <x:c r="F1735" s="27" t="str">
        <x:v>Physical quantity and spatial action; science measurement/models; computing/algorithms; finance; music rhythm/pattern; geographic data.</x:v>
      </x:c>
      <x:c r="G1735" s="27" t="str">
        <x:v>S18</x:v>
      </x:c>
      <x:c r="H1735" s="27" t="str">
        <x:v>Mathematics</x:v>
      </x:c>
      <x:c r="I1735" s="27" t="str">
        <x:v>SRC09</x:v>
      </x:c>
      <x:c r="J1735" s="27" t="str">
        <x:v>Parallel subject and representation links.</x:v>
      </x:c>
    </x:row>
    <x:row r="1736">
      <x:c r="A1736" s="27" t="str">
        <x:v>E01732</x:v>
      </x:c>
      <x:c r="B1736" s="27" t="str">
        <x:v>S18-MATH-01</x:v>
      </x:c>
      <x:c r="C1736" s="27" t="str">
        <x:v>Ratio concepts and unit rates</x:v>
      </x:c>
      <x:c r="D1736" s="27" t="str">
        <x:v>UNLOCKS</x:v>
      </x:c>
      <x:c r="E1736" s="27" t="str">
        <x:v>S18-MATH-01:NEXT</x:v>
      </x:c>
      <x:c r="F1736" s="27" t="str">
        <x:v>Ratios generalize multiplication to linked quantities and lead to proportional functions.</x:v>
      </x:c>
      <x:c r="G1736" s="27" t="str">
        <x:v>S18</x:v>
      </x:c>
      <x:c r="H1736" s="27" t="str">
        <x:v>Mathematics</x:v>
      </x:c>
      <x:c r="I1736" s="27" t="str">
        <x:v>SRC09</x:v>
      </x:c>
      <x:c r="J1736" s="27" t="str">
        <x:v>Outgoing use and placement rationale.</x:v>
      </x:c>
    </x:row>
    <x:row r="1737">
      <x:c r="A1737" s="27" t="str">
        <x:v>E01733</x:v>
      </x:c>
      <x:c r="B1737" s="27" t="str">
        <x:v>S18-MATH-01</x:v>
      </x:c>
      <x:c r="C1737" s="27" t="str">
        <x:v>Ratio concepts and unit rates</x:v>
      </x:c>
      <x:c r="D1737" s="27" t="str">
        <x:v>VERIFIED_BY</x:v>
      </x:c>
      <x:c r="E1737" s="27" t="str">
        <x:v>S18-MATH-01:EVIDENCE</x:v>
      </x:c>
      <x:c r="F1737" s="27" t="str">
        <x:v>Solves and explains a ratio/rate problem in at least two representations.</x:v>
      </x:c>
      <x:c r="G1737" s="27" t="str">
        <x:v>S18</x:v>
      </x:c>
      <x:c r="H1737" s="27" t="str">
        <x:v>Mathematics</x:v>
      </x:c>
      <x:c r="I1737" s="27" t="str">
        <x:v>SRC09</x:v>
      </x:c>
      <x:c r="J1737" s="27" t="str">
        <x:v>Observable evidence of usable learning.</x:v>
      </x:c>
    </x:row>
    <x:row r="1738">
      <x:c r="A1738" s="27" t="str">
        <x:v>E01734</x:v>
      </x:c>
      <x:c r="B1738" s="27" t="str">
        <x:v>S18-MATH-01</x:v>
      </x:c>
      <x:c r="C1738" s="27" t="str">
        <x:v>Previous node in domain progression</x:v>
      </x:c>
      <x:c r="D1738" s="27" t="str">
        <x:v>DOMAIN_SEQUENCE</x:v>
      </x:c>
      <x:c r="E1738" s="27" t="str">
        <x:v>S18-MATH-02</x:v>
      </x:c>
      <x:c r="F1738" s="27" t="str">
        <x:v>Divide fractions and operate with decimals</x:v>
      </x:c>
      <x:c r="G1738" s="27" t="str">
        <x:v>S18</x:v>
      </x:c>
      <x:c r="H1738" s="27" t="str">
        <x:v>Mathematics</x:v>
      </x:c>
      <x:c r="I1738" s="27" t="str">
        <x:v>SRC09</x:v>
      </x:c>
      <x:c r="J1738" s="27" t="str">
        <x:v>Ordered spiral link; consult explicit prerequisites for logical dependency.</x:v>
      </x:c>
    </x:row>
    <x:row r="1739">
      <x:c r="A1739" s="27" t="str">
        <x:v>E01735</x:v>
      </x:c>
      <x:c r="B1739" s="27" t="str">
        <x:v>S18-MATH-02:PREREQ</x:v>
      </x:c>
      <x:c r="C1739" s="27" t="str">
        <x:v>Grade 5 fraction cases, multiplication inverse, and decimal operations.</x:v>
      </x:c>
      <x:c r="D1739" s="27" t="str">
        <x:v>PREREQUISITE</x:v>
      </x:c>
      <x:c r="E1739" s="27" t="str">
        <x:v>S18-MATH-02</x:v>
      </x:c>
      <x:c r="F1739" s="27" t="str">
        <x:v>Divide fractions and operate with decimals</x:v>
      </x:c>
      <x:c r="G1739" s="27" t="str">
        <x:v>S18</x:v>
      </x:c>
      <x:c r="H1739" s="27" t="str">
        <x:v>Mathematics</x:v>
      </x:c>
      <x:c r="I1739" s="27" t="str">
        <x:v>SRC09</x:v>
      </x:c>
      <x:c r="J1739" s="27" t="str">
        <x:v>Incoming prerequisite relationship.</x:v>
      </x:c>
    </x:row>
    <x:row r="1740">
      <x:c r="A1740" s="27" t="str">
        <x:v>E01736</x:v>
      </x:c>
      <x:c r="B1740" s="27" t="str">
        <x:v>S18-MATH-02:GROUND</x:v>
      </x:c>
      <x:c r="C1740" s="27" t="str">
        <x:v>G5/G6 — Coordinated representations within an evidence-based formal system</x:v>
      </x:c>
      <x:c r="D1740" s="27" t="str">
        <x:v>GROUNDED_BY</x:v>
      </x:c>
      <x:c r="E1740" s="27" t="str">
        <x:v>S18-MATH-02</x:v>
      </x:c>
      <x:c r="F1740" s="27" t="str">
        <x:v>Divide fractions and operate with decimals</x:v>
      </x:c>
      <x:c r="G1740" s="27" t="str">
        <x:v>S18</x:v>
      </x:c>
      <x:c r="H1740" s="27" t="str">
        <x:v>Mathematics</x:v>
      </x:c>
      <x:c r="I1740" s="27" t="str">
        <x:v>SRC09</x:v>
      </x:c>
      <x:c r="J1740" s="27" t="str">
        <x:v>Grounding form used to preserve meaning.</x:v>
      </x:c>
    </x:row>
    <x:row r="1741">
      <x:c r="A1741" s="27" t="str">
        <x:v>E01737</x:v>
      </x:c>
      <x:c r="B1741" s="27" t="str">
        <x:v>S18-MATH-02</x:v>
      </x:c>
      <x:c r="C1741" s="27" t="str">
        <x:v>Divide fractions and operate with decimals</x:v>
      </x:c>
      <x:c r="D1741" s="27" t="str">
        <x:v>CONNECTS_TO</x:v>
      </x:c>
      <x:c r="E1741" s="27" t="str">
        <x:v>S18-MATH-02:CROSS</x:v>
      </x:c>
      <x:c r="F1741" s="27" t="str">
        <x:v>Physical quantity and spatial action; science measurement/models; computing/algorithms; finance; music rhythm/pattern; geographic data.</x:v>
      </x:c>
      <x:c r="G1741" s="27" t="str">
        <x:v>S18</x:v>
      </x:c>
      <x:c r="H1741" s="27" t="str">
        <x:v>Mathematics</x:v>
      </x:c>
      <x:c r="I1741" s="27" t="str">
        <x:v>SRC09</x:v>
      </x:c>
      <x:c r="J1741" s="27" t="str">
        <x:v>Parallel subject and representation links.</x:v>
      </x:c>
    </x:row>
    <x:row r="1742">
      <x:c r="A1742" s="27" t="str">
        <x:v>E01738</x:v>
      </x:c>
      <x:c r="B1742" s="27" t="str">
        <x:v>S18-MATH-02</x:v>
      </x:c>
      <x:c r="C1742" s="27" t="str">
        <x:v>Divide fractions and operate with decimals</x:v>
      </x:c>
      <x:c r="D1742" s="27" t="str">
        <x:v>UNLOCKS</x:v>
      </x:c>
      <x:c r="E1742" s="27" t="str">
        <x:v>S18-MATH-02:NEXT</x:v>
      </x:c>
      <x:c r="F1742" s="27" t="str">
        <x:v>Complete rational operations are needed for ratios, algebra, geometry, and science.</x:v>
      </x:c>
      <x:c r="G1742" s="27" t="str">
        <x:v>S18</x:v>
      </x:c>
      <x:c r="H1742" s="27" t="str">
        <x:v>Mathematics</x:v>
      </x:c>
      <x:c r="I1742" s="27" t="str">
        <x:v>SRC09</x:v>
      </x:c>
      <x:c r="J1742" s="27" t="str">
        <x:v>Outgoing use and placement rationale.</x:v>
      </x:c>
    </x:row>
    <x:row r="1743">
      <x:c r="A1743" s="27" t="str">
        <x:v>E01739</x:v>
      </x:c>
      <x:c r="B1743" s="27" t="str">
        <x:v>S18-MATH-02</x:v>
      </x:c>
      <x:c r="C1743" s="27" t="str">
        <x:v>Divide fractions and operate with decimals</x:v>
      </x:c>
      <x:c r="D1743" s="27" t="str">
        <x:v>VERIFIED_BY</x:v>
      </x:c>
      <x:c r="E1743" s="27" t="str">
        <x:v>S18-MATH-02:EVIDENCE</x:v>
      </x:c>
      <x:c r="F1743" s="27" t="str">
        <x:v>Models a fraction quotient and checks a decimal computation by estimation and inverse operation.</x:v>
      </x:c>
      <x:c r="G1743" s="27" t="str">
        <x:v>S18</x:v>
      </x:c>
      <x:c r="H1743" s="27" t="str">
        <x:v>Mathematics</x:v>
      </x:c>
      <x:c r="I1743" s="27" t="str">
        <x:v>SRC09</x:v>
      </x:c>
      <x:c r="J1743" s="27" t="str">
        <x:v>Observable evidence of usable learning.</x:v>
      </x:c>
    </x:row>
    <x:row r="1744">
      <x:c r="A1744" s="27" t="str">
        <x:v>E01740</x:v>
      </x:c>
      <x:c r="B1744" s="27" t="str">
        <x:v>S18-MATH-02</x:v>
      </x:c>
      <x:c r="C1744" s="27" t="str">
        <x:v>Previous node in domain progression</x:v>
      </x:c>
      <x:c r="D1744" s="27" t="str">
        <x:v>DOMAIN_SEQUENCE</x:v>
      </x:c>
      <x:c r="E1744" s="27" t="str">
        <x:v>S18-MATH-03</x:v>
      </x:c>
      <x:c r="F1744" s="27" t="str">
        <x:v>Negative numbers and absolute value</x:v>
      </x:c>
      <x:c r="G1744" s="27" t="str">
        <x:v>S18</x:v>
      </x:c>
      <x:c r="H1744" s="27" t="str">
        <x:v>Mathematics</x:v>
      </x:c>
      <x:c r="I1744" s="27" t="str">
        <x:v>SRC09</x:v>
      </x:c>
      <x:c r="J1744" s="27" t="str">
        <x:v>Ordered spiral link; consult explicit prerequisites for logical dependency.</x:v>
      </x:c>
    </x:row>
    <x:row r="1745">
      <x:c r="A1745" s="27" t="str">
        <x:v>E01741</x:v>
      </x:c>
      <x:c r="B1745" s="27" t="str">
        <x:v>S18-MATH-03:PREREQ</x:v>
      </x:c>
      <x:c r="C1745" s="27" t="str">
        <x:v>Whole-number order, fractions/decimals as numbers, and coordinate plane.</x:v>
      </x:c>
      <x:c r="D1745" s="27" t="str">
        <x:v>PREREQUISITE</x:v>
      </x:c>
      <x:c r="E1745" s="27" t="str">
        <x:v>S18-MATH-03</x:v>
      </x:c>
      <x:c r="F1745" s="27" t="str">
        <x:v>Negative numbers and absolute value</x:v>
      </x:c>
      <x:c r="G1745" s="27" t="str">
        <x:v>S18</x:v>
      </x:c>
      <x:c r="H1745" s="27" t="str">
        <x:v>Mathematics</x:v>
      </x:c>
      <x:c r="I1745" s="27" t="str">
        <x:v>SRC09</x:v>
      </x:c>
      <x:c r="J1745" s="27" t="str">
        <x:v>Incoming prerequisite relationship.</x:v>
      </x:c>
    </x:row>
    <x:row r="1746">
      <x:c r="A1746" s="27" t="str">
        <x:v>E01742</x:v>
      </x:c>
      <x:c r="B1746" s="27" t="str">
        <x:v>S18-MATH-03:GROUND</x:v>
      </x:c>
      <x:c r="C1746" s="27" t="str">
        <x:v>G5/G6 — Coordinated representations within an evidence-based formal system</x:v>
      </x:c>
      <x:c r="D1746" s="27" t="str">
        <x:v>GROUNDED_BY</x:v>
      </x:c>
      <x:c r="E1746" s="27" t="str">
        <x:v>S18-MATH-03</x:v>
      </x:c>
      <x:c r="F1746" s="27" t="str">
        <x:v>Negative numbers and absolute value</x:v>
      </x:c>
      <x:c r="G1746" s="27" t="str">
        <x:v>S18</x:v>
      </x:c>
      <x:c r="H1746" s="27" t="str">
        <x:v>Mathematics</x:v>
      </x:c>
      <x:c r="I1746" s="27" t="str">
        <x:v>SRC09</x:v>
      </x:c>
      <x:c r="J1746" s="27" t="str">
        <x:v>Grounding form used to preserve meaning.</x:v>
      </x:c>
    </x:row>
    <x:row r="1747">
      <x:c r="A1747" s="27" t="str">
        <x:v>E01743</x:v>
      </x:c>
      <x:c r="B1747" s="27" t="str">
        <x:v>S18-MATH-03</x:v>
      </x:c>
      <x:c r="C1747" s="27" t="str">
        <x:v>Negative numbers and absolute value</x:v>
      </x:c>
      <x:c r="D1747" s="27" t="str">
        <x:v>CONNECTS_TO</x:v>
      </x:c>
      <x:c r="E1747" s="27" t="str">
        <x:v>S18-MATH-03:CROSS</x:v>
      </x:c>
      <x:c r="F1747" s="27" t="str">
        <x:v>Physical quantity and spatial action; science measurement/models; computing/algorithms; finance; music rhythm/pattern; geographic data.</x:v>
      </x:c>
      <x:c r="G1747" s="27" t="str">
        <x:v>S18</x:v>
      </x:c>
      <x:c r="H1747" s="27" t="str">
        <x:v>Mathematics</x:v>
      </x:c>
      <x:c r="I1747" s="27" t="str">
        <x:v>SRC09</x:v>
      </x:c>
      <x:c r="J1747" s="27" t="str">
        <x:v>Parallel subject and representation links.</x:v>
      </x:c>
    </x:row>
    <x:row r="1748">
      <x:c r="A1748" s="27" t="str">
        <x:v>E01744</x:v>
      </x:c>
      <x:c r="B1748" s="27" t="str">
        <x:v>S18-MATH-03</x:v>
      </x:c>
      <x:c r="C1748" s="27" t="str">
        <x:v>Negative numbers and absolute value</x:v>
      </x:c>
      <x:c r="D1748" s="27" t="str">
        <x:v>UNLOCKS</x:v>
      </x:c>
      <x:c r="E1748" s="27" t="str">
        <x:v>S18-MATH-03:NEXT</x:v>
      </x:c>
      <x:c r="F1748" s="27" t="str">
        <x:v>Signed magnitude extends arithmetic and enables change, direction, and algebraic solutions.</x:v>
      </x:c>
      <x:c r="G1748" s="27" t="str">
        <x:v>S18</x:v>
      </x:c>
      <x:c r="H1748" s="27" t="str">
        <x:v>Mathematics</x:v>
      </x:c>
      <x:c r="I1748" s="27" t="str">
        <x:v>SRC09</x:v>
      </x:c>
      <x:c r="J1748" s="27" t="str">
        <x:v>Outgoing use and placement rationale.</x:v>
      </x:c>
    </x:row>
    <x:row r="1749">
      <x:c r="A1749" s="27" t="str">
        <x:v>E01745</x:v>
      </x:c>
      <x:c r="B1749" s="27" t="str">
        <x:v>S18-MATH-03</x:v>
      </x:c>
      <x:c r="C1749" s="27" t="str">
        <x:v>Negative numbers and absolute value</x:v>
      </x:c>
      <x:c r="D1749" s="27" t="str">
        <x:v>VERIFIED_BY</x:v>
      </x:c>
      <x:c r="E1749" s="27" t="str">
        <x:v>S18-MATH-03:EVIDENCE</x:v>
      </x:c>
      <x:c r="F1749" s="27" t="str">
        <x:v>Models a contextual comparison and distinguishes numerical order from absolute magnitude.</x:v>
      </x:c>
      <x:c r="G1749" s="27" t="str">
        <x:v>S18</x:v>
      </x:c>
      <x:c r="H1749" s="27" t="str">
        <x:v>Mathematics</x:v>
      </x:c>
      <x:c r="I1749" s="27" t="str">
        <x:v>SRC09</x:v>
      </x:c>
      <x:c r="J1749" s="27" t="str">
        <x:v>Observable evidence of usable learning.</x:v>
      </x:c>
    </x:row>
    <x:row r="1750">
      <x:c r="A1750" s="27" t="str">
        <x:v>E01746</x:v>
      </x:c>
      <x:c r="B1750" s="27" t="str">
        <x:v>S18-MATH-03</x:v>
      </x:c>
      <x:c r="C1750" s="27" t="str">
        <x:v>Previous node in domain progression</x:v>
      </x:c>
      <x:c r="D1750" s="27" t="str">
        <x:v>DOMAIN_SEQUENCE</x:v>
      </x:c>
      <x:c r="E1750" s="27" t="str">
        <x:v>S18-MATH-04</x:v>
      </x:c>
      <x:c r="F1750" s="27" t="str">
        <x:v>Variables, properties, and one-step equations</x:v>
      </x:c>
      <x:c r="G1750" s="27" t="str">
        <x:v>S18</x:v>
      </x:c>
      <x:c r="H1750" s="27" t="str">
        <x:v>Mathematics</x:v>
      </x:c>
      <x:c r="I1750" s="27" t="str">
        <x:v>SRC09</x:v>
      </x:c>
      <x:c r="J1750" s="27" t="str">
        <x:v>Ordered spiral link; consult explicit prerequisites for logical dependency.</x:v>
      </x:c>
    </x:row>
    <x:row r="1751">
      <x:c r="A1751" s="27" t="str">
        <x:v>E01747</x:v>
      </x:c>
      <x:c r="B1751" s="27" t="str">
        <x:v>S18-MATH-04:PREREQ</x:v>
      </x:c>
      <x:c r="C1751" s="27" t="str">
        <x:v>Grade 5 numerical expressions, unknowns, and operation properties.</x:v>
      </x:c>
      <x:c r="D1751" s="27" t="str">
        <x:v>PREREQUISITE</x:v>
      </x:c>
      <x:c r="E1751" s="27" t="str">
        <x:v>S18-MATH-04</x:v>
      </x:c>
      <x:c r="F1751" s="27" t="str">
        <x:v>Variables, properties, and one-step equations</x:v>
      </x:c>
      <x:c r="G1751" s="27" t="str">
        <x:v>S18</x:v>
      </x:c>
      <x:c r="H1751" s="27" t="str">
        <x:v>Mathematics</x:v>
      </x:c>
      <x:c r="I1751" s="27" t="str">
        <x:v>SRC09</x:v>
      </x:c>
      <x:c r="J1751" s="27" t="str">
        <x:v>Incoming prerequisite relationship.</x:v>
      </x:c>
    </x:row>
    <x:row r="1752">
      <x:c r="A1752" s="27" t="str">
        <x:v>E01748</x:v>
      </x:c>
      <x:c r="B1752" s="27" t="str">
        <x:v>S18-MATH-04:GROUND</x:v>
      </x:c>
      <x:c r="C1752" s="27" t="str">
        <x:v>G5/G6 — Coordinated representations within an evidence-based formal system</x:v>
      </x:c>
      <x:c r="D1752" s="27" t="str">
        <x:v>GROUNDED_BY</x:v>
      </x:c>
      <x:c r="E1752" s="27" t="str">
        <x:v>S18-MATH-04</x:v>
      </x:c>
      <x:c r="F1752" s="27" t="str">
        <x:v>Variables, properties, and one-step equations</x:v>
      </x:c>
      <x:c r="G1752" s="27" t="str">
        <x:v>S18</x:v>
      </x:c>
      <x:c r="H1752" s="27" t="str">
        <x:v>Mathematics</x:v>
      </x:c>
      <x:c r="I1752" s="27" t="str">
        <x:v>SRC09</x:v>
      </x:c>
      <x:c r="J1752" s="27" t="str">
        <x:v>Grounding form used to preserve meaning.</x:v>
      </x:c>
    </x:row>
    <x:row r="1753">
      <x:c r="A1753" s="27" t="str">
        <x:v>E01749</x:v>
      </x:c>
      <x:c r="B1753" s="27" t="str">
        <x:v>S18-MATH-04</x:v>
      </x:c>
      <x:c r="C1753" s="27" t="str">
        <x:v>Variables, properties, and one-step equations</x:v>
      </x:c>
      <x:c r="D1753" s="27" t="str">
        <x:v>CONNECTS_TO</x:v>
      </x:c>
      <x:c r="E1753" s="27" t="str">
        <x:v>S18-MATH-04:CROSS</x:v>
      </x:c>
      <x:c r="F1753" s="27" t="str">
        <x:v>Physical quantity and spatial action; science measurement/models; computing/algorithms; finance; music rhythm/pattern; geographic data.</x:v>
      </x:c>
      <x:c r="G1753" s="27" t="str">
        <x:v>S18</x:v>
      </x:c>
      <x:c r="H1753" s="27" t="str">
        <x:v>Mathematics</x:v>
      </x:c>
      <x:c r="I1753" s="27" t="str">
        <x:v>SRC09</x:v>
      </x:c>
      <x:c r="J1753" s="27" t="str">
        <x:v>Parallel subject and representation links.</x:v>
      </x:c>
    </x:row>
    <x:row r="1754">
      <x:c r="A1754" s="27" t="str">
        <x:v>E01750</x:v>
      </x:c>
      <x:c r="B1754" s="27" t="str">
        <x:v>S18-MATH-04</x:v>
      </x:c>
      <x:c r="C1754" s="27" t="str">
        <x:v>Variables, properties, and one-step equations</x:v>
      </x:c>
      <x:c r="D1754" s="27" t="str">
        <x:v>UNLOCKS</x:v>
      </x:c>
      <x:c r="E1754" s="27" t="str">
        <x:v>S18-MATH-04:NEXT</x:v>
      </x:c>
      <x:c r="F1754" s="27" t="str">
        <x:v>Letters now represent variable quantities and generalized relationships.</x:v>
      </x:c>
      <x:c r="G1754" s="27" t="str">
        <x:v>S18</x:v>
      </x:c>
      <x:c r="H1754" s="27" t="str">
        <x:v>Mathematics</x:v>
      </x:c>
      <x:c r="I1754" s="27" t="str">
        <x:v>SRC09</x:v>
      </x:c>
      <x:c r="J1754" s="27" t="str">
        <x:v>Outgoing use and placement rationale.</x:v>
      </x:c>
    </x:row>
    <x:row r="1755">
      <x:c r="A1755" s="27" t="str">
        <x:v>E01751</x:v>
      </x:c>
      <x:c r="B1755" s="27" t="str">
        <x:v>S18-MATH-04</x:v>
      </x:c>
      <x:c r="C1755" s="27" t="str">
        <x:v>Variables, properties, and one-step equations</x:v>
      </x:c>
      <x:c r="D1755" s="27" t="str">
        <x:v>VERIFIED_BY</x:v>
      </x:c>
      <x:c r="E1755" s="27" t="str">
        <x:v>S18-MATH-04:EVIDENCE</x:v>
      </x:c>
      <x:c r="F1755" s="27" t="str">
        <x:v>Translates a situation into an expression/equation and verifies the solution in context.</x:v>
      </x:c>
      <x:c r="G1755" s="27" t="str">
        <x:v>S18</x:v>
      </x:c>
      <x:c r="H1755" s="27" t="str">
        <x:v>Mathematics</x:v>
      </x:c>
      <x:c r="I1755" s="27" t="str">
        <x:v>SRC09</x:v>
      </x:c>
      <x:c r="J1755" s="27" t="str">
        <x:v>Observable evidence of usable learning.</x:v>
      </x:c>
    </x:row>
    <x:row r="1756">
      <x:c r="A1756" s="27" t="str">
        <x:v>E01752</x:v>
      </x:c>
      <x:c r="B1756" s="27" t="str">
        <x:v>S18-MATH-04</x:v>
      </x:c>
      <x:c r="C1756" s="27" t="str">
        <x:v>Previous node in domain progression</x:v>
      </x:c>
      <x:c r="D1756" s="27" t="str">
        <x:v>DOMAIN_SEQUENCE</x:v>
      </x:c>
      <x:c r="E1756" s="27" t="str">
        <x:v>S18-MATH-05</x:v>
      </x:c>
      <x:c r="F1756" s="27" t="str">
        <x:v>Area, surface area, and volume</x:v>
      </x:c>
      <x:c r="G1756" s="27" t="str">
        <x:v>S18</x:v>
      </x:c>
      <x:c r="H1756" s="27" t="str">
        <x:v>Mathematics</x:v>
      </x:c>
      <x:c r="I1756" s="27" t="str">
        <x:v>SRC09</x:v>
      </x:c>
      <x:c r="J1756" s="27" t="str">
        <x:v>Ordered spiral link; consult explicit prerequisites for logical dependency.</x:v>
      </x:c>
    </x:row>
    <x:row r="1757">
      <x:c r="A1757" s="27" t="str">
        <x:v>E01753</x:v>
      </x:c>
      <x:c r="B1757" s="27" t="str">
        <x:v>S18-MATH-05:PREREQ</x:v>
      </x:c>
      <x:c r="C1757" s="27" t="str">
        <x:v>Grade 5 volume, fraction multiplication, and coordinate geometry.</x:v>
      </x:c>
      <x:c r="D1757" s="27" t="str">
        <x:v>PREREQUISITE</x:v>
      </x:c>
      <x:c r="E1757" s="27" t="str">
        <x:v>S18-MATH-05</x:v>
      </x:c>
      <x:c r="F1757" s="27" t="str">
        <x:v>Area, surface area, and volume</x:v>
      </x:c>
      <x:c r="G1757" s="27" t="str">
        <x:v>S18</x:v>
      </x:c>
      <x:c r="H1757" s="27" t="str">
        <x:v>Mathematics</x:v>
      </x:c>
      <x:c r="I1757" s="27" t="str">
        <x:v>SRC09</x:v>
      </x:c>
      <x:c r="J1757" s="27" t="str">
        <x:v>Incoming prerequisite relationship.</x:v>
      </x:c>
    </x:row>
    <x:row r="1758">
      <x:c r="A1758" s="27" t="str">
        <x:v>E01754</x:v>
      </x:c>
      <x:c r="B1758" s="27" t="str">
        <x:v>S18-MATH-05:GROUND</x:v>
      </x:c>
      <x:c r="C1758" s="27" t="str">
        <x:v>G5/G6 — Coordinated representations within an evidence-based formal system</x:v>
      </x:c>
      <x:c r="D1758" s="27" t="str">
        <x:v>GROUNDED_BY</x:v>
      </x:c>
      <x:c r="E1758" s="27" t="str">
        <x:v>S18-MATH-05</x:v>
      </x:c>
      <x:c r="F1758" s="27" t="str">
        <x:v>Area, surface area, and volume</x:v>
      </x:c>
      <x:c r="G1758" s="27" t="str">
        <x:v>S18</x:v>
      </x:c>
      <x:c r="H1758" s="27" t="str">
        <x:v>Mathematics</x:v>
      </x:c>
      <x:c r="I1758" s="27" t="str">
        <x:v>SRC09</x:v>
      </x:c>
      <x:c r="J1758" s="27" t="str">
        <x:v>Grounding form used to preserve meaning.</x:v>
      </x:c>
    </x:row>
    <x:row r="1759">
      <x:c r="A1759" s="27" t="str">
        <x:v>E01755</x:v>
      </x:c>
      <x:c r="B1759" s="27" t="str">
        <x:v>S18-MATH-05</x:v>
      </x:c>
      <x:c r="C1759" s="27" t="str">
        <x:v>Area, surface area, and volume</x:v>
      </x:c>
      <x:c r="D1759" s="27" t="str">
        <x:v>CONNECTS_TO</x:v>
      </x:c>
      <x:c r="E1759" s="27" t="str">
        <x:v>S18-MATH-05:CROSS</x:v>
      </x:c>
      <x:c r="F1759" s="27" t="str">
        <x:v>Physical quantity and spatial action; science measurement/models; computing/algorithms; finance; music rhythm/pattern; geographic data.</x:v>
      </x:c>
      <x:c r="G1759" s="27" t="str">
        <x:v>S18</x:v>
      </x:c>
      <x:c r="H1759" s="27" t="str">
        <x:v>Mathematics</x:v>
      </x:c>
      <x:c r="I1759" s="27" t="str">
        <x:v>SRC09</x:v>
      </x:c>
      <x:c r="J1759" s="27" t="str">
        <x:v>Parallel subject and representation links.</x:v>
      </x:c>
    </x:row>
    <x:row r="1760">
      <x:c r="A1760" s="27" t="str">
        <x:v>E01756</x:v>
      </x:c>
      <x:c r="B1760" s="27" t="str">
        <x:v>S18-MATH-05</x:v>
      </x:c>
      <x:c r="C1760" s="27" t="str">
        <x:v>Area, surface area, and volume</x:v>
      </x:c>
      <x:c r="D1760" s="27" t="str">
        <x:v>UNLOCKS</x:v>
      </x:c>
      <x:c r="E1760" s="27" t="str">
        <x:v>S18-MATH-05:NEXT</x:v>
      </x:c>
      <x:c r="F1760" s="27" t="str">
        <x:v>Decomposition and formulas connect spatial structure to algebraic expressions.</x:v>
      </x:c>
      <x:c r="G1760" s="27" t="str">
        <x:v>S18</x:v>
      </x:c>
      <x:c r="H1760" s="27" t="str">
        <x:v>Mathematics</x:v>
      </x:c>
      <x:c r="I1760" s="27" t="str">
        <x:v>SRC09</x:v>
      </x:c>
      <x:c r="J1760" s="27" t="str">
        <x:v>Outgoing use and placement rationale.</x:v>
      </x:c>
    </x:row>
    <x:row r="1761">
      <x:c r="A1761" s="27" t="str">
        <x:v>E01757</x:v>
      </x:c>
      <x:c r="B1761" s="27" t="str">
        <x:v>S18-MATH-05</x:v>
      </x:c>
      <x:c r="C1761" s="27" t="str">
        <x:v>Area, surface area, and volume</x:v>
      </x:c>
      <x:c r="D1761" s="27" t="str">
        <x:v>VERIFIED_BY</x:v>
      </x:c>
      <x:c r="E1761" s="27" t="str">
        <x:v>S18-MATH-05:EVIDENCE</x:v>
      </x:c>
      <x:c r="F1761" s="27" t="str">
        <x:v>Decomposes a figure or net and justifies the formula/units used.</x:v>
      </x:c>
      <x:c r="G1761" s="27" t="str">
        <x:v>S18</x:v>
      </x:c>
      <x:c r="H1761" s="27" t="str">
        <x:v>Mathematics</x:v>
      </x:c>
      <x:c r="I1761" s="27" t="str">
        <x:v>SRC09</x:v>
      </x:c>
      <x:c r="J1761" s="27" t="str">
        <x:v>Observable evidence of usable learning.</x:v>
      </x:c>
    </x:row>
    <x:row r="1762">
      <x:c r="A1762" s="27" t="str">
        <x:v>E01758</x:v>
      </x:c>
      <x:c r="B1762" s="27" t="str">
        <x:v>S18-MATH-05</x:v>
      </x:c>
      <x:c r="C1762" s="27" t="str">
        <x:v>Previous node in domain progression</x:v>
      </x:c>
      <x:c r="D1762" s="27" t="str">
        <x:v>DOMAIN_SEQUENCE</x:v>
      </x:c>
      <x:c r="E1762" s="27" t="str">
        <x:v>S18-MATH-06</x:v>
      </x:c>
      <x:c r="F1762" s="27" t="str">
        <x:v>Statistical questions and distributions</x:v>
      </x:c>
      <x:c r="G1762" s="27" t="str">
        <x:v>S18</x:v>
      </x:c>
      <x:c r="H1762" s="27" t="str">
        <x:v>Mathematics</x:v>
      </x:c>
      <x:c r="I1762" s="27" t="str">
        <x:v>SRC09</x:v>
      </x:c>
      <x:c r="J1762" s="27" t="str">
        <x:v>Ordered spiral link; consult explicit prerequisites for logical dependency.</x:v>
      </x:c>
    </x:row>
    <x:row r="1763">
      <x:c r="A1763" s="27" t="str">
        <x:v>E01759</x:v>
      </x:c>
      <x:c r="B1763" s="27" t="str">
        <x:v>S18-MATH-06:PREREQ</x:v>
      </x:c>
      <x:c r="C1763" s="27" t="str">
        <x:v>Grade 5 line plots, fraction/decimal operations, and data questions.</x:v>
      </x:c>
      <x:c r="D1763" s="27" t="str">
        <x:v>PREREQUISITE</x:v>
      </x:c>
      <x:c r="E1763" s="27" t="str">
        <x:v>S18-MATH-06</x:v>
      </x:c>
      <x:c r="F1763" s="27" t="str">
        <x:v>Statistical questions and distributions</x:v>
      </x:c>
      <x:c r="G1763" s="27" t="str">
        <x:v>S18</x:v>
      </x:c>
      <x:c r="H1763" s="27" t="str">
        <x:v>Mathematics</x:v>
      </x:c>
      <x:c r="I1763" s="27" t="str">
        <x:v>SRC09</x:v>
      </x:c>
      <x:c r="J1763" s="27" t="str">
        <x:v>Incoming prerequisite relationship.</x:v>
      </x:c>
    </x:row>
    <x:row r="1764">
      <x:c r="A1764" s="27" t="str">
        <x:v>E01760</x:v>
      </x:c>
      <x:c r="B1764" s="27" t="str">
        <x:v>S18-MATH-06:GROUND</x:v>
      </x:c>
      <x:c r="C1764" s="27" t="str">
        <x:v>G5/G6 — Coordinated representations within an evidence-based formal system</x:v>
      </x:c>
      <x:c r="D1764" s="27" t="str">
        <x:v>GROUNDED_BY</x:v>
      </x:c>
      <x:c r="E1764" s="27" t="str">
        <x:v>S18-MATH-06</x:v>
      </x:c>
      <x:c r="F1764" s="27" t="str">
        <x:v>Statistical questions and distributions</x:v>
      </x:c>
      <x:c r="G1764" s="27" t="str">
        <x:v>S18</x:v>
      </x:c>
      <x:c r="H1764" s="27" t="str">
        <x:v>Mathematics</x:v>
      </x:c>
      <x:c r="I1764" s="27" t="str">
        <x:v>SRC09</x:v>
      </x:c>
      <x:c r="J1764" s="27" t="str">
        <x:v>Grounding form used to preserve meaning.</x:v>
      </x:c>
    </x:row>
    <x:row r="1765">
      <x:c r="A1765" s="27" t="str">
        <x:v>E01761</x:v>
      </x:c>
      <x:c r="B1765" s="27" t="str">
        <x:v>S18-MATH-06</x:v>
      </x:c>
      <x:c r="C1765" s="27" t="str">
        <x:v>Statistical questions and distributions</x:v>
      </x:c>
      <x:c r="D1765" s="27" t="str">
        <x:v>CONNECTS_TO</x:v>
      </x:c>
      <x:c r="E1765" s="27" t="str">
        <x:v>S18-MATH-06:CROSS</x:v>
      </x:c>
      <x:c r="F1765" s="27" t="str">
        <x:v>Physical quantity and spatial action; science measurement/models; computing/algorithms; finance; music rhythm/pattern; geographic data.</x:v>
      </x:c>
      <x:c r="G1765" s="27" t="str">
        <x:v>S18</x:v>
      </x:c>
      <x:c r="H1765" s="27" t="str">
        <x:v>Mathematics</x:v>
      </x:c>
      <x:c r="I1765" s="27" t="str">
        <x:v>SRC09</x:v>
      </x:c>
      <x:c r="J1765" s="27" t="str">
        <x:v>Parallel subject and representation links.</x:v>
      </x:c>
    </x:row>
    <x:row r="1766">
      <x:c r="A1766" s="27" t="str">
        <x:v>E01762</x:v>
      </x:c>
      <x:c r="B1766" s="27" t="str">
        <x:v>S18-MATH-06</x:v>
      </x:c>
      <x:c r="C1766" s="27" t="str">
        <x:v>Statistical questions and distributions</x:v>
      </x:c>
      <x:c r="D1766" s="27" t="str">
        <x:v>UNLOCKS</x:v>
      </x:c>
      <x:c r="E1766" s="27" t="str">
        <x:v>S18-MATH-06:NEXT</x:v>
      </x:c>
      <x:c r="F1766" s="27" t="str">
        <x:v>Variability changes data work from graph reading into statistical reasoning.</x:v>
      </x:c>
      <x:c r="G1766" s="27" t="str">
        <x:v>S18</x:v>
      </x:c>
      <x:c r="H1766" s="27" t="str">
        <x:v>Mathematics</x:v>
      </x:c>
      <x:c r="I1766" s="27" t="str">
        <x:v>SRC09</x:v>
      </x:c>
      <x:c r="J1766" s="27" t="str">
        <x:v>Outgoing use and placement rationale.</x:v>
      </x:c>
    </x:row>
    <x:row r="1767">
      <x:c r="A1767" s="27" t="str">
        <x:v>E01763</x:v>
      </x:c>
      <x:c r="B1767" s="27" t="str">
        <x:v>S18-MATH-06</x:v>
      </x:c>
      <x:c r="C1767" s="27" t="str">
        <x:v>Statistical questions and distributions</x:v>
      </x:c>
      <x:c r="D1767" s="27" t="str">
        <x:v>VERIFIED_BY</x:v>
      </x:c>
      <x:c r="E1767" s="27" t="str">
        <x:v>S18-MATH-06:EVIDENCE</x:v>
      </x:c>
      <x:c r="F1767" s="27" t="str">
        <x:v>Formulates a statistical question and writes a distribution description supported by calculated/visual evidence.</x:v>
      </x:c>
      <x:c r="G1767" s="27" t="str">
        <x:v>S18</x:v>
      </x:c>
      <x:c r="H1767" s="27" t="str">
        <x:v>Mathematics</x:v>
      </x:c>
      <x:c r="I1767" s="27" t="str">
        <x:v>SRC09</x:v>
      </x:c>
      <x:c r="J1767" s="27" t="str">
        <x:v>Observable evidence of usable learning.</x:v>
      </x:c>
    </x:row>
    <x:row r="1768">
      <x:c r="A1768" s="27" t="str">
        <x:v>E01764</x:v>
      </x:c>
      <x:c r="B1768" s="27" t="str">
        <x:v>S17-SCI-04</x:v>
      </x:c>
      <x:c r="C1768" s="27" t="str">
        <x:v>Previous node in domain progression</x:v>
      </x:c>
      <x:c r="D1768" s="27" t="str">
        <x:v>DOMAIN_SEQUENCE</x:v>
      </x:c>
      <x:c r="E1768" s="27" t="str">
        <x:v>S18-SCI-01</x:v>
      </x:c>
      <x:c r="F1768" s="27" t="str">
        <x:v>Matter, atoms/molecules, and thermal energy</x:v>
      </x:c>
      <x:c r="G1768" s="27" t="str">
        <x:v>S18</x:v>
      </x:c>
      <x:c r="H1768" s="27" t="str">
        <x:v>Science &amp; Engineering</x:v>
      </x:c>
      <x:c r="I1768" s="27" t="str">
        <x:v>SRC11</x:v>
      </x:c>
      <x:c r="J1768" s="27" t="str">
        <x:v>Ordered spiral link; consult explicit prerequisites for logical dependency.</x:v>
      </x:c>
    </x:row>
    <x:row r="1769">
      <x:c r="A1769" s="27" t="str">
        <x:v>E01765</x:v>
      </x:c>
      <x:c r="B1769" s="27" t="str">
        <x:v>S18-SCI-01:PREREQ</x:v>
      </x:c>
      <x:c r="C1769" s="27" t="str">
        <x:v>Grade 5 matter conservation, decimals, ratios, and model translation.</x:v>
      </x:c>
      <x:c r="D1769" s="27" t="str">
        <x:v>PREREQUISITE</x:v>
      </x:c>
      <x:c r="E1769" s="27" t="str">
        <x:v>S18-SCI-01</x:v>
      </x:c>
      <x:c r="F1769" s="27" t="str">
        <x:v>Matter, atoms/molecules, and thermal energy</x:v>
      </x:c>
      <x:c r="G1769" s="27" t="str">
        <x:v>S18</x:v>
      </x:c>
      <x:c r="H1769" s="27" t="str">
        <x:v>Science &amp; Engineering</x:v>
      </x:c>
      <x:c r="I1769" s="27" t="str">
        <x:v>SRC11</x:v>
      </x:c>
      <x:c r="J1769" s="27" t="str">
        <x:v>Incoming prerequisite relationship.</x:v>
      </x:c>
    </x:row>
    <x:row r="1770">
      <x:c r="A1770" s="27" t="str">
        <x:v>E01766</x:v>
      </x:c>
      <x:c r="B1770" s="27" t="str">
        <x:v>S18-SCI-01:GROUND</x:v>
      </x:c>
      <x:c r="C1770" s="27" t="str">
        <x:v>G5/G6 — Coordinated representations within an evidence-based formal system</x:v>
      </x:c>
      <x:c r="D1770" s="27" t="str">
        <x:v>GROUNDED_BY</x:v>
      </x:c>
      <x:c r="E1770" s="27" t="str">
        <x:v>S18-SCI-01</x:v>
      </x:c>
      <x:c r="F1770" s="27" t="str">
        <x:v>Matter, atoms/molecules, and thermal energy</x:v>
      </x:c>
      <x:c r="G1770" s="27" t="str">
        <x:v>S18</x:v>
      </x:c>
      <x:c r="H1770" s="27" t="str">
        <x:v>Science &amp; Engineering</x:v>
      </x:c>
      <x:c r="I1770" s="27" t="str">
        <x:v>SRC11</x:v>
      </x:c>
      <x:c r="J1770" s="27" t="str">
        <x:v>Grounding form used to preserve meaning.</x:v>
      </x:c>
    </x:row>
    <x:row r="1771">
      <x:c r="A1771" s="27" t="str">
        <x:v>E01767</x:v>
      </x:c>
      <x:c r="B1771" s="27" t="str">
        <x:v>S18-SCI-01</x:v>
      </x:c>
      <x:c r="C1771" s="27" t="str">
        <x:v>Matter, atoms/molecules, and thermal energy</x:v>
      </x:c>
      <x:c r="D1771" s="27" t="str">
        <x:v>CONNECTS_TO</x:v>
      </x:c>
      <x:c r="E1771" s="27" t="str">
        <x:v>S18-SCI-01:CROSS</x:v>
      </x:c>
      <x:c r="F1771" s="27" t="str">
        <x:v>Sensory observation and action; mathematics/data; reading/writing evidence; computing/models; health and environmental/civic decisions.</x:v>
      </x:c>
      <x:c r="G1771" s="27" t="str">
        <x:v>S18</x:v>
      </x:c>
      <x:c r="H1771" s="27" t="str">
        <x:v>Science &amp; Engineering</x:v>
      </x:c>
      <x:c r="I1771" s="27" t="str">
        <x:v>SRC11</x:v>
      </x:c>
      <x:c r="J1771" s="27" t="str">
        <x:v>Parallel subject and representation links.</x:v>
      </x:c>
    </x:row>
    <x:row r="1772">
      <x:c r="A1772" s="27" t="str">
        <x:v>E01768</x:v>
      </x:c>
      <x:c r="B1772" s="27" t="str">
        <x:v>S18-SCI-01</x:v>
      </x:c>
      <x:c r="C1772" s="27" t="str">
        <x:v>Matter, atoms/molecules, and thermal energy</x:v>
      </x:c>
      <x:c r="D1772" s="27" t="str">
        <x:v>UNLOCKS</x:v>
      </x:c>
      <x:c r="E1772" s="27" t="str">
        <x:v>S18-SCI-01:NEXT</x:v>
      </x:c>
      <x:c r="F1772" s="27" t="str">
        <x:v>Particle models explain macroscopic properties and reactions.</x:v>
      </x:c>
      <x:c r="G1772" s="27" t="str">
        <x:v>S18</x:v>
      </x:c>
      <x:c r="H1772" s="27" t="str">
        <x:v>Science &amp; Engineering</x:v>
      </x:c>
      <x:c r="I1772" s="27" t="str">
        <x:v>SRC11</x:v>
      </x:c>
      <x:c r="J1772" s="27" t="str">
        <x:v>Outgoing use and placement rationale.</x:v>
      </x:c>
    </x:row>
    <x:row r="1773">
      <x:c r="A1773" s="27" t="str">
        <x:v>E01769</x:v>
      </x:c>
      <x:c r="B1773" s="27" t="str">
        <x:v>S18-SCI-01</x:v>
      </x:c>
      <x:c r="C1773" s="27" t="str">
        <x:v>Matter, atoms/molecules, and thermal energy</x:v>
      </x:c>
      <x:c r="D1773" s="27" t="str">
        <x:v>VERIFIED_BY</x:v>
      </x:c>
      <x:c r="E1773" s="27" t="str">
        <x:v>S18-SCI-01:EVIDENCE</x:v>
      </x:c>
      <x:c r="F1773" s="27" t="str">
        <x:v>Uses a particle model plus data to explain a state or temperature change.</x:v>
      </x:c>
      <x:c r="G1773" s="27" t="str">
        <x:v>S18</x:v>
      </x:c>
      <x:c r="H1773" s="27" t="str">
        <x:v>Science &amp; Engineering</x:v>
      </x:c>
      <x:c r="I1773" s="27" t="str">
        <x:v>SRC11</x:v>
      </x:c>
      <x:c r="J1773" s="27" t="str">
        <x:v>Observable evidence of usable learning.</x:v>
      </x:c>
    </x:row>
    <x:row r="1774">
      <x:c r="A1774" s="27" t="str">
        <x:v>E01770</x:v>
      </x:c>
      <x:c r="B1774" s="27" t="str">
        <x:v>S18-SCI-01</x:v>
      </x:c>
      <x:c r="C1774" s="27" t="str">
        <x:v>Previous node in domain progression</x:v>
      </x:c>
      <x:c r="D1774" s="27" t="str">
        <x:v>DOMAIN_SEQUENCE</x:v>
      </x:c>
      <x:c r="E1774" s="27" t="str">
        <x:v>S18-SCI-02</x:v>
      </x:c>
      <x:c r="F1774" s="27" t="str">
        <x:v>Cells and body systems</x:v>
      </x:c>
      <x:c r="G1774" s="27" t="str">
        <x:v>S18</x:v>
      </x:c>
      <x:c r="H1774" s="27" t="str">
        <x:v>Science &amp; Engineering</x:v>
      </x:c>
      <x:c r="I1774" s="27" t="str">
        <x:v>SRC11</x:v>
      </x:c>
      <x:c r="J1774" s="27" t="str">
        <x:v>Ordered spiral link; consult explicit prerequisites for logical dependency.</x:v>
      </x:c>
    </x:row>
    <x:row r="1775">
      <x:c r="A1775" s="27" t="str">
        <x:v>E01771</x:v>
      </x:c>
      <x:c r="B1775" s="27" t="str">
        <x:v>S18-SCI-02:PREREQ</x:v>
      </x:c>
      <x:c r="C1775" s="27" t="str">
        <x:v>Grade 4 structures/sensing and Grade 5 matter-energy systems.</x:v>
      </x:c>
      <x:c r="D1775" s="27" t="str">
        <x:v>PREREQUISITE</x:v>
      </x:c>
      <x:c r="E1775" s="27" t="str">
        <x:v>S18-SCI-02</x:v>
      </x:c>
      <x:c r="F1775" s="27" t="str">
        <x:v>Cells and body systems</x:v>
      </x:c>
      <x:c r="G1775" s="27" t="str">
        <x:v>S18</x:v>
      </x:c>
      <x:c r="H1775" s="27" t="str">
        <x:v>Science &amp; Engineering</x:v>
      </x:c>
      <x:c r="I1775" s="27" t="str">
        <x:v>SRC11</x:v>
      </x:c>
      <x:c r="J1775" s="27" t="str">
        <x:v>Incoming prerequisite relationship.</x:v>
      </x:c>
    </x:row>
    <x:row r="1776">
      <x:c r="A1776" s="27" t="str">
        <x:v>E01772</x:v>
      </x:c>
      <x:c r="B1776" s="27" t="str">
        <x:v>S18-SCI-02:GROUND</x:v>
      </x:c>
      <x:c r="C1776" s="27" t="str">
        <x:v>G5/G6 — Coordinated representations within an evidence-based formal system</x:v>
      </x:c>
      <x:c r="D1776" s="27" t="str">
        <x:v>GROUNDED_BY</x:v>
      </x:c>
      <x:c r="E1776" s="27" t="str">
        <x:v>S18-SCI-02</x:v>
      </x:c>
      <x:c r="F1776" s="27" t="str">
        <x:v>Cells and body systems</x:v>
      </x:c>
      <x:c r="G1776" s="27" t="str">
        <x:v>S18</x:v>
      </x:c>
      <x:c r="H1776" s="27" t="str">
        <x:v>Science &amp; Engineering</x:v>
      </x:c>
      <x:c r="I1776" s="27" t="str">
        <x:v>SRC11</x:v>
      </x:c>
      <x:c r="J1776" s="27" t="str">
        <x:v>Grounding form used to preserve meaning.</x:v>
      </x:c>
    </x:row>
    <x:row r="1777">
      <x:c r="A1777" s="27" t="str">
        <x:v>E01773</x:v>
      </x:c>
      <x:c r="B1777" s="27" t="str">
        <x:v>S18-SCI-02</x:v>
      </x:c>
      <x:c r="C1777" s="27" t="str">
        <x:v>Cells and body systems</x:v>
      </x:c>
      <x:c r="D1777" s="27" t="str">
        <x:v>CONNECTS_TO</x:v>
      </x:c>
      <x:c r="E1777" s="27" t="str">
        <x:v>S18-SCI-02:CROSS</x:v>
      </x:c>
      <x:c r="F1777" s="27" t="str">
        <x:v>Sensory observation and action; mathematics/data; reading/writing evidence; computing/models; health and environmental/civic decisions.</x:v>
      </x:c>
      <x:c r="G1777" s="27" t="str">
        <x:v>S18</x:v>
      </x:c>
      <x:c r="H1777" s="27" t="str">
        <x:v>Science &amp; Engineering</x:v>
      </x:c>
      <x:c r="I1777" s="27" t="str">
        <x:v>SRC11</x:v>
      </x:c>
      <x:c r="J1777" s="27" t="str">
        <x:v>Parallel subject and representation links.</x:v>
      </x:c>
    </x:row>
    <x:row r="1778">
      <x:c r="A1778" s="27" t="str">
        <x:v>E01774</x:v>
      </x:c>
      <x:c r="B1778" s="27" t="str">
        <x:v>S18-SCI-02</x:v>
      </x:c>
      <x:c r="C1778" s="27" t="str">
        <x:v>Cells and body systems</x:v>
      </x:c>
      <x:c r="D1778" s="27" t="str">
        <x:v>UNLOCKS</x:v>
      </x:c>
      <x:c r="E1778" s="27" t="str">
        <x:v>S18-SCI-02:NEXT</x:v>
      </x:c>
      <x:c r="F1778" s="27" t="str">
        <x:v>Cell-to-system hierarchy is the organizing model for modern biology.</x:v>
      </x:c>
      <x:c r="G1778" s="27" t="str">
        <x:v>S18</x:v>
      </x:c>
      <x:c r="H1778" s="27" t="str">
        <x:v>Science &amp; Engineering</x:v>
      </x:c>
      <x:c r="I1778" s="27" t="str">
        <x:v>SRC11</x:v>
      </x:c>
      <x:c r="J1778" s="27" t="str">
        <x:v>Outgoing use and placement rationale.</x:v>
      </x:c>
    </x:row>
    <x:row r="1779">
      <x:c r="A1779" s="27" t="str">
        <x:v>E01775</x:v>
      </x:c>
      <x:c r="B1779" s="27" t="str">
        <x:v>S18-SCI-02</x:v>
      </x:c>
      <x:c r="C1779" s="27" t="str">
        <x:v>Cells and body systems</x:v>
      </x:c>
      <x:c r="D1779" s="27" t="str">
        <x:v>VERIFIED_BY</x:v>
      </x:c>
      <x:c r="E1779" s="27" t="str">
        <x:v>S18-SCI-02:EVIDENCE</x:v>
      </x:c>
      <x:c r="F1779" s="27" t="str">
        <x:v>Traces a function across cell, tissue, organ, and organ-system levels.</x:v>
      </x:c>
      <x:c r="G1779" s="27" t="str">
        <x:v>S18</x:v>
      </x:c>
      <x:c r="H1779" s="27" t="str">
        <x:v>Science &amp; Engineering</x:v>
      </x:c>
      <x:c r="I1779" s="27" t="str">
        <x:v>SRC11</x:v>
      </x:c>
      <x:c r="J1779" s="27" t="str">
        <x:v>Observable evidence of usable learning.</x:v>
      </x:c>
    </x:row>
    <x:row r="1780">
      <x:c r="A1780" s="27" t="str">
        <x:v>E01776</x:v>
      </x:c>
      <x:c r="B1780" s="27" t="str">
        <x:v>S18-SCI-02</x:v>
      </x:c>
      <x:c r="C1780" s="27" t="str">
        <x:v>Previous node in domain progression</x:v>
      </x:c>
      <x:c r="D1780" s="27" t="str">
        <x:v>DOMAIN_SEQUENCE</x:v>
      </x:c>
      <x:c r="E1780" s="27" t="str">
        <x:v>S18-SCI-03</x:v>
      </x:c>
      <x:c r="F1780" s="27" t="str">
        <x:v>Earth systems and geologic processes</x:v>
      </x:c>
      <x:c r="G1780" s="27" t="str">
        <x:v>S18</x:v>
      </x:c>
      <x:c r="H1780" s="27" t="str">
        <x:v>Science &amp; Engineering</x:v>
      </x:c>
      <x:c r="I1780" s="27" t="str">
        <x:v>SRC11</x:v>
      </x:c>
      <x:c r="J1780" s="27" t="str">
        <x:v>Ordered spiral link; consult explicit prerequisites for logical dependency.</x:v>
      </x:c>
    </x:row>
    <x:row r="1781">
      <x:c r="A1781" s="27" t="str">
        <x:v>E01777</x:v>
      </x:c>
      <x:c r="B1781" s="27" t="str">
        <x:v>S18-SCI-03:PREREQ</x:v>
      </x:c>
      <x:c r="C1781" s="27" t="str">
        <x:v>Grade 5 Earth systems, maps, rate/change, and distributions.</x:v>
      </x:c>
      <x:c r="D1781" s="27" t="str">
        <x:v>PREREQUISITE</x:v>
      </x:c>
      <x:c r="E1781" s="27" t="str">
        <x:v>S18-SCI-03</x:v>
      </x:c>
      <x:c r="F1781" s="27" t="str">
        <x:v>Earth systems and geologic processes</x:v>
      </x:c>
      <x:c r="G1781" s="27" t="str">
        <x:v>S18</x:v>
      </x:c>
      <x:c r="H1781" s="27" t="str">
        <x:v>Science &amp; Engineering</x:v>
      </x:c>
      <x:c r="I1781" s="27" t="str">
        <x:v>SRC11</x:v>
      </x:c>
      <x:c r="J1781" s="27" t="str">
        <x:v>Incoming prerequisite relationship.</x:v>
      </x:c>
    </x:row>
    <x:row r="1782">
      <x:c r="A1782" s="27" t="str">
        <x:v>E01778</x:v>
      </x:c>
      <x:c r="B1782" s="27" t="str">
        <x:v>S18-SCI-03:GROUND</x:v>
      </x:c>
      <x:c r="C1782" s="27" t="str">
        <x:v>G5/G6 — Coordinated representations within an evidence-based formal system</x:v>
      </x:c>
      <x:c r="D1782" s="27" t="str">
        <x:v>GROUNDED_BY</x:v>
      </x:c>
      <x:c r="E1782" s="27" t="str">
        <x:v>S18-SCI-03</x:v>
      </x:c>
      <x:c r="F1782" s="27" t="str">
        <x:v>Earth systems and geologic processes</x:v>
      </x:c>
      <x:c r="G1782" s="27" t="str">
        <x:v>S18</x:v>
      </x:c>
      <x:c r="H1782" s="27" t="str">
        <x:v>Science &amp; Engineering</x:v>
      </x:c>
      <x:c r="I1782" s="27" t="str">
        <x:v>SRC11</x:v>
      </x:c>
      <x:c r="J1782" s="27" t="str">
        <x:v>Grounding form used to preserve meaning.</x:v>
      </x:c>
    </x:row>
    <x:row r="1783">
      <x:c r="A1783" s="27" t="str">
        <x:v>E01779</x:v>
      </x:c>
      <x:c r="B1783" s="27" t="str">
        <x:v>S18-SCI-03</x:v>
      </x:c>
      <x:c r="C1783" s="27" t="str">
        <x:v>Earth systems and geologic processes</x:v>
      </x:c>
      <x:c r="D1783" s="27" t="str">
        <x:v>CONNECTS_TO</x:v>
      </x:c>
      <x:c r="E1783" s="27" t="str">
        <x:v>S18-SCI-03:CROSS</x:v>
      </x:c>
      <x:c r="F1783" s="27" t="str">
        <x:v>Sensory observation and action; mathematics/data; reading/writing evidence; computing/models; health and environmental/civic decisions.</x:v>
      </x:c>
      <x:c r="G1783" s="27" t="str">
        <x:v>S18</x:v>
      </x:c>
      <x:c r="H1783" s="27" t="str">
        <x:v>Science &amp; Engineering</x:v>
      </x:c>
      <x:c r="I1783" s="27" t="str">
        <x:v>SRC11</x:v>
      </x:c>
      <x:c r="J1783" s="27" t="str">
        <x:v>Parallel subject and representation links.</x:v>
      </x:c>
    </x:row>
    <x:row r="1784">
      <x:c r="A1784" s="27" t="str">
        <x:v>E01780</x:v>
      </x:c>
      <x:c r="B1784" s="27" t="str">
        <x:v>S18-SCI-03</x:v>
      </x:c>
      <x:c r="C1784" s="27" t="str">
        <x:v>Earth systems and geologic processes</x:v>
      </x:c>
      <x:c r="D1784" s="27" t="str">
        <x:v>UNLOCKS</x:v>
      </x:c>
      <x:c r="E1784" s="27" t="str">
        <x:v>S18-SCI-03:NEXT</x:v>
      </x:c>
      <x:c r="F1784" s="27" t="str">
        <x:v>Dynamic interacting systems connect local processes with deep time and human impacts.</x:v>
      </x:c>
      <x:c r="G1784" s="27" t="str">
        <x:v>S18</x:v>
      </x:c>
      <x:c r="H1784" s="27" t="str">
        <x:v>Science &amp; Engineering</x:v>
      </x:c>
      <x:c r="I1784" s="27" t="str">
        <x:v>SRC11</x:v>
      </x:c>
      <x:c r="J1784" s="27" t="str">
        <x:v>Outgoing use and placement rationale.</x:v>
      </x:c>
    </x:row>
    <x:row r="1785">
      <x:c r="A1785" s="27" t="str">
        <x:v>E01781</x:v>
      </x:c>
      <x:c r="B1785" s="27" t="str">
        <x:v>S18-SCI-03</x:v>
      </x:c>
      <x:c r="C1785" s="27" t="str">
        <x:v>Earth systems and geologic processes</x:v>
      </x:c>
      <x:c r="D1785" s="27" t="str">
        <x:v>VERIFIED_BY</x:v>
      </x:c>
      <x:c r="E1785" s="27" t="str">
        <x:v>S18-SCI-03:EVIDENCE</x:v>
      </x:c>
      <x:c r="F1785" s="27" t="str">
        <x:v>Builds a causal model supported by map, material, or time-scale evidence.</x:v>
      </x:c>
      <x:c r="G1785" s="27" t="str">
        <x:v>S18</x:v>
      </x:c>
      <x:c r="H1785" s="27" t="str">
        <x:v>Science &amp; Engineering</x:v>
      </x:c>
      <x:c r="I1785" s="27" t="str">
        <x:v>SRC11</x:v>
      </x:c>
      <x:c r="J1785" s="27" t="str">
        <x:v>Observable evidence of usable learning.</x:v>
      </x:c>
    </x:row>
    <x:row r="1786">
      <x:c r="A1786" s="27" t="str">
        <x:v>E01782</x:v>
      </x:c>
      <x:c r="B1786" s="27" t="str">
        <x:v>S17-SST-01</x:v>
      </x:c>
      <x:c r="C1786" s="27" t="str">
        <x:v>Previous node in domain progression</x:v>
      </x:c>
      <x:c r="D1786" s="27" t="str">
        <x:v>DOMAIN_SEQUENCE</x:v>
      </x:c>
      <x:c r="E1786" s="27" t="str">
        <x:v>S18-SST-01</x:v>
      </x:c>
      <x:c r="F1786" s="27" t="str">
        <x:v>Ancient civilizations and human systems</x:v>
      </x:c>
      <x:c r="G1786" s="27" t="str">
        <x:v>S18</x:v>
      </x:c>
      <x:c r="H1786" s="27" t="str">
        <x:v>Social Studies</x:v>
      </x:c>
      <x:c r="I1786" s="27" t="str">
        <x:v>SRC12; SRC24</x:v>
      </x:c>
      <x:c r="J1786" s="27" t="str">
        <x:v>Ordered spiral link; consult explicit prerequisites for logical dependency.</x:v>
      </x:c>
    </x:row>
    <x:row r="1787">
      <x:c r="A1787" s="27" t="str">
        <x:v>E01783</x:v>
      </x:c>
      <x:c r="B1787" s="27" t="str">
        <x:v>S18-SST-01:PREREQ</x:v>
      </x:c>
      <x:c r="C1787" s="27" t="str">
        <x:v>Grade 5 national/history inquiry, disciplinary literacy, and ratios/maps.</x:v>
      </x:c>
      <x:c r="D1787" s="27" t="str">
        <x:v>PREREQUISITE</x:v>
      </x:c>
      <x:c r="E1787" s="27" t="str">
        <x:v>S18-SST-01</x:v>
      </x:c>
      <x:c r="F1787" s="27" t="str">
        <x:v>Ancient civilizations and human systems</x:v>
      </x:c>
      <x:c r="G1787" s="27" t="str">
        <x:v>S18</x:v>
      </x:c>
      <x:c r="H1787" s="27" t="str">
        <x:v>Social Studies</x:v>
      </x:c>
      <x:c r="I1787" s="27" t="str">
        <x:v>SRC12; SRC24</x:v>
      </x:c>
      <x:c r="J1787" s="27" t="str">
        <x:v>Incoming prerequisite relationship.</x:v>
      </x:c>
    </x:row>
    <x:row r="1788">
      <x:c r="A1788" s="27" t="str">
        <x:v>E01784</x:v>
      </x:c>
      <x:c r="B1788" s="27" t="str">
        <x:v>S18-SST-01:GROUND</x:v>
      </x:c>
      <x:c r="C1788" s="27" t="str">
        <x:v>G5/G6 — Coordinated representations within an evidence-based formal system</x:v>
      </x:c>
      <x:c r="D1788" s="27" t="str">
        <x:v>GROUNDED_BY</x:v>
      </x:c>
      <x:c r="E1788" s="27" t="str">
        <x:v>S18-SST-01</x:v>
      </x:c>
      <x:c r="F1788" s="27" t="str">
        <x:v>Ancient civilizations and human systems</x:v>
      </x:c>
      <x:c r="G1788" s="27" t="str">
        <x:v>S18</x:v>
      </x:c>
      <x:c r="H1788" s="27" t="str">
        <x:v>Social Studies</x:v>
      </x:c>
      <x:c r="I1788" s="27" t="str">
        <x:v>SRC12; SRC24</x:v>
      </x:c>
      <x:c r="J1788" s="27" t="str">
        <x:v>Grounding form used to preserve meaning.</x:v>
      </x:c>
    </x:row>
    <x:row r="1789">
      <x:c r="A1789" s="27" t="str">
        <x:v>E01785</x:v>
      </x:c>
      <x:c r="B1789" s="27" t="str">
        <x:v>S18-SST-01</x:v>
      </x:c>
      <x:c r="C1789" s="27" t="str">
        <x:v>Ancient civilizations and human systems</x:v>
      </x:c>
      <x:c r="D1789" s="27" t="str">
        <x:v>CONNECTS_TO</x:v>
      </x:c>
      <x:c r="E1789" s="27" t="str">
        <x:v>S18-SST-01:CROSS</x:v>
      </x:c>
      <x:c r="F1789" s="27" t="str">
        <x:v>Language/literacy and source evidence; maps/data/economics; ethics/SEL; media literacy; arts/culture; civic action.</x:v>
      </x:c>
      <x:c r="G1789" s="27" t="str">
        <x:v>S18</x:v>
      </x:c>
      <x:c r="H1789" s="27" t="str">
        <x:v>Social Studies</x:v>
      </x:c>
      <x:c r="I1789" s="27" t="str">
        <x:v>SRC12; SRC24</x:v>
      </x:c>
      <x:c r="J1789" s="27" t="str">
        <x:v>Parallel subject and representation links.</x:v>
      </x:c>
    </x:row>
    <x:row r="1790">
      <x:c r="A1790" s="27" t="str">
        <x:v>E01786</x:v>
      </x:c>
      <x:c r="B1790" s="27" t="str">
        <x:v>S18-SST-01</x:v>
      </x:c>
      <x:c r="C1790" s="27" t="str">
        <x:v>Ancient civilizations and human systems</x:v>
      </x:c>
      <x:c r="D1790" s="27" t="str">
        <x:v>UNLOCKS</x:v>
      </x:c>
      <x:c r="E1790" s="27" t="str">
        <x:v>S18-SST-01:NEXT</x:v>
      </x:c>
      <x:c r="F1790" s="27" t="str">
        <x:v>Ancient-world comparison develops chronology, causation, continuity/change, and contextualization.</x:v>
      </x:c>
      <x:c r="G1790" s="27" t="str">
        <x:v>S18</x:v>
      </x:c>
      <x:c r="H1790" s="27" t="str">
        <x:v>Social Studies</x:v>
      </x:c>
      <x:c r="I1790" s="27" t="str">
        <x:v>SRC12; SRC24</x:v>
      </x:c>
      <x:c r="J1790" s="27" t="str">
        <x:v>Outgoing use and placement rationale.</x:v>
      </x:c>
    </x:row>
    <x:row r="1791">
      <x:c r="A1791" s="27" t="str">
        <x:v>E01787</x:v>
      </x:c>
      <x:c r="B1791" s="27" t="str">
        <x:v>S18-SST-01</x:v>
      </x:c>
      <x:c r="C1791" s="27" t="str">
        <x:v>Ancient civilizations and human systems</x:v>
      </x:c>
      <x:c r="D1791" s="27" t="str">
        <x:v>VERIFIED_BY</x:v>
      </x:c>
      <x:c r="E1791" s="27" t="str">
        <x:v>S18-SST-01:EVIDENCE</x:v>
      </x:c>
      <x:c r="F1791" s="27" t="str">
        <x:v>Answers a compelling question with corroborated evidence and a comparison that respects historical context.</x:v>
      </x:c>
      <x:c r="G1791" s="27" t="str">
        <x:v>S18</x:v>
      </x:c>
      <x:c r="H1791" s="27" t="str">
        <x:v>Social Studies</x:v>
      </x:c>
      <x:c r="I1791" s="27" t="str">
        <x:v>SRC12; SRC24</x:v>
      </x:c>
      <x:c r="J1791" s="27" t="str">
        <x:v>Observable evidence of usable learning.</x:v>
      </x:c>
    </x:row>
    <x:row r="1792">
      <x:c r="A1792" s="27" t="str">
        <x:v>E01788</x:v>
      </x:c>
      <x:c r="B1792" s="27" t="str">
        <x:v>S18-SST-01</x:v>
      </x:c>
      <x:c r="C1792" s="27" t="str">
        <x:v>Previous node in domain progression</x:v>
      </x:c>
      <x:c r="D1792" s="27" t="str">
        <x:v>DOMAIN_SEQUENCE</x:v>
      </x:c>
      <x:c r="E1792" s="27" t="str">
        <x:v>S18-SST-02</x:v>
      </x:c>
      <x:c r="F1792" s="27" t="str">
        <x:v>Institutions, scarcity, incentives, and public decisions</x:v>
      </x:c>
      <x:c r="G1792" s="27" t="str">
        <x:v>S18</x:v>
      </x:c>
      <x:c r="H1792" s="27" t="str">
        <x:v>Social Studies</x:v>
      </x:c>
      <x:c r="I1792" s="27" t="str">
        <x:v>SRC12</x:v>
      </x:c>
      <x:c r="J1792" s="27" t="str">
        <x:v>Ordered spiral link; consult explicit prerequisites for logical dependency.</x:v>
      </x:c>
    </x:row>
    <x:row r="1793">
      <x:c r="A1793" s="27" t="str">
        <x:v>E01789</x:v>
      </x:c>
      <x:c r="B1793" s="27" t="str">
        <x:v>S18-SST-02:PREREQ</x:v>
      </x:c>
      <x:c r="C1793" s="27" t="str">
        <x:v>Grade 5 government principles, opportunity cost, and argument anatomy.</x:v>
      </x:c>
      <x:c r="D1793" s="27" t="str">
        <x:v>PREREQUISITE</x:v>
      </x:c>
      <x:c r="E1793" s="27" t="str">
        <x:v>S18-SST-02</x:v>
      </x:c>
      <x:c r="F1793" s="27" t="str">
        <x:v>Institutions, scarcity, incentives, and public decisions</x:v>
      </x:c>
      <x:c r="G1793" s="27" t="str">
        <x:v>S18</x:v>
      </x:c>
      <x:c r="H1793" s="27" t="str">
        <x:v>Social Studies</x:v>
      </x:c>
      <x:c r="I1793" s="27" t="str">
        <x:v>SRC12</x:v>
      </x:c>
      <x:c r="J1793" s="27" t="str">
        <x:v>Incoming prerequisite relationship.</x:v>
      </x:c>
    </x:row>
    <x:row r="1794">
      <x:c r="A1794" s="27" t="str">
        <x:v>E01790</x:v>
      </x:c>
      <x:c r="B1794" s="27" t="str">
        <x:v>S18-SST-02:GROUND</x:v>
      </x:c>
      <x:c r="C1794" s="27" t="str">
        <x:v>G5/G6 — Coordinated representations within an evidence-based formal system</x:v>
      </x:c>
      <x:c r="D1794" s="27" t="str">
        <x:v>GROUNDED_BY</x:v>
      </x:c>
      <x:c r="E1794" s="27" t="str">
        <x:v>S18-SST-02</x:v>
      </x:c>
      <x:c r="F1794" s="27" t="str">
        <x:v>Institutions, scarcity, incentives, and public decisions</x:v>
      </x:c>
      <x:c r="G1794" s="27" t="str">
        <x:v>S18</x:v>
      </x:c>
      <x:c r="H1794" s="27" t="str">
        <x:v>Social Studies</x:v>
      </x:c>
      <x:c r="I1794" s="27" t="str">
        <x:v>SRC12</x:v>
      </x:c>
      <x:c r="J1794" s="27" t="str">
        <x:v>Grounding form used to preserve meaning.</x:v>
      </x:c>
    </x:row>
    <x:row r="1795">
      <x:c r="A1795" s="27" t="str">
        <x:v>E01791</x:v>
      </x:c>
      <x:c r="B1795" s="27" t="str">
        <x:v>S18-SST-02</x:v>
      </x:c>
      <x:c r="C1795" s="27" t="str">
        <x:v>Institutions, scarcity, incentives, and public decisions</x:v>
      </x:c>
      <x:c r="D1795" s="27" t="str">
        <x:v>CONNECTS_TO</x:v>
      </x:c>
      <x:c r="E1795" s="27" t="str">
        <x:v>S18-SST-02:CROSS</x:v>
      </x:c>
      <x:c r="F1795" s="27" t="str">
        <x:v>Language/literacy and source evidence; maps/data/economics; ethics/SEL; media literacy; arts/culture; civic action.</x:v>
      </x:c>
      <x:c r="G1795" s="27" t="str">
        <x:v>S18</x:v>
      </x:c>
      <x:c r="H1795" s="27" t="str">
        <x:v>Social Studies</x:v>
      </x:c>
      <x:c r="I1795" s="27" t="str">
        <x:v>SRC12</x:v>
      </x:c>
      <x:c r="J1795" s="27" t="str">
        <x:v>Parallel subject and representation links.</x:v>
      </x:c>
    </x:row>
    <x:row r="1796">
      <x:c r="A1796" s="27" t="str">
        <x:v>E01792</x:v>
      </x:c>
      <x:c r="B1796" s="27" t="str">
        <x:v>S18-SST-02</x:v>
      </x:c>
      <x:c r="C1796" s="27" t="str">
        <x:v>Institutions, scarcity, incentives, and public decisions</x:v>
      </x:c>
      <x:c r="D1796" s="27" t="str">
        <x:v>UNLOCKS</x:v>
      </x:c>
      <x:c r="E1796" s="27" t="str">
        <x:v>S18-SST-02:NEXT</x:v>
      </x:c>
      <x:c r="F1796" s="27" t="str">
        <x:v>Institutional and economic tools explain recurring patterns across history and current life.</x:v>
      </x:c>
      <x:c r="G1796" s="27" t="str">
        <x:v>S18</x:v>
      </x:c>
      <x:c r="H1796" s="27" t="str">
        <x:v>Social Studies</x:v>
      </x:c>
      <x:c r="I1796" s="27" t="str">
        <x:v>SRC12</x:v>
      </x:c>
      <x:c r="J1796" s="27" t="str">
        <x:v>Outgoing use and placement rationale.</x:v>
      </x:c>
    </x:row>
    <x:row r="1797">
      <x:c r="A1797" s="27" t="str">
        <x:v>E01793</x:v>
      </x:c>
      <x:c r="B1797" s="27" t="str">
        <x:v>S18-SST-02</x:v>
      </x:c>
      <x:c r="C1797" s="27" t="str">
        <x:v>Institutions, scarcity, incentives, and public decisions</x:v>
      </x:c>
      <x:c r="D1797" s="27" t="str">
        <x:v>VERIFIED_BY</x:v>
      </x:c>
      <x:c r="E1797" s="27" t="str">
        <x:v>S18-SST-02:EVIDENCE</x:v>
      </x:c>
      <x:c r="F1797" s="27" t="str">
        <x:v>Evaluates a decision using authority, stakeholder, incentive, cost, and evidence lenses.</x:v>
      </x:c>
      <x:c r="G1797" s="27" t="str">
        <x:v>S18</x:v>
      </x:c>
      <x:c r="H1797" s="27" t="str">
        <x:v>Social Studies</x:v>
      </x:c>
      <x:c r="I1797" s="27" t="str">
        <x:v>SRC12</x:v>
      </x:c>
      <x:c r="J1797" s="27" t="str">
        <x:v>Observable evidence of usable learning.</x:v>
      </x:c>
    </x:row>
    <x:row r="1798">
      <x:c r="A1798" s="27" t="str">
        <x:v>E01794</x:v>
      </x:c>
      <x:c r="B1798" s="27" t="str">
        <x:v>S17-ARTS-01</x:v>
      </x:c>
      <x:c r="C1798" s="27" t="str">
        <x:v>Previous node in domain progression</x:v>
      </x:c>
      <x:c r="D1798" s="27" t="str">
        <x:v>DOMAIN_SEQUENCE</x:v>
      </x:c>
      <x:c r="E1798" s="27" t="str">
        <x:v>S18-ARTS-01</x:v>
      </x:c>
      <x:c r="F1798" s="27" t="str">
        <x:v>Scales, chords, meter, form, and ensemble interpretation</x:v>
      </x:c>
      <x:c r="G1798" s="27" t="str">
        <x:v>S18</x:v>
      </x:c>
      <x:c r="H1798" s="27" t="str">
        <x:v>Music &amp; Arts</x:v>
      </x:c>
      <x:c r="I1798" s="27" t="str">
        <x:v>SRC13</x:v>
      </x:c>
      <x:c r="J1798" s="27" t="str">
        <x:v>Ordered spiral link; consult explicit prerequisites for logical dependency.</x:v>
      </x:c>
    </x:row>
    <x:row r="1799">
      <x:c r="A1799" s="27" t="str">
        <x:v>E01795</x:v>
      </x:c>
      <x:c r="B1799" s="27" t="str">
        <x:v>S18-ARTS-01:PREREQ</x:v>
      </x:c>
      <x:c r="C1799" s="27" t="str">
        <x:v>Grade 5 notation/harmony/context and fraction/ratio relationships.</x:v>
      </x:c>
      <x:c r="D1799" s="27" t="str">
        <x:v>PREREQUISITE</x:v>
      </x:c>
      <x:c r="E1799" s="27" t="str">
        <x:v>S18-ARTS-01</x:v>
      </x:c>
      <x:c r="F1799" s="27" t="str">
        <x:v>Scales, chords, meter, form, and ensemble interpretation</x:v>
      </x:c>
      <x:c r="G1799" s="27" t="str">
        <x:v>S18</x:v>
      </x:c>
      <x:c r="H1799" s="27" t="str">
        <x:v>Music &amp; Arts</x:v>
      </x:c>
      <x:c r="I1799" s="27" t="str">
        <x:v>SRC13</x:v>
      </x:c>
      <x:c r="J1799" s="27" t="str">
        <x:v>Incoming prerequisite relationship.</x:v>
      </x:c>
    </x:row>
    <x:row r="1800">
      <x:c r="A1800" s="27" t="str">
        <x:v>E01796</x:v>
      </x:c>
      <x:c r="B1800" s="27" t="str">
        <x:v>S18-ARTS-01:GROUND</x:v>
      </x:c>
      <x:c r="C1800" s="27" t="str">
        <x:v>G5/G6 — Coordinated representations within an evidence-based formal system</x:v>
      </x:c>
      <x:c r="D1800" s="27" t="str">
        <x:v>GROUNDED_BY</x:v>
      </x:c>
      <x:c r="E1800" s="27" t="str">
        <x:v>S18-ARTS-01</x:v>
      </x:c>
      <x:c r="F1800" s="27" t="str">
        <x:v>Scales, chords, meter, form, and ensemble interpretation</x:v>
      </x:c>
      <x:c r="G1800" s="27" t="str">
        <x:v>S18</x:v>
      </x:c>
      <x:c r="H1800" s="27" t="str">
        <x:v>Music &amp; Arts</x:v>
      </x:c>
      <x:c r="I1800" s="27" t="str">
        <x:v>SRC13</x:v>
      </x:c>
      <x:c r="J1800" s="27" t="str">
        <x:v>Grounding form used to preserve meaning.</x:v>
      </x:c>
    </x:row>
    <x:row r="1801">
      <x:c r="A1801" s="27" t="str">
        <x:v>E01797</x:v>
      </x:c>
      <x:c r="B1801" s="27" t="str">
        <x:v>S18-ARTS-01</x:v>
      </x:c>
      <x:c r="C1801" s="27" t="str">
        <x:v>Scales, chords, meter, form, and ensemble interpretation</x:v>
      </x:c>
      <x:c r="D1801" s="27" t="str">
        <x:v>CONNECTS_TO</x:v>
      </x:c>
      <x:c r="E1801" s="27" t="str">
        <x:v>S18-ARTS-01:CROSS</x:v>
      </x:c>
      <x:c r="F1801" s="27" t="str">
        <x:v>Sensory discrimination; motor timing; language/prosody; mathematics/pattern; history/culture; emotion, design, and technology.</x:v>
      </x:c>
      <x:c r="G1801" s="27" t="str">
        <x:v>S18</x:v>
      </x:c>
      <x:c r="H1801" s="27" t="str">
        <x:v>Music &amp; Arts</x:v>
      </x:c>
      <x:c r="I1801" s="27" t="str">
        <x:v>SRC13</x:v>
      </x:c>
      <x:c r="J1801" s="27" t="str">
        <x:v>Parallel subject and representation links.</x:v>
      </x:c>
    </x:row>
    <x:row r="1802">
      <x:c r="A1802" s="27" t="str">
        <x:v>E01798</x:v>
      </x:c>
      <x:c r="B1802" s="27" t="str">
        <x:v>S18-ARTS-01</x:v>
      </x:c>
      <x:c r="C1802" s="27" t="str">
        <x:v>Scales, chords, meter, form, and ensemble interpretation</x:v>
      </x:c>
      <x:c r="D1802" s="27" t="str">
        <x:v>UNLOCKS</x:v>
      </x:c>
      <x:c r="E1802" s="27" t="str">
        <x:v>S18-ARTS-01:NEXT</x:v>
      </x:c>
      <x:c r="F1802" s="27" t="str">
        <x:v>Tonal/rhythmic systems and interpretation prepare specialized ensemble, theory, composition, and technology pathways.</x:v>
      </x:c>
      <x:c r="G1802" s="27" t="str">
        <x:v>S18</x:v>
      </x:c>
      <x:c r="H1802" s="27" t="str">
        <x:v>Music &amp; Arts</x:v>
      </x:c>
      <x:c r="I1802" s="27" t="str">
        <x:v>SRC13</x:v>
      </x:c>
      <x:c r="J1802" s="27" t="str">
        <x:v>Outgoing use and placement rationale.</x:v>
      </x:c>
    </x:row>
    <x:row r="1803">
      <x:c r="A1803" s="27" t="str">
        <x:v>E01799</x:v>
      </x:c>
      <x:c r="B1803" s="27" t="str">
        <x:v>S18-ARTS-01</x:v>
      </x:c>
      <x:c r="C1803" s="27" t="str">
        <x:v>Scales, chords, meter, form, and ensemble interpretation</x:v>
      </x:c>
      <x:c r="D1803" s="27" t="str">
        <x:v>VERIFIED_BY</x:v>
      </x:c>
      <x:c r="E1803" s="27" t="str">
        <x:v>S18-ARTS-01:EVIDENCE</x:v>
      </x:c>
      <x:c r="F1803" s="27" t="str">
        <x:v>Performs or creates a complete work and defends technical/expressive decisions with criteria.</x:v>
      </x:c>
      <x:c r="G1803" s="27" t="str">
        <x:v>S18</x:v>
      </x:c>
      <x:c r="H1803" s="27" t="str">
        <x:v>Music &amp; Arts</x:v>
      </x:c>
      <x:c r="I1803" s="27" t="str">
        <x:v>SRC13</x:v>
      </x:c>
      <x:c r="J1803" s="27" t="str">
        <x:v>Observable evidence of usable learning.</x:v>
      </x:c>
    </x:row>
    <x:row r="1804">
      <x:c r="A1804" s="27" t="str">
        <x:v>E01800</x:v>
      </x:c>
      <x:c r="B1804" s="27" t="str">
        <x:v>S17-HLTH-01</x:v>
      </x:c>
      <x:c r="C1804" s="27" t="str">
        <x:v>Previous node in domain progression</x:v>
      </x:c>
      <x:c r="D1804" s="27" t="str">
        <x:v>DOMAIN_SEQUENCE</x:v>
      </x:c>
      <x:c r="E1804" s="27" t="str">
        <x:v>S18-HLTH-01</x:v>
      </x:c>
      <x:c r="F1804" s="27" t="str">
        <x:v>Puberty, mental health, consent/boundaries, and reliable help</x:v>
      </x:c>
      <x:c r="G1804" s="27" t="str">
        <x:v>S18</x:v>
      </x:c>
      <x:c r="H1804" s="27" t="str">
        <x:v>Physical &amp; Health</x:v>
      </x:c>
      <x:c r="I1804" s="27" t="str">
        <x:v>SRC15</x:v>
      </x:c>
      <x:c r="J1804" s="27" t="str">
        <x:v>Ordered spiral link; consult explicit prerequisites for logical dependency.</x:v>
      </x:c>
    </x:row>
    <x:row r="1805">
      <x:c r="A1805" s="27" t="str">
        <x:v>E01801</x:v>
      </x:c>
      <x:c r="B1805" s="27" t="str">
        <x:v>S18-HLTH-01:PREREQ</x:v>
      </x:c>
      <x:c r="C1805" s="27" t="str">
        <x:v>Grade 5 health goal, self-advocacy, and source evaluation.</x:v>
      </x:c>
      <x:c r="D1805" s="27" t="str">
        <x:v>PREREQUISITE</x:v>
      </x:c>
      <x:c r="E1805" s="27" t="str">
        <x:v>S18-HLTH-01</x:v>
      </x:c>
      <x:c r="F1805" s="27" t="str">
        <x:v>Puberty, mental health, consent/boundaries, and reliable help</x:v>
      </x:c>
      <x:c r="G1805" s="27" t="str">
        <x:v>S18</x:v>
      </x:c>
      <x:c r="H1805" s="27" t="str">
        <x:v>Physical &amp; Health</x:v>
      </x:c>
      <x:c r="I1805" s="27" t="str">
        <x:v>SRC15</x:v>
      </x:c>
      <x:c r="J1805" s="27" t="str">
        <x:v>Incoming prerequisite relationship.</x:v>
      </x:c>
    </x:row>
    <x:row r="1806">
      <x:c r="A1806" s="27" t="str">
        <x:v>E01802</x:v>
      </x:c>
      <x:c r="B1806" s="27" t="str">
        <x:v>S18-HLTH-01:GROUND</x:v>
      </x:c>
      <x:c r="C1806" s="27" t="str">
        <x:v>G5/G6 — Coordinated representations within an evidence-based formal system</x:v>
      </x:c>
      <x:c r="D1806" s="27" t="str">
        <x:v>GROUNDED_BY</x:v>
      </x:c>
      <x:c r="E1806" s="27" t="str">
        <x:v>S18-HLTH-01</x:v>
      </x:c>
      <x:c r="F1806" s="27" t="str">
        <x:v>Puberty, mental health, consent/boundaries, and reliable help</x:v>
      </x:c>
      <x:c r="G1806" s="27" t="str">
        <x:v>S18</x:v>
      </x:c>
      <x:c r="H1806" s="27" t="str">
        <x:v>Physical &amp; Health</x:v>
      </x:c>
      <x:c r="I1806" s="27" t="str">
        <x:v>SRC15</x:v>
      </x:c>
      <x:c r="J1806" s="27" t="str">
        <x:v>Grounding form used to preserve meaning.</x:v>
      </x:c>
    </x:row>
    <x:row r="1807">
      <x:c r="A1807" s="27" t="str">
        <x:v>E01803</x:v>
      </x:c>
      <x:c r="B1807" s="27" t="str">
        <x:v>S18-HLTH-01</x:v>
      </x:c>
      <x:c r="C1807" s="27" t="str">
        <x:v>Puberty, mental health, consent/boundaries, and reliable help</x:v>
      </x:c>
      <x:c r="D1807" s="27" t="str">
        <x:v>CONNECTS_TO</x:v>
      </x:c>
      <x:c r="E1807" s="27" t="str">
        <x:v>S18-HLTH-01:CROSS</x:v>
      </x:c>
      <x:c r="F1807" s="27" t="str">
        <x:v>Motor/sensory development; life science; measurement/data; SEL/self-management; communication, safety, and decision-making.</x:v>
      </x:c>
      <x:c r="G1807" s="27" t="str">
        <x:v>S18</x:v>
      </x:c>
      <x:c r="H1807" s="27" t="str">
        <x:v>Physical &amp; Health</x:v>
      </x:c>
      <x:c r="I1807" s="27" t="str">
        <x:v>SRC15</x:v>
      </x:c>
      <x:c r="J1807" s="27" t="str">
        <x:v>Parallel subject and representation links.</x:v>
      </x:c>
    </x:row>
    <x:row r="1808">
      <x:c r="A1808" s="27" t="str">
        <x:v>E01804</x:v>
      </x:c>
      <x:c r="B1808" s="27" t="str">
        <x:v>S18-HLTH-01</x:v>
      </x:c>
      <x:c r="C1808" s="27" t="str">
        <x:v>Puberty, mental health, consent/boundaries, and reliable help</x:v>
      </x:c>
      <x:c r="D1808" s="27" t="str">
        <x:v>UNLOCKS</x:v>
      </x:c>
      <x:c r="E1808" s="27" t="str">
        <x:v>S18-HLTH-01:NEXT</x:v>
      </x:c>
      <x:c r="F1808" s="27" t="str">
        <x:v>Accurate information and practiced communication support health-protective decisions during adolescence.</x:v>
      </x:c>
      <x:c r="G1808" s="27" t="str">
        <x:v>S18</x:v>
      </x:c>
      <x:c r="H1808" s="27" t="str">
        <x:v>Physical &amp; Health</x:v>
      </x:c>
      <x:c r="I1808" s="27" t="str">
        <x:v>SRC15</x:v>
      </x:c>
      <x:c r="J1808" s="27" t="str">
        <x:v>Outgoing use and placement rationale.</x:v>
      </x:c>
    </x:row>
    <x:row r="1809">
      <x:c r="A1809" s="27" t="str">
        <x:v>E01805</x:v>
      </x:c>
      <x:c r="B1809" s="27" t="str">
        <x:v>S18-HLTH-01</x:v>
      </x:c>
      <x:c r="C1809" s="27" t="str">
        <x:v>Puberty, mental health, consent/boundaries, and reliable help</x:v>
      </x:c>
      <x:c r="D1809" s="27" t="str">
        <x:v>VERIFIED_BY</x:v>
      </x:c>
      <x:c r="E1809" s="27" t="str">
        <x:v>S18-HLTH-01:EVIDENCE</x:v>
      </x:c>
      <x:c r="F1809" s="27" t="str">
        <x:v>Analyzes a scenario, identifies reliable help, and demonstrates clear boundary/help communication.</x:v>
      </x:c>
      <x:c r="G1809" s="27" t="str">
        <x:v>S18</x:v>
      </x:c>
      <x:c r="H1809" s="27" t="str">
        <x:v>Physical &amp; Health</x:v>
      </x:c>
      <x:c r="I1809" s="27" t="str">
        <x:v>SRC15</x:v>
      </x:c>
      <x:c r="J1809" s="27" t="str">
        <x:v>Observable evidence of usable learning.</x:v>
      </x:c>
    </x:row>
    <x:row r="1810">
      <x:c r="A1810" s="27" t="str">
        <x:v>E01806</x:v>
      </x:c>
      <x:c r="B1810" s="27" t="str">
        <x:v>S17-COMP-01</x:v>
      </x:c>
      <x:c r="C1810" s="27" t="str">
        <x:v>Previous node in domain progression</x:v>
      </x:c>
      <x:c r="D1810" s="27" t="str">
        <x:v>DOMAIN_SEQUENCE</x:v>
      </x:c>
      <x:c r="E1810" s="27" t="str">
        <x:v>S18-COMP-01</x:v>
      </x:c>
      <x:c r="F1810" s="27" t="str">
        <x:v>Algorithms, networks, cybersecurity, and data ethics</x:v>
      </x:c>
      <x:c r="G1810" s="27" t="str">
        <x:v>S18</x:v>
      </x:c>
      <x:c r="H1810" s="27" t="str">
        <x:v>Computing &amp; Media</x:v>
      </x:c>
      <x:c r="I1810" s="27" t="str">
        <x:v>SRC16</x:v>
      </x:c>
      <x:c r="J1810" s="27" t="str">
        <x:v>Ordered spiral link; consult explicit prerequisites for logical dependency.</x:v>
      </x:c>
    </x:row>
    <x:row r="1811">
      <x:c r="A1811" s="27" t="str">
        <x:v>E01807</x:v>
      </x:c>
      <x:c r="B1811" s="27" t="str">
        <x:v>S18-COMP-01:PREREQ</x:v>
      </x:c>
      <x:c r="C1811" s="27" t="str">
        <x:v>Grade 5 procedures/data/privacy and ratio/statistics thinking.</x:v>
      </x:c>
      <x:c r="D1811" s="27" t="str">
        <x:v>PREREQUISITE</x:v>
      </x:c>
      <x:c r="E1811" s="27" t="str">
        <x:v>S18-COMP-01</x:v>
      </x:c>
      <x:c r="F1811" s="27" t="str">
        <x:v>Algorithms, networks, cybersecurity, and data ethics</x:v>
      </x:c>
      <x:c r="G1811" s="27" t="str">
        <x:v>S18</x:v>
      </x:c>
      <x:c r="H1811" s="27" t="str">
        <x:v>Computing &amp; Media</x:v>
      </x:c>
      <x:c r="I1811" s="27" t="str">
        <x:v>SRC16</x:v>
      </x:c>
      <x:c r="J1811" s="27" t="str">
        <x:v>Incoming prerequisite relationship.</x:v>
      </x:c>
    </x:row>
    <x:row r="1812">
      <x:c r="A1812" s="27" t="str">
        <x:v>E01808</x:v>
      </x:c>
      <x:c r="B1812" s="27" t="str">
        <x:v>S18-COMP-01:GROUND</x:v>
      </x:c>
      <x:c r="C1812" s="27" t="str">
        <x:v>G5/G6 — Coordinated representations within an evidence-based formal system</x:v>
      </x:c>
      <x:c r="D1812" s="27" t="str">
        <x:v>GROUNDED_BY</x:v>
      </x:c>
      <x:c r="E1812" s="27" t="str">
        <x:v>S18-COMP-01</x:v>
      </x:c>
      <x:c r="F1812" s="27" t="str">
        <x:v>Algorithms, networks, cybersecurity, and data ethics</x:v>
      </x:c>
      <x:c r="G1812" s="27" t="str">
        <x:v>S18</x:v>
      </x:c>
      <x:c r="H1812" s="27" t="str">
        <x:v>Computing &amp; Media</x:v>
      </x:c>
      <x:c r="I1812" s="27" t="str">
        <x:v>SRC16</x:v>
      </x:c>
      <x:c r="J1812" s="27" t="str">
        <x:v>Grounding form used to preserve meaning.</x:v>
      </x:c>
    </x:row>
    <x:row r="1813">
      <x:c r="A1813" s="27" t="str">
        <x:v>E01809</x:v>
      </x:c>
      <x:c r="B1813" s="27" t="str">
        <x:v>S18-COMP-01</x:v>
      </x:c>
      <x:c r="C1813" s="27" t="str">
        <x:v>Algorithms, networks, cybersecurity, and data ethics</x:v>
      </x:c>
      <x:c r="D1813" s="27" t="str">
        <x:v>CONNECTS_TO</x:v>
      </x:c>
      <x:c r="E1813" s="27" t="str">
        <x:v>S18-COMP-01:CROSS</x:v>
      </x:c>
      <x:c r="F1813" s="27" t="str">
        <x:v>Mathematics/logic/data; language and media evidence; science/engineering models; art/design; civics, privacy, finance, and ethics.</x:v>
      </x:c>
      <x:c r="G1813" s="27" t="str">
        <x:v>S18</x:v>
      </x:c>
      <x:c r="H1813" s="27" t="str">
        <x:v>Computing &amp; Media</x:v>
      </x:c>
      <x:c r="I1813" s="27" t="str">
        <x:v>SRC16</x:v>
      </x:c>
      <x:c r="J1813" s="27" t="str">
        <x:v>Parallel subject and representation links.</x:v>
      </x:c>
    </x:row>
    <x:row r="1814">
      <x:c r="A1814" s="27" t="str">
        <x:v>E01810</x:v>
      </x:c>
      <x:c r="B1814" s="27" t="str">
        <x:v>S18-COMP-01</x:v>
      </x:c>
      <x:c r="C1814" s="27" t="str">
        <x:v>Algorithms, networks, cybersecurity, and data ethics</x:v>
      </x:c>
      <x:c r="D1814" s="27" t="str">
        <x:v>UNLOCKS</x:v>
      </x:c>
      <x:c r="E1814" s="27" t="str">
        <x:v>S18-COMP-01:NEXT</x:v>
      </x:c>
      <x:c r="F1814" s="27" t="str">
        <x:v>Technical systems and ethical impacts must be understood together.</x:v>
      </x:c>
      <x:c r="G1814" s="27" t="str">
        <x:v>S18</x:v>
      </x:c>
      <x:c r="H1814" s="27" t="str">
        <x:v>Computing &amp; Media</x:v>
      </x:c>
      <x:c r="I1814" s="27" t="str">
        <x:v>SRC16</x:v>
      </x:c>
      <x:c r="J1814" s="27" t="str">
        <x:v>Outgoing use and placement rationale.</x:v>
      </x:c>
    </x:row>
    <x:row r="1815">
      <x:c r="A1815" s="27" t="str">
        <x:v>E01811</x:v>
      </x:c>
      <x:c r="B1815" s="27" t="str">
        <x:v>S18-COMP-01</x:v>
      </x:c>
      <x:c r="C1815" s="27" t="str">
        <x:v>Algorithms, networks, cybersecurity, and data ethics</x:v>
      </x:c>
      <x:c r="D1815" s="27" t="str">
        <x:v>VERIFIED_BY</x:v>
      </x:c>
      <x:c r="E1815" s="27" t="str">
        <x:v>S18-COMP-01:EVIDENCE</x:v>
      </x:c>
      <x:c r="F1815" s="27" t="str">
        <x:v>Explains a system/algorithm and recommends a specific security or data-governance control.</x:v>
      </x:c>
      <x:c r="G1815" s="27" t="str">
        <x:v>S18</x:v>
      </x:c>
      <x:c r="H1815" s="27" t="str">
        <x:v>Computing &amp; Media</x:v>
      </x:c>
      <x:c r="I1815" s="27" t="str">
        <x:v>SRC16</x:v>
      </x:c>
      <x:c r="J1815" s="27" t="str">
        <x:v>Observable evidence of usable learning.</x:v>
      </x:c>
    </x:row>
    <x:row r="1816">
      <x:c r="A1816" s="27" t="str">
        <x:v>E01812</x:v>
      </x:c>
      <x:c r="B1816" s="27" t="str">
        <x:v>S17-WLANG-01</x:v>
      </x:c>
      <x:c r="C1816" s="27" t="str">
        <x:v>Previous node in domain progression</x:v>
      </x:c>
      <x:c r="D1816" s="27" t="str">
        <x:v>DOMAIN_SEQUENCE</x:v>
      </x:c>
      <x:c r="E1816" s="27" t="str">
        <x:v>S18-WLANG-01</x:v>
      </x:c>
      <x:c r="F1816" s="27" t="str">
        <x:v>Novice-high communication and cultural interpretation</x:v>
      </x:c>
      <x:c r="G1816" s="27" t="str">
        <x:v>S18</x:v>
      </x:c>
      <x:c r="H1816" s="27" t="str">
        <x:v>World Languages</x:v>
      </x:c>
      <x:c r="I1816" s="27" t="str">
        <x:v>SRC17</x:v>
      </x:c>
      <x:c r="J1816" s="27" t="str">
        <x:v>Ordered spiral link; consult explicit prerequisites for logical dependency.</x:v>
      </x:c>
    </x:row>
    <x:row r="1817">
      <x:c r="A1817" s="27" t="str">
        <x:v>E01813</x:v>
      </x:c>
      <x:c r="B1817" s="27" t="str">
        <x:v>S18-WLANG-01:PREREQ</x:v>
      </x:c>
      <x:c r="C1817" s="27" t="str">
        <x:v>Grade 5 novice communication cycle and sustained literacy strategies.</x:v>
      </x:c>
      <x:c r="D1817" s="27" t="str">
        <x:v>PREREQUISITE</x:v>
      </x:c>
      <x:c r="E1817" s="27" t="str">
        <x:v>S18-WLANG-01</x:v>
      </x:c>
      <x:c r="F1817" s="27" t="str">
        <x:v>Novice-high communication and cultural interpretation</x:v>
      </x:c>
      <x:c r="G1817" s="27" t="str">
        <x:v>S18</x:v>
      </x:c>
      <x:c r="H1817" s="27" t="str">
        <x:v>World Languages</x:v>
      </x:c>
      <x:c r="I1817" s="27" t="str">
        <x:v>SRC17</x:v>
      </x:c>
      <x:c r="J1817" s="27" t="str">
        <x:v>Incoming prerequisite relationship.</x:v>
      </x:c>
    </x:row>
    <x:row r="1818">
      <x:c r="A1818" s="27" t="str">
        <x:v>E01814</x:v>
      </x:c>
      <x:c r="B1818" s="27" t="str">
        <x:v>S18-WLANG-01:GROUND</x:v>
      </x:c>
      <x:c r="C1818" s="27" t="str">
        <x:v>G5/G6 — Coordinated representations within an evidence-based formal system</x:v>
      </x:c>
      <x:c r="D1818" s="27" t="str">
        <x:v>GROUNDED_BY</x:v>
      </x:c>
      <x:c r="E1818" s="27" t="str">
        <x:v>S18-WLANG-01</x:v>
      </x:c>
      <x:c r="F1818" s="27" t="str">
        <x:v>Novice-high communication and cultural interpretation</x:v>
      </x:c>
      <x:c r="G1818" s="27" t="str">
        <x:v>S18</x:v>
      </x:c>
      <x:c r="H1818" s="27" t="str">
        <x:v>World Languages</x:v>
      </x:c>
      <x:c r="I1818" s="27" t="str">
        <x:v>SRC17</x:v>
      </x:c>
      <x:c r="J1818" s="27" t="str">
        <x:v>Grounding form used to preserve meaning.</x:v>
      </x:c>
    </x:row>
    <x:row r="1819">
      <x:c r="A1819" s="27" t="str">
        <x:v>E01815</x:v>
      </x:c>
      <x:c r="B1819" s="27" t="str">
        <x:v>S18-WLANG-01</x:v>
      </x:c>
      <x:c r="C1819" s="27" t="str">
        <x:v>Novice-high communication and cultural interpretation</x:v>
      </x:c>
      <x:c r="D1819" s="27" t="str">
        <x:v>CONNECTS_TO</x:v>
      </x:c>
      <x:c r="E1819" s="27" t="str">
        <x:v>S18-WLANG-01:CROSS</x:v>
      </x:c>
      <x:c r="F1819" s="27" t="str">
        <x:v>Oral language, reading, and writing; memory/retrieval; social interaction; history/geography/arts; intercultural perspective.</x:v>
      </x:c>
      <x:c r="G1819" s="27" t="str">
        <x:v>S18</x:v>
      </x:c>
      <x:c r="H1819" s="27" t="str">
        <x:v>World Languages</x:v>
      </x:c>
      <x:c r="I1819" s="27" t="str">
        <x:v>SRC17</x:v>
      </x:c>
      <x:c r="J1819" s="27" t="str">
        <x:v>Parallel subject and representation links.</x:v>
      </x:c>
    </x:row>
    <x:row r="1820">
      <x:c r="A1820" s="27" t="str">
        <x:v>E01816</x:v>
      </x:c>
      <x:c r="B1820" s="27" t="str">
        <x:v>S18-WLANG-01</x:v>
      </x:c>
      <x:c r="C1820" s="27" t="str">
        <x:v>Novice-high communication and cultural interpretation</x:v>
      </x:c>
      <x:c r="D1820" s="27" t="str">
        <x:v>UNLOCKS</x:v>
      </x:c>
      <x:c r="E1820" s="27" t="str">
        <x:v>S18-WLANG-01:NEXT</x:v>
      </x:c>
      <x:c r="F1820" s="27" t="str">
        <x:v>Connected sentences and authentic interpretation move language use beyond memorized scripts.</x:v>
      </x:c>
      <x:c r="G1820" s="27" t="str">
        <x:v>S18</x:v>
      </x:c>
      <x:c r="H1820" s="27" t="str">
        <x:v>World Languages</x:v>
      </x:c>
      <x:c r="I1820" s="27" t="str">
        <x:v>SRC17</x:v>
      </x:c>
      <x:c r="J1820" s="27" t="str">
        <x:v>Outgoing use and placement rationale.</x:v>
      </x:c>
    </x:row>
    <x:row r="1821">
      <x:c r="A1821" s="27" t="str">
        <x:v>E01817</x:v>
      </x:c>
      <x:c r="B1821" s="27" t="str">
        <x:v>S18-WLANG-01</x:v>
      </x:c>
      <x:c r="C1821" s="27" t="str">
        <x:v>Novice-high communication and cultural interpretation</x:v>
      </x:c>
      <x:c r="D1821" s="27" t="str">
        <x:v>VERIFIED_BY</x:v>
      </x:c>
      <x:c r="E1821" s="27" t="str">
        <x:v>S18-WLANG-01:EVIDENCE</x:v>
      </x:c>
      <x:c r="F1821" s="27" t="str">
        <x:v>Completes an unscripted familiar interaction and supports an interpretation with source features.</x:v>
      </x:c>
      <x:c r="G1821" s="27" t="str">
        <x:v>S18</x:v>
      </x:c>
      <x:c r="H1821" s="27" t="str">
        <x:v>World Languages</x:v>
      </x:c>
      <x:c r="I1821" s="27" t="str">
        <x:v>SRC17</x:v>
      </x:c>
      <x:c r="J1821" s="27" t="str">
        <x:v>Observable evidence of usable learning.</x:v>
      </x:c>
    </x:row>
    <x:row r="1822">
      <x:c r="A1822" s="27" t="str">
        <x:v>E01818</x:v>
      </x:c>
      <x:c r="B1822" s="27" t="str">
        <x:v>S17-LIFE-01</x:v>
      </x:c>
      <x:c r="C1822" s="27" t="str">
        <x:v>Previous node in domain progression</x:v>
      </x:c>
      <x:c r="D1822" s="27" t="str">
        <x:v>DOMAIN_SEQUENCE</x:v>
      </x:c>
      <x:c r="E1822" s="27" t="str">
        <x:v>S18-LIFE-01</x:v>
      </x:c>
      <x:c r="F1822" s="27" t="str">
        <x:v>Percent, taxes, simple interest, and spending plans</x:v>
      </x:c>
      <x:c r="G1822" s="27" t="str">
        <x:v>S18</x:v>
      </x:c>
      <x:c r="H1822" s="27" t="str">
        <x:v>Life, Finance &amp; Career</x:v>
      </x:c>
      <x:c r="I1822" s="27" t="str">
        <x:v>SRC19</x:v>
      </x:c>
      <x:c r="J1822" s="27" t="str">
        <x:v>Ordered spiral link; consult explicit prerequisites for logical dependency.</x:v>
      </x:c>
    </x:row>
    <x:row r="1823">
      <x:c r="A1823" s="27" t="str">
        <x:v>E01819</x:v>
      </x:c>
      <x:c r="B1823" s="27" t="str">
        <x:v>S18-LIFE-01:PREREQ</x:v>
      </x:c>
      <x:c r="C1823" s="27" t="str">
        <x:v>Grade 5 interest/risk, ratios/unit rates, and decimal operations.</x:v>
      </x:c>
      <x:c r="D1823" s="27" t="str">
        <x:v>PREREQUISITE</x:v>
      </x:c>
      <x:c r="E1823" s="27" t="str">
        <x:v>S18-LIFE-01</x:v>
      </x:c>
      <x:c r="F1823" s="27" t="str">
        <x:v>Percent, taxes, simple interest, and spending plans</x:v>
      </x:c>
      <x:c r="G1823" s="27" t="str">
        <x:v>S18</x:v>
      </x:c>
      <x:c r="H1823" s="27" t="str">
        <x:v>Life, Finance &amp; Career</x:v>
      </x:c>
      <x:c r="I1823" s="27" t="str">
        <x:v>SRC19</x:v>
      </x:c>
      <x:c r="J1823" s="27" t="str">
        <x:v>Incoming prerequisite relationship.</x:v>
      </x:c>
    </x:row>
    <x:row r="1824">
      <x:c r="A1824" s="27" t="str">
        <x:v>E01820</x:v>
      </x:c>
      <x:c r="B1824" s="27" t="str">
        <x:v>S18-LIFE-01:GROUND</x:v>
      </x:c>
      <x:c r="C1824" s="27" t="str">
        <x:v>G5/G6 — Coordinated representations within an evidence-based formal system</x:v>
      </x:c>
      <x:c r="D1824" s="27" t="str">
        <x:v>GROUNDED_BY</x:v>
      </x:c>
      <x:c r="E1824" s="27" t="str">
        <x:v>S18-LIFE-01</x:v>
      </x:c>
      <x:c r="F1824" s="27" t="str">
        <x:v>Percent, taxes, simple interest, and spending plans</x:v>
      </x:c>
      <x:c r="G1824" s="27" t="str">
        <x:v>S18</x:v>
      </x:c>
      <x:c r="H1824" s="27" t="str">
        <x:v>Life, Finance &amp; Career</x:v>
      </x:c>
      <x:c r="I1824" s="27" t="str">
        <x:v>SRC19</x:v>
      </x:c>
      <x:c r="J1824" s="27" t="str">
        <x:v>Grounding form used to preserve meaning.</x:v>
      </x:c>
    </x:row>
    <x:row r="1825">
      <x:c r="A1825" s="27" t="str">
        <x:v>E01821</x:v>
      </x:c>
      <x:c r="B1825" s="27" t="str">
        <x:v>S18-LIFE-01</x:v>
      </x:c>
      <x:c r="C1825" s="27" t="str">
        <x:v>Percent, taxes, simple interest, and spending plans</x:v>
      </x:c>
      <x:c r="D1825" s="27" t="str">
        <x:v>CONNECTS_TO</x:v>
      </x:c>
      <x:c r="E1825" s="27" t="str">
        <x:v>S18-LIFE-01:CROSS</x:v>
      </x:c>
      <x:c r="F1825" s="27" t="str">
        <x:v>Mathematics/percent/growth; economics/civics; reading contracts/sources; computing/privacy; SEL, planning, and risk decisions.</x:v>
      </x:c>
      <x:c r="G1825" s="27" t="str">
        <x:v>S18</x:v>
      </x:c>
      <x:c r="H1825" s="27" t="str">
        <x:v>Life, Finance &amp; Career</x:v>
      </x:c>
      <x:c r="I1825" s="27" t="str">
        <x:v>SRC19</x:v>
      </x:c>
      <x:c r="J1825" s="27" t="str">
        <x:v>Parallel subject and representation links.</x:v>
      </x:c>
    </x:row>
    <x:row r="1826">
      <x:c r="A1826" s="27" t="str">
        <x:v>E01822</x:v>
      </x:c>
      <x:c r="B1826" s="27" t="str">
        <x:v>S18-LIFE-01</x:v>
      </x:c>
      <x:c r="C1826" s="27" t="str">
        <x:v>Percent, taxes, simple interest, and spending plans</x:v>
      </x:c>
      <x:c r="D1826" s="27" t="str">
        <x:v>UNLOCKS</x:v>
      </x:c>
      <x:c r="E1826" s="27" t="str">
        <x:v>S18-LIFE-01:NEXT</x:v>
      </x:c>
      <x:c r="F1826" s="27" t="str">
        <x:v>Percent translates proportional reasoning into common financial decisions.</x:v>
      </x:c>
      <x:c r="G1826" s="27" t="str">
        <x:v>S18</x:v>
      </x:c>
      <x:c r="H1826" s="27" t="str">
        <x:v>Life, Finance &amp; Career</x:v>
      </x:c>
      <x:c r="I1826" s="27" t="str">
        <x:v>SRC19</x:v>
      </x:c>
      <x:c r="J1826" s="27" t="str">
        <x:v>Outgoing use and placement rationale.</x:v>
      </x:c>
    </x:row>
    <x:row r="1827">
      <x:c r="A1827" s="27" t="str">
        <x:v>E01823</x:v>
      </x:c>
      <x:c r="B1827" s="27" t="str">
        <x:v>S18-LIFE-01</x:v>
      </x:c>
      <x:c r="C1827" s="27" t="str">
        <x:v>Percent, taxes, simple interest, and spending plans</x:v>
      </x:c>
      <x:c r="D1827" s="27" t="str">
        <x:v>VERIFIED_BY</x:v>
      </x:c>
      <x:c r="E1827" s="27" t="str">
        <x:v>S18-LIFE-01:EVIDENCE</x:v>
      </x:c>
      <x:c r="F1827" s="27" t="str">
        <x:v>Builds and checks a plan containing income, deductions, expenses, savings, and one percentage-based cost.</x:v>
      </x:c>
      <x:c r="G1827" s="27" t="str">
        <x:v>S18</x:v>
      </x:c>
      <x:c r="H1827" s="27" t="str">
        <x:v>Life, Finance &amp; Career</x:v>
      </x:c>
      <x:c r="I1827" s="27" t="str">
        <x:v>SRC19</x:v>
      </x:c>
      <x:c r="J1827" s="27" t="str">
        <x:v>Observable evidence of usable learning.</x:v>
      </x:c>
    </x:row>
    <x:row r="1828">
      <x:c r="A1828" s="27" t="str">
        <x:v>E01824</x:v>
      </x:c>
      <x:c r="B1828" s="27" t="str">
        <x:v>S18-LEARN-02</x:v>
      </x:c>
      <x:c r="C1828" s="27" t="str">
        <x:v>Previous node in domain progression</x:v>
      </x:c>
      <x:c r="D1828" s="27" t="str">
        <x:v>DOMAIN_SEQUENCE</x:v>
      </x:c>
      <x:c r="E1828" s="27" t="str">
        <x:v>S19-LEARN-01</x:v>
      </x:c>
      <x:c r="F1828" s="27" t="str">
        <x:v>Interleaving and discrimination</x:v>
      </x:c>
      <x:c r="G1828" s="27" t="str">
        <x:v>S19</x:v>
      </x:c>
      <x:c r="H1828" s="27" t="str">
        <x:v>Learning Foundations</x:v>
      </x:c>
      <x:c r="I1828" s="27" t="str">
        <x:v>SRC23; SRC29; SRC34</x:v>
      </x:c>
      <x:c r="J1828" s="27" t="str">
        <x:v>Ordered spiral link; consult explicit prerequisites for logical dependency.</x:v>
      </x:c>
    </x:row>
    <x:row r="1829">
      <x:c r="A1829" s="27" t="str">
        <x:v>E01825</x:v>
      </x:c>
      <x:c r="B1829" s="27" t="str">
        <x:v>S19-LEARN-01:PREREQ</x:v>
      </x:c>
      <x:c r="C1829" s="27" t="str">
        <x:v>Retrieval-feedback-spacing and representation mapping.</x:v>
      </x:c>
      <x:c r="D1829" s="27" t="str">
        <x:v>PREREQUISITE</x:v>
      </x:c>
      <x:c r="E1829" s="27" t="str">
        <x:v>S19-LEARN-01</x:v>
      </x:c>
      <x:c r="F1829" s="27" t="str">
        <x:v>Interleaving and discrimination</x:v>
      </x:c>
      <x:c r="G1829" s="27" t="str">
        <x:v>S19</x:v>
      </x:c>
      <x:c r="H1829" s="27" t="str">
        <x:v>Learning Foundations</x:v>
      </x:c>
      <x:c r="I1829" s="27" t="str">
        <x:v>SRC23; SRC29; SRC34</x:v>
      </x:c>
      <x:c r="J1829" s="27" t="str">
        <x:v>Incoming prerequisite relationship.</x:v>
      </x:c>
    </x:row>
    <x:row r="1830">
      <x:c r="A1830" s="27" t="str">
        <x:v>E01826</x:v>
      </x:c>
      <x:c r="B1830" s="27" t="str">
        <x:v>S19-LEARN-01:GROUND</x:v>
      </x:c>
      <x:c r="C1830" s="27" t="str">
        <x:v>G5/G6 — Coordinated representations within an evidence-based formal system</x:v>
      </x:c>
      <x:c r="D1830" s="27" t="str">
        <x:v>GROUNDED_BY</x:v>
      </x:c>
      <x:c r="E1830" s="27" t="str">
        <x:v>S19-LEARN-01</x:v>
      </x:c>
      <x:c r="F1830" s="27" t="str">
        <x:v>Interleaving and discrimination</x:v>
      </x:c>
      <x:c r="G1830" s="27" t="str">
        <x:v>S19</x:v>
      </x:c>
      <x:c r="H1830" s="27" t="str">
        <x:v>Learning Foundations</x:v>
      </x:c>
      <x:c r="I1830" s="27" t="str">
        <x:v>SRC23; SRC29; SRC34</x:v>
      </x:c>
      <x:c r="J1830" s="27" t="str">
        <x:v>Grounding form used to preserve meaning.</x:v>
      </x:c>
    </x:row>
    <x:row r="1831">
      <x:c r="A1831" s="27" t="str">
        <x:v>E01827</x:v>
      </x:c>
      <x:c r="B1831" s="27" t="str">
        <x:v>S19-LEARN-01</x:v>
      </x:c>
      <x:c r="C1831" s="27" t="str">
        <x:v>Interleaving and discrimination</x:v>
      </x:c>
      <x:c r="D1831" s="27" t="str">
        <x:v>CONNECTS_TO</x:v>
      </x:c>
      <x:c r="E1831" s="27" t="str">
        <x:v>S19-LEARN-01:CROSS</x:v>
      </x:c>
      <x:c r="F1831" s="27" t="str">
        <x:v>All domains: attention, memory, strategy choice, monitoring, retrieval, and transfer.</x:v>
      </x:c>
      <x:c r="G1831" s="27" t="str">
        <x:v>S19</x:v>
      </x:c>
      <x:c r="H1831" s="27" t="str">
        <x:v>Learning Foundations</x:v>
      </x:c>
      <x:c r="I1831" s="27" t="str">
        <x:v>SRC23; SRC29; SRC34</x:v>
      </x:c>
      <x:c r="J1831" s="27" t="str">
        <x:v>Parallel subject and representation links.</x:v>
      </x:c>
    </x:row>
    <x:row r="1832">
      <x:c r="A1832" s="27" t="str">
        <x:v>E01828</x:v>
      </x:c>
      <x:c r="B1832" s="27" t="str">
        <x:v>S19-LEARN-01</x:v>
      </x:c>
      <x:c r="C1832" s="27" t="str">
        <x:v>Interleaving and discrimination</x:v>
      </x:c>
      <x:c r="D1832" s="27" t="str">
        <x:v>UNLOCKS</x:v>
      </x:c>
      <x:c r="E1832" s="27" t="str">
        <x:v>S19-LEARN-01:NEXT</x:v>
      </x:c>
      <x:c r="F1832" s="27" t="str">
        <x:v>Interleaving trains when/why to use knowledge, which is necessary for transfer.</x:v>
      </x:c>
      <x:c r="G1832" s="27" t="str">
        <x:v>S19</x:v>
      </x:c>
      <x:c r="H1832" s="27" t="str">
        <x:v>Learning Foundations</x:v>
      </x:c>
      <x:c r="I1832" s="27" t="str">
        <x:v>SRC23; SRC29; SRC34</x:v>
      </x:c>
      <x:c r="J1832" s="27" t="str">
        <x:v>Outgoing use and placement rationale.</x:v>
      </x:c>
    </x:row>
    <x:row r="1833">
      <x:c r="A1833" s="27" t="str">
        <x:v>E01829</x:v>
      </x:c>
      <x:c r="B1833" s="27" t="str">
        <x:v>S19-LEARN-01</x:v>
      </x:c>
      <x:c r="C1833" s="27" t="str">
        <x:v>Interleaving and discrimination</x:v>
      </x:c>
      <x:c r="D1833" s="27" t="str">
        <x:v>VERIFIED_BY</x:v>
      </x:c>
      <x:c r="E1833" s="27" t="str">
        <x:v>S19-LEARN-01:EVIDENCE</x:v>
      </x:c>
      <x:c r="F1833" s="27" t="str">
        <x:v>Classifies mixed tasks, selects strategies without labels, and explains discriminating features.</x:v>
      </x:c>
      <x:c r="G1833" s="27" t="str">
        <x:v>S19</x:v>
      </x:c>
      <x:c r="H1833" s="27" t="str">
        <x:v>Learning Foundations</x:v>
      </x:c>
      <x:c r="I1833" s="27" t="str">
        <x:v>SRC23; SRC29; SRC34</x:v>
      </x:c>
      <x:c r="J1833" s="27" t="str">
        <x:v>Observable evidence of usable learning.</x:v>
      </x:c>
    </x:row>
    <x:row r="1834">
      <x:c r="A1834" s="27" t="str">
        <x:v>E01830</x:v>
      </x:c>
      <x:c r="B1834" s="27" t="str">
        <x:v>S18-SEL-01</x:v>
      </x:c>
      <x:c r="C1834" s="27" t="str">
        <x:v>Previous node in domain progression</x:v>
      </x:c>
      <x:c r="D1834" s="27" t="str">
        <x:v>DOMAIN_SEQUENCE</x:v>
      </x:c>
      <x:c r="E1834" s="27" t="str">
        <x:v>S19-SEL-01</x:v>
      </x:c>
      <x:c r="F1834" s="27" t="str">
        <x:v>Values, evidence, pressure, and long-term effects</x:v>
      </x:c>
      <x:c r="G1834" s="27" t="str">
        <x:v>S19</x:v>
      </x:c>
      <x:c r="H1834" s="27" t="str">
        <x:v>Social-Emotional</x:v>
      </x:c>
      <x:c r="I1834" s="27" t="str">
        <x:v>SRC18</x:v>
      </x:c>
      <x:c r="J1834" s="27" t="str">
        <x:v>Ordered spiral link; consult explicit prerequisites for logical dependency.</x:v>
      </x:c>
    </x:row>
    <x:row r="1835">
      <x:c r="A1835" s="27" t="str">
        <x:v>E01831</x:v>
      </x:c>
      <x:c r="B1835" s="27" t="str">
        <x:v>S19-SEL-01:PREREQ</x:v>
      </x:c>
      <x:c r="C1835" s="27" t="str">
        <x:v>Grade 6 identity/advocacy, argument evaluation, and consequence analysis.</x:v>
      </x:c>
      <x:c r="D1835" s="27" t="str">
        <x:v>PREREQUISITE</x:v>
      </x:c>
      <x:c r="E1835" s="27" t="str">
        <x:v>S19-SEL-01</x:v>
      </x:c>
      <x:c r="F1835" s="27" t="str">
        <x:v>Values, evidence, pressure, and long-term effects</x:v>
      </x:c>
      <x:c r="G1835" s="27" t="str">
        <x:v>S19</x:v>
      </x:c>
      <x:c r="H1835" s="27" t="str">
        <x:v>Social-Emotional</x:v>
      </x:c>
      <x:c r="I1835" s="27" t="str">
        <x:v>SRC18</x:v>
      </x:c>
      <x:c r="J1835" s="27" t="str">
        <x:v>Incoming prerequisite relationship.</x:v>
      </x:c>
    </x:row>
    <x:row r="1836">
      <x:c r="A1836" s="27" t="str">
        <x:v>E01832</x:v>
      </x:c>
      <x:c r="B1836" s="27" t="str">
        <x:v>S19-SEL-01:GROUND</x:v>
      </x:c>
      <x:c r="C1836" s="27" t="str">
        <x:v>G5/G6 — Coordinated representations within an evidence-based formal system</x:v>
      </x:c>
      <x:c r="D1836" s="27" t="str">
        <x:v>GROUNDED_BY</x:v>
      </x:c>
      <x:c r="E1836" s="27" t="str">
        <x:v>S19-SEL-01</x:v>
      </x:c>
      <x:c r="F1836" s="27" t="str">
        <x:v>Values, evidence, pressure, and long-term effects</x:v>
      </x:c>
      <x:c r="G1836" s="27" t="str">
        <x:v>S19</x:v>
      </x:c>
      <x:c r="H1836" s="27" t="str">
        <x:v>Social-Emotional</x:v>
      </x:c>
      <x:c r="I1836" s="27" t="str">
        <x:v>SRC18</x:v>
      </x:c>
      <x:c r="J1836" s="27" t="str">
        <x:v>Grounding form used to preserve meaning.</x:v>
      </x:c>
    </x:row>
    <x:row r="1837">
      <x:c r="A1837" s="27" t="str">
        <x:v>E01833</x:v>
      </x:c>
      <x:c r="B1837" s="27" t="str">
        <x:v>S19-SEL-01</x:v>
      </x:c>
      <x:c r="C1837" s="27" t="str">
        <x:v>Values, evidence, pressure, and long-term effects</x:v>
      </x:c>
      <x:c r="D1837" s="27" t="str">
        <x:v>CONNECTS_TO</x:v>
      </x:c>
      <x:c r="E1837" s="27" t="str">
        <x:v>S19-SEL-01:CROSS</x:v>
      </x:c>
      <x:c r="F1837" s="27" t="str">
        <x:v>Language and communication; health; collaboration in science, arts, civics, and projects; responsible digital/financial decisions.</x:v>
      </x:c>
      <x:c r="G1837" s="27" t="str">
        <x:v>S19</x:v>
      </x:c>
      <x:c r="H1837" s="27" t="str">
        <x:v>Social-Emotional</x:v>
      </x:c>
      <x:c r="I1837" s="27" t="str">
        <x:v>SRC18</x:v>
      </x:c>
      <x:c r="J1837" s="27" t="str">
        <x:v>Parallel subject and representation links.</x:v>
      </x:c>
    </x:row>
    <x:row r="1838">
      <x:c r="A1838" s="27" t="str">
        <x:v>E01834</x:v>
      </x:c>
      <x:c r="B1838" s="27" t="str">
        <x:v>S19-SEL-01</x:v>
      </x:c>
      <x:c r="C1838" s="27" t="str">
        <x:v>Values, evidence, pressure, and long-term effects</x:v>
      </x:c>
      <x:c r="D1838" s="27" t="str">
        <x:v>UNLOCKS</x:v>
      </x:c>
      <x:c r="E1838" s="27" t="str">
        <x:v>S19-SEL-01:NEXT</x:v>
      </x:c>
      <x:c r="F1838" s="27" t="str">
        <x:v>A multi-factor decision model supports health, digital, financial, and civic judgment.</x:v>
      </x:c>
      <x:c r="G1838" s="27" t="str">
        <x:v>S19</x:v>
      </x:c>
      <x:c r="H1838" s="27" t="str">
        <x:v>Social-Emotional</x:v>
      </x:c>
      <x:c r="I1838" s="27" t="str">
        <x:v>SRC18</x:v>
      </x:c>
      <x:c r="J1838" s="27" t="str">
        <x:v>Outgoing use and placement rationale.</x:v>
      </x:c>
    </x:row>
    <x:row r="1839">
      <x:c r="A1839" s="27" t="str">
        <x:v>E01835</x:v>
      </x:c>
      <x:c r="B1839" s="27" t="str">
        <x:v>S19-SEL-01</x:v>
      </x:c>
      <x:c r="C1839" s="27" t="str">
        <x:v>Values, evidence, pressure, and long-term effects</x:v>
      </x:c>
      <x:c r="D1839" s="27" t="str">
        <x:v>VERIFIED_BY</x:v>
      </x:c>
      <x:c r="E1839" s="27" t="str">
        <x:v>S19-SEL-01:EVIDENCE</x:v>
      </x:c>
      <x:c r="F1839" s="27" t="str">
        <x:v>Documents options and reaches a reasoned decision while naming uncertainty and influence.</x:v>
      </x:c>
      <x:c r="G1839" s="27" t="str">
        <x:v>S19</x:v>
      </x:c>
      <x:c r="H1839" s="27" t="str">
        <x:v>Social-Emotional</x:v>
      </x:c>
      <x:c r="I1839" s="27" t="str">
        <x:v>SRC18</x:v>
      </x:c>
      <x:c r="J1839" s="27" t="str">
        <x:v>Observable evidence of usable learning.</x:v>
      </x:c>
    </x:row>
    <x:row r="1840">
      <x:c r="A1840" s="27" t="str">
        <x:v>E01836</x:v>
      </x:c>
      <x:c r="B1840" s="27" t="str">
        <x:v>S18-READ-03</x:v>
      </x:c>
      <x:c r="C1840" s="27" t="str">
        <x:v>Previous node in domain progression</x:v>
      </x:c>
      <x:c r="D1840" s="27" t="str">
        <x:v>DOMAIN_SEQUENCE</x:v>
      </x:c>
      <x:c r="E1840" s="27" t="str">
        <x:v>S19-READ-01</x:v>
      </x:c>
      <x:c r="F1840" s="27" t="str">
        <x:v>Theme interaction and craft</x:v>
      </x:c>
      <x:c r="G1840" s="27" t="str">
        <x:v>S19</x:v>
      </x:c>
      <x:c r="H1840" s="27" t="str">
        <x:v>Reading</x:v>
      </x:c>
      <x:c r="I1840" s="27" t="str">
        <x:v>SRC10</x:v>
      </x:c>
      <x:c r="J1840" s="27" t="str">
        <x:v>Ordered spiral link; consult explicit prerequisites for logical dependency.</x:v>
      </x:c>
    </x:row>
    <x:row r="1841">
      <x:c r="A1841" s="27" t="str">
        <x:v>E01837</x:v>
      </x:c>
      <x:c r="B1841" s="27" t="str">
        <x:v>S19-READ-01:PREREQ</x:v>
      </x:c>
      <x:c r="C1841" s="27" t="str">
        <x:v>Grade 6 central-idea development and author analysis.</x:v>
      </x:c>
      <x:c r="D1841" s="27" t="str">
        <x:v>PREREQUISITE</x:v>
      </x:c>
      <x:c r="E1841" s="27" t="str">
        <x:v>S19-READ-01</x:v>
      </x:c>
      <x:c r="F1841" s="27" t="str">
        <x:v>Theme interaction and craft</x:v>
      </x:c>
      <x:c r="G1841" s="27" t="str">
        <x:v>S19</x:v>
      </x:c>
      <x:c r="H1841" s="27" t="str">
        <x:v>Reading</x:v>
      </x:c>
      <x:c r="I1841" s="27" t="str">
        <x:v>SRC10</x:v>
      </x:c>
      <x:c r="J1841" s="27" t="str">
        <x:v>Incoming prerequisite relationship.</x:v>
      </x:c>
    </x:row>
    <x:row r="1842">
      <x:c r="A1842" s="27" t="str">
        <x:v>E01838</x:v>
      </x:c>
      <x:c r="B1842" s="27" t="str">
        <x:v>S19-READ-01:GROUND</x:v>
      </x:c>
      <x:c r="C1842" s="27" t="str">
        <x:v>G5/G6 — Coordinated representations within an evidence-based formal system</x:v>
      </x:c>
      <x:c r="D1842" s="27" t="str">
        <x:v>GROUNDED_BY</x:v>
      </x:c>
      <x:c r="E1842" s="27" t="str">
        <x:v>S19-READ-01</x:v>
      </x:c>
      <x:c r="F1842" s="27" t="str">
        <x:v>Theme interaction and craft</x:v>
      </x:c>
      <x:c r="G1842" s="27" t="str">
        <x:v>S19</x:v>
      </x:c>
      <x:c r="H1842" s="27" t="str">
        <x:v>Reading</x:v>
      </x:c>
      <x:c r="I1842" s="27" t="str">
        <x:v>SRC10</x:v>
      </x:c>
      <x:c r="J1842" s="27" t="str">
        <x:v>Grounding form used to preserve meaning.</x:v>
      </x:c>
    </x:row>
    <x:row r="1843">
      <x:c r="A1843" s="27" t="str">
        <x:v>E01839</x:v>
      </x:c>
      <x:c r="B1843" s="27" t="str">
        <x:v>S19-READ-01</x:v>
      </x:c>
      <x:c r="C1843" s="27" t="str">
        <x:v>Theme interaction and craft</x:v>
      </x:c>
      <x:c r="D1843" s="27" t="str">
        <x:v>CONNECTS_TO</x:v>
      </x:c>
      <x:c r="E1843" s="27" t="str">
        <x:v>S19-READ-01:CROSS</x:v>
      </x:c>
      <x:c r="F1843" s="27" t="str">
        <x:v>Oral language and writing; evidence in science/social studies; mathematical and technical problem interpretation; media verification.</x:v>
      </x:c>
      <x:c r="G1843" s="27" t="str">
        <x:v>S19</x:v>
      </x:c>
      <x:c r="H1843" s="27" t="str">
        <x:v>Reading</x:v>
      </x:c>
      <x:c r="I1843" s="27" t="str">
        <x:v>SRC10</x:v>
      </x:c>
      <x:c r="J1843" s="27" t="str">
        <x:v>Parallel subject and representation links.</x:v>
      </x:c>
    </x:row>
    <x:row r="1844">
      <x:c r="A1844" s="27" t="str">
        <x:v>E01840</x:v>
      </x:c>
      <x:c r="B1844" s="27" t="str">
        <x:v>S19-READ-01</x:v>
      </x:c>
      <x:c r="C1844" s="27" t="str">
        <x:v>Theme interaction and craft</x:v>
      </x:c>
      <x:c r="D1844" s="27" t="str">
        <x:v>UNLOCKS</x:v>
      </x:c>
      <x:c r="E1844" s="27" t="str">
        <x:v>S19-READ-01:NEXT</x:v>
      </x:c>
      <x:c r="F1844" s="27" t="str">
        <x:v>Interaction analysis replaces isolated identification of literary elements.</x:v>
      </x:c>
      <x:c r="G1844" s="27" t="str">
        <x:v>S19</x:v>
      </x:c>
      <x:c r="H1844" s="27" t="str">
        <x:v>Reading</x:v>
      </x:c>
      <x:c r="I1844" s="27" t="str">
        <x:v>SRC10</x:v>
      </x:c>
      <x:c r="J1844" s="27" t="str">
        <x:v>Outgoing use and placement rationale.</x:v>
      </x:c>
    </x:row>
    <x:row r="1845">
      <x:c r="A1845" s="27" t="str">
        <x:v>E01841</x:v>
      </x:c>
      <x:c r="B1845" s="27" t="str">
        <x:v>S19-READ-01</x:v>
      </x:c>
      <x:c r="C1845" s="27" t="str">
        <x:v>Theme interaction and craft</x:v>
      </x:c>
      <x:c r="D1845" s="27" t="str">
        <x:v>VERIFIED_BY</x:v>
      </x:c>
      <x:c r="E1845" s="27" t="str">
        <x:v>S19-READ-01:EVIDENCE</x:v>
      </x:c>
      <x:c r="F1845" s="27" t="str">
        <x:v>Explains a theme/effect through a chain of at least two interacting craft choices.</x:v>
      </x:c>
      <x:c r="G1845" s="27" t="str">
        <x:v>S19</x:v>
      </x:c>
      <x:c r="H1845" s="27" t="str">
        <x:v>Reading</x:v>
      </x:c>
      <x:c r="I1845" s="27" t="str">
        <x:v>SRC10</x:v>
      </x:c>
      <x:c r="J1845" s="27" t="str">
        <x:v>Observable evidence of usable learning.</x:v>
      </x:c>
    </x:row>
    <x:row r="1846">
      <x:c r="A1846" s="27" t="str">
        <x:v>E01842</x:v>
      </x:c>
      <x:c r="B1846" s="27" t="str">
        <x:v>S19-READ-01</x:v>
      </x:c>
      <x:c r="C1846" s="27" t="str">
        <x:v>Previous node in domain progression</x:v>
      </x:c>
      <x:c r="D1846" s="27" t="str">
        <x:v>DOMAIN_SEQUENCE</x:v>
      </x:c>
      <x:c r="E1846" s="27" t="str">
        <x:v>S19-READ-02</x:v>
      </x:c>
      <x:c r="F1846" s="27" t="str">
        <x:v>Author purpose, evidence quality, and conflicting information</x:v>
      </x:c>
      <x:c r="G1846" s="27" t="str">
        <x:v>S19</x:v>
      </x:c>
      <x:c r="H1846" s="27" t="str">
        <x:v>Reading</x:v>
      </x:c>
      <x:c r="I1846" s="27" t="str">
        <x:v>SRC10; SRC20</x:v>
      </x:c>
      <x:c r="J1846" s="27" t="str">
        <x:v>Ordered spiral link; consult explicit prerequisites for logical dependency.</x:v>
      </x:c>
    </x:row>
    <x:row r="1847">
      <x:c r="A1847" s="27" t="str">
        <x:v>E01843</x:v>
      </x:c>
      <x:c r="B1847" s="27" t="str">
        <x:v>S19-READ-02:PREREQ</x:v>
      </x:c>
      <x:c r="C1847" s="27" t="str">
        <x:v>Grade 6 argument mapping, research evaluation, and viewpoint analysis.</x:v>
      </x:c>
      <x:c r="D1847" s="27" t="str">
        <x:v>PREREQUISITE</x:v>
      </x:c>
      <x:c r="E1847" s="27" t="str">
        <x:v>S19-READ-02</x:v>
      </x:c>
      <x:c r="F1847" s="27" t="str">
        <x:v>Author purpose, evidence quality, and conflicting information</x:v>
      </x:c>
      <x:c r="G1847" s="27" t="str">
        <x:v>S19</x:v>
      </x:c>
      <x:c r="H1847" s="27" t="str">
        <x:v>Reading</x:v>
      </x:c>
      <x:c r="I1847" s="27" t="str">
        <x:v>SRC10; SRC20</x:v>
      </x:c>
      <x:c r="J1847" s="27" t="str">
        <x:v>Incoming prerequisite relationship.</x:v>
      </x:c>
    </x:row>
    <x:row r="1848">
      <x:c r="A1848" s="27" t="str">
        <x:v>E01844</x:v>
      </x:c>
      <x:c r="B1848" s="27" t="str">
        <x:v>S19-READ-02:GROUND</x:v>
      </x:c>
      <x:c r="C1848" s="27" t="str">
        <x:v>G5/G6 — Coordinated representations within an evidence-based formal system</x:v>
      </x:c>
      <x:c r="D1848" s="27" t="str">
        <x:v>GROUNDED_BY</x:v>
      </x:c>
      <x:c r="E1848" s="27" t="str">
        <x:v>S19-READ-02</x:v>
      </x:c>
      <x:c r="F1848" s="27" t="str">
        <x:v>Author purpose, evidence quality, and conflicting information</x:v>
      </x:c>
      <x:c r="G1848" s="27" t="str">
        <x:v>S19</x:v>
      </x:c>
      <x:c r="H1848" s="27" t="str">
        <x:v>Reading</x:v>
      </x:c>
      <x:c r="I1848" s="27" t="str">
        <x:v>SRC10; SRC20</x:v>
      </x:c>
      <x:c r="J1848" s="27" t="str">
        <x:v>Grounding form used to preserve meaning.</x:v>
      </x:c>
    </x:row>
    <x:row r="1849">
      <x:c r="A1849" s="27" t="str">
        <x:v>E01845</x:v>
      </x:c>
      <x:c r="B1849" s="27" t="str">
        <x:v>S19-READ-02</x:v>
      </x:c>
      <x:c r="C1849" s="27" t="str">
        <x:v>Author purpose, evidence quality, and conflicting information</x:v>
      </x:c>
      <x:c r="D1849" s="27" t="str">
        <x:v>CONNECTS_TO</x:v>
      </x:c>
      <x:c r="E1849" s="27" t="str">
        <x:v>S19-READ-02:CROSS</x:v>
      </x:c>
      <x:c r="F1849" s="27" t="str">
        <x:v>Oral language and writing; evidence in science/social studies; mathematical and technical problem interpretation; media verification.</x:v>
      </x:c>
      <x:c r="G1849" s="27" t="str">
        <x:v>S19</x:v>
      </x:c>
      <x:c r="H1849" s="27" t="str">
        <x:v>Reading</x:v>
      </x:c>
      <x:c r="I1849" s="27" t="str">
        <x:v>SRC10; SRC20</x:v>
      </x:c>
      <x:c r="J1849" s="27" t="str">
        <x:v>Parallel subject and representation links.</x:v>
      </x:c>
    </x:row>
    <x:row r="1850">
      <x:c r="A1850" s="27" t="str">
        <x:v>E01846</x:v>
      </x:c>
      <x:c r="B1850" s="27" t="str">
        <x:v>S19-READ-02</x:v>
      </x:c>
      <x:c r="C1850" s="27" t="str">
        <x:v>Author purpose, evidence quality, and conflicting information</x:v>
      </x:c>
      <x:c r="D1850" s="27" t="str">
        <x:v>UNLOCKS</x:v>
      </x:c>
      <x:c r="E1850" s="27" t="str">
        <x:v>S19-READ-02:NEXT</x:v>
      </x:c>
      <x:c r="F1850" s="27" t="str">
        <x:v>Conflicting sources require evaluation rather than simple accumulation.</x:v>
      </x:c>
      <x:c r="G1850" s="27" t="str">
        <x:v>S19</x:v>
      </x:c>
      <x:c r="H1850" s="27" t="str">
        <x:v>Reading</x:v>
      </x:c>
      <x:c r="I1850" s="27" t="str">
        <x:v>SRC10; SRC20</x:v>
      </x:c>
      <x:c r="J1850" s="27" t="str">
        <x:v>Outgoing use and placement rationale.</x:v>
      </x:c>
    </x:row>
    <x:row r="1851">
      <x:c r="A1851" s="27" t="str">
        <x:v>E01847</x:v>
      </x:c>
      <x:c r="B1851" s="27" t="str">
        <x:v>S19-READ-02</x:v>
      </x:c>
      <x:c r="C1851" s="27" t="str">
        <x:v>Author purpose, evidence quality, and conflicting information</x:v>
      </x:c>
      <x:c r="D1851" s="27" t="str">
        <x:v>VERIFIED_BY</x:v>
      </x:c>
      <x:c r="E1851" s="27" t="str">
        <x:v>S19-READ-02:EVIDENCE</x:v>
      </x:c>
      <x:c r="F1851" s="27" t="str">
        <x:v>Ranks evidence quality and explains the strongest supported conclusion and remaining uncertainty.</x:v>
      </x:c>
      <x:c r="G1851" s="27" t="str">
        <x:v>S19</x:v>
      </x:c>
      <x:c r="H1851" s="27" t="str">
        <x:v>Reading</x:v>
      </x:c>
      <x:c r="I1851" s="27" t="str">
        <x:v>SRC10; SRC20</x:v>
      </x:c>
      <x:c r="J1851" s="27" t="str">
        <x:v>Observable evidence of usable learning.</x:v>
      </x:c>
    </x:row>
    <x:row r="1852">
      <x:c r="A1852" s="27" t="str">
        <x:v>E01848</x:v>
      </x:c>
      <x:c r="B1852" s="27" t="str">
        <x:v>S18-WRITE-03</x:v>
      </x:c>
      <x:c r="C1852" s="27" t="str">
        <x:v>Previous node in domain progression</x:v>
      </x:c>
      <x:c r="D1852" s="27" t="str">
        <x:v>DOMAIN_SEQUENCE</x:v>
      </x:c>
      <x:c r="E1852" s="27" t="str">
        <x:v>S19-WRITE-01</x:v>
      </x:c>
      <x:c r="F1852" s="27" t="str">
        <x:v>Counterclaim and rebuttal</x:v>
      </x:c>
      <x:c r="G1852" s="27" t="str">
        <x:v>S19</x:v>
      </x:c>
      <x:c r="H1852" s="27" t="str">
        <x:v>Writing &amp; Language</x:v>
      </x:c>
      <x:c r="I1852" s="27" t="str">
        <x:v>SRC10; SRC22</x:v>
      </x:c>
      <x:c r="J1852" s="27" t="str">
        <x:v>Ordered spiral link; consult explicit prerequisites for logical dependency.</x:v>
      </x:c>
    </x:row>
    <x:row r="1853">
      <x:c r="A1853" s="27" t="str">
        <x:v>E01849</x:v>
      </x:c>
      <x:c r="B1853" s="27" t="str">
        <x:v>S19-WRITE-01:PREREQ</x:v>
      </x:c>
      <x:c r="C1853" s="27" t="str">
        <x:v>Grade 6 evidence chain, literature/informational analysis, and perspective consensus.</x:v>
      </x:c>
      <x:c r="D1853" s="27" t="str">
        <x:v>PREREQUISITE</x:v>
      </x:c>
      <x:c r="E1853" s="27" t="str">
        <x:v>S19-WRITE-01</x:v>
      </x:c>
      <x:c r="F1853" s="27" t="str">
        <x:v>Counterclaim and rebuttal</x:v>
      </x:c>
      <x:c r="G1853" s="27" t="str">
        <x:v>S19</x:v>
      </x:c>
      <x:c r="H1853" s="27" t="str">
        <x:v>Writing &amp; Language</x:v>
      </x:c>
      <x:c r="I1853" s="27" t="str">
        <x:v>SRC10; SRC22</x:v>
      </x:c>
      <x:c r="J1853" s="27" t="str">
        <x:v>Incoming prerequisite relationship.</x:v>
      </x:c>
    </x:row>
    <x:row r="1854">
      <x:c r="A1854" s="27" t="str">
        <x:v>E01850</x:v>
      </x:c>
      <x:c r="B1854" s="27" t="str">
        <x:v>S19-WRITE-01:GROUND</x:v>
      </x:c>
      <x:c r="C1854" s="27" t="str">
        <x:v>G5/G6 — Coordinated representations within an evidence-based formal system</x:v>
      </x:c>
      <x:c r="D1854" s="27" t="str">
        <x:v>GROUNDED_BY</x:v>
      </x:c>
      <x:c r="E1854" s="27" t="str">
        <x:v>S19-WRITE-01</x:v>
      </x:c>
      <x:c r="F1854" s="27" t="str">
        <x:v>Counterclaim and rebuttal</x:v>
      </x:c>
      <x:c r="G1854" s="27" t="str">
        <x:v>S19</x:v>
      </x:c>
      <x:c r="H1854" s="27" t="str">
        <x:v>Writing &amp; Language</x:v>
      </x:c>
      <x:c r="I1854" s="27" t="str">
        <x:v>SRC10; SRC22</x:v>
      </x:c>
      <x:c r="J1854" s="27" t="str">
        <x:v>Grounding form used to preserve meaning.</x:v>
      </x:c>
    </x:row>
    <x:row r="1855">
      <x:c r="A1855" s="27" t="str">
        <x:v>E01851</x:v>
      </x:c>
      <x:c r="B1855" s="27" t="str">
        <x:v>S19-WRITE-01</x:v>
      </x:c>
      <x:c r="C1855" s="27" t="str">
        <x:v>Counterclaim and rebuttal</x:v>
      </x:c>
      <x:c r="D1855" s="27" t="str">
        <x:v>CONNECTS_TO</x:v>
      </x:c>
      <x:c r="E1855" s="27" t="str">
        <x:v>S19-WRITE-01:CROSS</x:v>
      </x:c>
      <x:c r="F1855" s="27" t="str">
        <x:v>Reading models; evidence from science/social studies; mathematical explanation; research, media, and presentation.</x:v>
      </x:c>
      <x:c r="G1855" s="27" t="str">
        <x:v>S19</x:v>
      </x:c>
      <x:c r="H1855" s="27" t="str">
        <x:v>Writing &amp; Language</x:v>
      </x:c>
      <x:c r="I1855" s="27" t="str">
        <x:v>SRC10; SRC22</x:v>
      </x:c>
      <x:c r="J1855" s="27" t="str">
        <x:v>Parallel subject and representation links.</x:v>
      </x:c>
    </x:row>
    <x:row r="1856">
      <x:c r="A1856" s="27" t="str">
        <x:v>E01852</x:v>
      </x:c>
      <x:c r="B1856" s="27" t="str">
        <x:v>S19-WRITE-01</x:v>
      </x:c>
      <x:c r="C1856" s="27" t="str">
        <x:v>Counterclaim and rebuttal</x:v>
      </x:c>
      <x:c r="D1856" s="27" t="str">
        <x:v>UNLOCKS</x:v>
      </x:c>
      <x:c r="E1856" s="27" t="str">
        <x:v>S19-WRITE-01:NEXT</x:v>
      </x:c>
      <x:c r="F1856" s="27" t="str">
        <x:v>Counterargument tests claim strength and prepares formal debate and academic writing.</x:v>
      </x:c>
      <x:c r="G1856" s="27" t="str">
        <x:v>S19</x:v>
      </x:c>
      <x:c r="H1856" s="27" t="str">
        <x:v>Writing &amp; Language</x:v>
      </x:c>
      <x:c r="I1856" s="27" t="str">
        <x:v>SRC10; SRC22</x:v>
      </x:c>
      <x:c r="J1856" s="27" t="str">
        <x:v>Outgoing use and placement rationale.</x:v>
      </x:c>
    </x:row>
    <x:row r="1857">
      <x:c r="A1857" s="27" t="str">
        <x:v>E01853</x:v>
      </x:c>
      <x:c r="B1857" s="27" t="str">
        <x:v>S19-WRITE-01</x:v>
      </x:c>
      <x:c r="C1857" s="27" t="str">
        <x:v>Counterclaim and rebuttal</x:v>
      </x:c>
      <x:c r="D1857" s="27" t="str">
        <x:v>VERIFIED_BY</x:v>
      </x:c>
      <x:c r="E1857" s="27" t="str">
        <x:v>S19-WRITE-01:EVIDENCE</x:v>
      </x:c>
      <x:c r="F1857" s="27" t="str">
        <x:v>Represents a counterclaim fairly and writes a relevant evidence-based response.</x:v>
      </x:c>
      <x:c r="G1857" s="27" t="str">
        <x:v>S19</x:v>
      </x:c>
      <x:c r="H1857" s="27" t="str">
        <x:v>Writing &amp; Language</x:v>
      </x:c>
      <x:c r="I1857" s="27" t="str">
        <x:v>SRC10; SRC22</x:v>
      </x:c>
      <x:c r="J1857" s="27" t="str">
        <x:v>Observable evidence of usable learning.</x:v>
      </x:c>
    </x:row>
    <x:row r="1858">
      <x:c r="A1858" s="27" t="str">
        <x:v>E01854</x:v>
      </x:c>
      <x:c r="B1858" s="27" t="str">
        <x:v>S19-WRITE-01</x:v>
      </x:c>
      <x:c r="C1858" s="27" t="str">
        <x:v>Previous node in domain progression</x:v>
      </x:c>
      <x:c r="D1858" s="27" t="str">
        <x:v>DOMAIN_SEQUENCE</x:v>
      </x:c>
      <x:c r="E1858" s="27" t="str">
        <x:v>S19-WRITE-02</x:v>
      </x:c>
      <x:c r="F1858" s="27" t="str">
        <x:v>Synthesize across sources and representations</x:v>
      </x:c>
      <x:c r="G1858" s="27" t="str">
        <x:v>S19</x:v>
      </x:c>
      <x:c r="H1858" s="27" t="str">
        <x:v>Writing &amp; Language</x:v>
      </x:c>
      <x:c r="I1858" s="27" t="str">
        <x:v>SRC10; SRC22</x:v>
      </x:c>
      <x:c r="J1858" s="27" t="str">
        <x:v>Ordered spiral link; consult explicit prerequisites for logical dependency.</x:v>
      </x:c>
    </x:row>
    <x:row r="1859">
      <x:c r="A1859" s="27" t="str">
        <x:v>E01855</x:v>
      </x:c>
      <x:c r="B1859" s="27" t="str">
        <x:v>S19-WRITE-02:PREREQ</x:v>
      </x:c>
      <x:c r="C1859" s="27" t="str">
        <x:v>Grade 6 source evaluation/citation and Grade 5 synthesis.</x:v>
      </x:c>
      <x:c r="D1859" s="27" t="str">
        <x:v>PREREQUISITE</x:v>
      </x:c>
      <x:c r="E1859" s="27" t="str">
        <x:v>S19-WRITE-02</x:v>
      </x:c>
      <x:c r="F1859" s="27" t="str">
        <x:v>Synthesize across sources and representations</x:v>
      </x:c>
      <x:c r="G1859" s="27" t="str">
        <x:v>S19</x:v>
      </x:c>
      <x:c r="H1859" s="27" t="str">
        <x:v>Writing &amp; Language</x:v>
      </x:c>
      <x:c r="I1859" s="27" t="str">
        <x:v>SRC10; SRC22</x:v>
      </x:c>
      <x:c r="J1859" s="27" t="str">
        <x:v>Incoming prerequisite relationship.</x:v>
      </x:c>
    </x:row>
    <x:row r="1860">
      <x:c r="A1860" s="27" t="str">
        <x:v>E01856</x:v>
      </x:c>
      <x:c r="B1860" s="27" t="str">
        <x:v>S19-WRITE-02:GROUND</x:v>
      </x:c>
      <x:c r="C1860" s="27" t="str">
        <x:v>G5/G6 — Coordinated representations within an evidence-based formal system</x:v>
      </x:c>
      <x:c r="D1860" s="27" t="str">
        <x:v>GROUNDED_BY</x:v>
      </x:c>
      <x:c r="E1860" s="27" t="str">
        <x:v>S19-WRITE-02</x:v>
      </x:c>
      <x:c r="F1860" s="27" t="str">
        <x:v>Synthesize across sources and representations</x:v>
      </x:c>
      <x:c r="G1860" s="27" t="str">
        <x:v>S19</x:v>
      </x:c>
      <x:c r="H1860" s="27" t="str">
        <x:v>Writing &amp; Language</x:v>
      </x:c>
      <x:c r="I1860" s="27" t="str">
        <x:v>SRC10; SRC22</x:v>
      </x:c>
      <x:c r="J1860" s="27" t="str">
        <x:v>Grounding form used to preserve meaning.</x:v>
      </x:c>
    </x:row>
    <x:row r="1861">
      <x:c r="A1861" s="27" t="str">
        <x:v>E01857</x:v>
      </x:c>
      <x:c r="B1861" s="27" t="str">
        <x:v>S19-WRITE-02</x:v>
      </x:c>
      <x:c r="C1861" s="27" t="str">
        <x:v>Synthesize across sources and representations</x:v>
      </x:c>
      <x:c r="D1861" s="27" t="str">
        <x:v>CONNECTS_TO</x:v>
      </x:c>
      <x:c r="E1861" s="27" t="str">
        <x:v>S19-WRITE-02:CROSS</x:v>
      </x:c>
      <x:c r="F1861" s="27" t="str">
        <x:v>Reading models; evidence from science/social studies; mathematical explanation; research, media, and presentation.</x:v>
      </x:c>
      <x:c r="G1861" s="27" t="str">
        <x:v>S19</x:v>
      </x:c>
      <x:c r="H1861" s="27" t="str">
        <x:v>Writing &amp; Language</x:v>
      </x:c>
      <x:c r="I1861" s="27" t="str">
        <x:v>SRC10; SRC22</x:v>
      </x:c>
      <x:c r="J1861" s="27" t="str">
        <x:v>Parallel subject and representation links.</x:v>
      </x:c>
    </x:row>
    <x:row r="1862">
      <x:c r="A1862" s="27" t="str">
        <x:v>E01858</x:v>
      </x:c>
      <x:c r="B1862" s="27" t="str">
        <x:v>S19-WRITE-02</x:v>
      </x:c>
      <x:c r="C1862" s="27" t="str">
        <x:v>Synthesize across sources and representations</x:v>
      </x:c>
      <x:c r="D1862" s="27" t="str">
        <x:v>UNLOCKS</x:v>
      </x:c>
      <x:c r="E1862" s="27" t="str">
        <x:v>S19-WRITE-02:NEXT</x:v>
      </x:c>
      <x:c r="F1862" s="27" t="str">
        <x:v>Synthesis constructs new understanding across evidence rather than summarizing sources one at a time.</x:v>
      </x:c>
      <x:c r="G1862" s="27" t="str">
        <x:v>S19</x:v>
      </x:c>
      <x:c r="H1862" s="27" t="str">
        <x:v>Writing &amp; Language</x:v>
      </x:c>
      <x:c r="I1862" s="27" t="str">
        <x:v>SRC10; SRC22</x:v>
      </x:c>
      <x:c r="J1862" s="27" t="str">
        <x:v>Outgoing use and placement rationale.</x:v>
      </x:c>
    </x:row>
    <x:row r="1863">
      <x:c r="A1863" s="27" t="str">
        <x:v>E01859</x:v>
      </x:c>
      <x:c r="B1863" s="27" t="str">
        <x:v>S19-WRITE-02</x:v>
      </x:c>
      <x:c r="C1863" s="27" t="str">
        <x:v>Synthesize across sources and representations</x:v>
      </x:c>
      <x:c r="D1863" s="27" t="str">
        <x:v>VERIFIED_BY</x:v>
      </x:c>
      <x:c r="E1863" s="27" t="str">
        <x:v>S19-WRITE-02:EVIDENCE</x:v>
      </x:c>
      <x:c r="F1863" s="27" t="str">
        <x:v>Produces a source-integrated explanation organized by ideas instead of source order.</x:v>
      </x:c>
      <x:c r="G1863" s="27" t="str">
        <x:v>S19</x:v>
      </x:c>
      <x:c r="H1863" s="27" t="str">
        <x:v>Writing &amp; Language</x:v>
      </x:c>
      <x:c r="I1863" s="27" t="str">
        <x:v>SRC10; SRC22</x:v>
      </x:c>
      <x:c r="J1863" s="27" t="str">
        <x:v>Observable evidence of usable learning.</x:v>
      </x:c>
    </x:row>
    <x:row r="1864">
      <x:c r="A1864" s="27" t="str">
        <x:v>E01860</x:v>
      </x:c>
      <x:c r="B1864" s="27" t="str">
        <x:v>S19-WRITE-02</x:v>
      </x:c>
      <x:c r="C1864" s="27" t="str">
        <x:v>Previous node in domain progression</x:v>
      </x:c>
      <x:c r="D1864" s="27" t="str">
        <x:v>DOMAIN_SEQUENCE</x:v>
      </x:c>
      <x:c r="E1864" s="27" t="str">
        <x:v>S19-WRITE-03</x:v>
      </x:c>
      <x:c r="F1864" s="27" t="str">
        <x:v>Model–practice–reflect revision cycle</x:v>
      </x:c>
      <x:c r="G1864" s="27" t="str">
        <x:v>S19</x:v>
      </x:c>
      <x:c r="H1864" s="27" t="str">
        <x:v>Writing &amp; Language</x:v>
      </x:c>
      <x:c r="I1864" s="27" t="str">
        <x:v>SRC22</x:v>
      </x:c>
      <x:c r="J1864" s="27" t="str">
        <x:v>Ordered spiral link; consult explicit prerequisites for logical dependency.</x:v>
      </x:c>
    </x:row>
    <x:row r="1865">
      <x:c r="A1865" s="27" t="str">
        <x:v>E01861</x:v>
      </x:c>
      <x:c r="B1865" s="27" t="str">
        <x:v>S19-WRITE-03:PREREQ</x:v>
      </x:c>
      <x:c r="C1865" s="27" t="str">
        <x:v>Grade 6 argument/exposition and error classification.</x:v>
      </x:c>
      <x:c r="D1865" s="27" t="str">
        <x:v>PREREQUISITE</x:v>
      </x:c>
      <x:c r="E1865" s="27" t="str">
        <x:v>S19-WRITE-03</x:v>
      </x:c>
      <x:c r="F1865" s="27" t="str">
        <x:v>Model–practice–reflect revision cycle</x:v>
      </x:c>
      <x:c r="G1865" s="27" t="str">
        <x:v>S19</x:v>
      </x:c>
      <x:c r="H1865" s="27" t="str">
        <x:v>Writing &amp; Language</x:v>
      </x:c>
      <x:c r="I1865" s="27" t="str">
        <x:v>SRC22</x:v>
      </x:c>
      <x:c r="J1865" s="27" t="str">
        <x:v>Incoming prerequisite relationship.</x:v>
      </x:c>
    </x:row>
    <x:row r="1866">
      <x:c r="A1866" s="27" t="str">
        <x:v>E01862</x:v>
      </x:c>
      <x:c r="B1866" s="27" t="str">
        <x:v>S19-WRITE-03:GROUND</x:v>
      </x:c>
      <x:c r="C1866" s="27" t="str">
        <x:v>G5/G6 — Coordinated representations within an evidence-based formal system</x:v>
      </x:c>
      <x:c r="D1866" s="27" t="str">
        <x:v>GROUNDED_BY</x:v>
      </x:c>
      <x:c r="E1866" s="27" t="str">
        <x:v>S19-WRITE-03</x:v>
      </x:c>
      <x:c r="F1866" s="27" t="str">
        <x:v>Model–practice–reflect revision cycle</x:v>
      </x:c>
      <x:c r="G1866" s="27" t="str">
        <x:v>S19</x:v>
      </x:c>
      <x:c r="H1866" s="27" t="str">
        <x:v>Writing &amp; Language</x:v>
      </x:c>
      <x:c r="I1866" s="27" t="str">
        <x:v>SRC22</x:v>
      </x:c>
      <x:c r="J1866" s="27" t="str">
        <x:v>Grounding form used to preserve meaning.</x:v>
      </x:c>
    </x:row>
    <x:row r="1867">
      <x:c r="A1867" s="27" t="str">
        <x:v>E01863</x:v>
      </x:c>
      <x:c r="B1867" s="27" t="str">
        <x:v>S19-WRITE-03</x:v>
      </x:c>
      <x:c r="C1867" s="27" t="str">
        <x:v>Model–practice–reflect revision cycle</x:v>
      </x:c>
      <x:c r="D1867" s="27" t="str">
        <x:v>CONNECTS_TO</x:v>
      </x:c>
      <x:c r="E1867" s="27" t="str">
        <x:v>S19-WRITE-03:CROSS</x:v>
      </x:c>
      <x:c r="F1867" s="27" t="str">
        <x:v>Reading models; evidence from science/social studies; mathematical explanation; research, media, and presentation.</x:v>
      </x:c>
      <x:c r="G1867" s="27" t="str">
        <x:v>S19</x:v>
      </x:c>
      <x:c r="H1867" s="27" t="str">
        <x:v>Writing &amp; Language</x:v>
      </x:c>
      <x:c r="I1867" s="27" t="str">
        <x:v>SRC22</x:v>
      </x:c>
      <x:c r="J1867" s="27" t="str">
        <x:v>Parallel subject and representation links.</x:v>
      </x:c>
    </x:row>
    <x:row r="1868">
      <x:c r="A1868" s="27" t="str">
        <x:v>E01864</x:v>
      </x:c>
      <x:c r="B1868" s="27" t="str">
        <x:v>S19-WRITE-03</x:v>
      </x:c>
      <x:c r="C1868" s="27" t="str">
        <x:v>Model–practice–reflect revision cycle</x:v>
      </x:c>
      <x:c r="D1868" s="27" t="str">
        <x:v>UNLOCKS</x:v>
      </x:c>
      <x:c r="E1868" s="27" t="str">
        <x:v>S19-WRITE-03:NEXT</x:v>
      </x:c>
      <x:c r="F1868" s="27" t="str">
        <x:v>A controlled revision cycle builds reusable writing strategies.</x:v>
      </x:c>
      <x:c r="G1868" s="27" t="str">
        <x:v>S19</x:v>
      </x:c>
      <x:c r="H1868" s="27" t="str">
        <x:v>Writing &amp; Language</x:v>
      </x:c>
      <x:c r="I1868" s="27" t="str">
        <x:v>SRC22</x:v>
      </x:c>
      <x:c r="J1868" s="27" t="str">
        <x:v>Outgoing use and placement rationale.</x:v>
      </x:c>
    </x:row>
    <x:row r="1869">
      <x:c r="A1869" s="27" t="str">
        <x:v>E01865</x:v>
      </x:c>
      <x:c r="B1869" s="27" t="str">
        <x:v>S19-WRITE-03</x:v>
      </x:c>
      <x:c r="C1869" s="27" t="str">
        <x:v>Model–practice–reflect revision cycle</x:v>
      </x:c>
      <x:c r="D1869" s="27" t="str">
        <x:v>VERIFIED_BY</x:v>
      </x:c>
      <x:c r="E1869" s="27" t="str">
        <x:v>S19-WRITE-03:EVIDENCE</x:v>
      </x:c>
      <x:c r="F1869" s="27" t="str">
        <x:v>Shows the modeled feature, targeted practice, revision, and a rule for future writing.</x:v>
      </x:c>
      <x:c r="G1869" s="27" t="str">
        <x:v>S19</x:v>
      </x:c>
      <x:c r="H1869" s="27" t="str">
        <x:v>Writing &amp; Language</x:v>
      </x:c>
      <x:c r="I1869" s="27" t="str">
        <x:v>SRC22</x:v>
      </x:c>
      <x:c r="J1869" s="27" t="str">
        <x:v>Observable evidence of usable learning.</x:v>
      </x:c>
    </x:row>
    <x:row r="1870">
      <x:c r="A1870" s="27" t="str">
        <x:v>E01866</x:v>
      </x:c>
      <x:c r="B1870" s="27" t="str">
        <x:v>S18-MATH-06</x:v>
      </x:c>
      <x:c r="C1870" s="27" t="str">
        <x:v>Previous node in domain progression</x:v>
      </x:c>
      <x:c r="D1870" s="27" t="str">
        <x:v>DOMAIN_SEQUENCE</x:v>
      </x:c>
      <x:c r="E1870" s="27" t="str">
        <x:v>S19-MATH-01</x:v>
      </x:c>
      <x:c r="F1870" s="27" t="str">
        <x:v>Constants of proportionality and equations</x:v>
      </x:c>
      <x:c r="G1870" s="27" t="str">
        <x:v>S19</x:v>
      </x:c>
      <x:c r="H1870" s="27" t="str">
        <x:v>Mathematics</x:v>
      </x:c>
      <x:c r="I1870" s="27" t="str">
        <x:v>SRC09</x:v>
      </x:c>
      <x:c r="J1870" s="27" t="str">
        <x:v>Ordered spiral link; consult explicit prerequisites for logical dependency.</x:v>
      </x:c>
    </x:row>
    <x:row r="1871">
      <x:c r="A1871" s="27" t="str">
        <x:v>E01867</x:v>
      </x:c>
      <x:c r="B1871" s="27" t="str">
        <x:v>S19-MATH-01:PREREQ</x:v>
      </x:c>
      <x:c r="C1871" s="27" t="str">
        <x:v>Grade 6 ratios/unit rates, fraction division, and variable expressions.</x:v>
      </x:c>
      <x:c r="D1871" s="27" t="str">
        <x:v>PREREQUISITE</x:v>
      </x:c>
      <x:c r="E1871" s="27" t="str">
        <x:v>S19-MATH-01</x:v>
      </x:c>
      <x:c r="F1871" s="27" t="str">
        <x:v>Constants of proportionality and equations</x:v>
      </x:c>
      <x:c r="G1871" s="27" t="str">
        <x:v>S19</x:v>
      </x:c>
      <x:c r="H1871" s="27" t="str">
        <x:v>Mathematics</x:v>
      </x:c>
      <x:c r="I1871" s="27" t="str">
        <x:v>SRC09</x:v>
      </x:c>
      <x:c r="J1871" s="27" t="str">
        <x:v>Incoming prerequisite relationship.</x:v>
      </x:c>
    </x:row>
    <x:row r="1872">
      <x:c r="A1872" s="27" t="str">
        <x:v>E01868</x:v>
      </x:c>
      <x:c r="B1872" s="27" t="str">
        <x:v>S19-MATH-01:GROUND</x:v>
      </x:c>
      <x:c r="C1872" s="27" t="str">
        <x:v>G5/G6 — Coordinated representations within an evidence-based formal system</x:v>
      </x:c>
      <x:c r="D1872" s="27" t="str">
        <x:v>GROUNDED_BY</x:v>
      </x:c>
      <x:c r="E1872" s="27" t="str">
        <x:v>S19-MATH-01</x:v>
      </x:c>
      <x:c r="F1872" s="27" t="str">
        <x:v>Constants of proportionality and equations</x:v>
      </x:c>
      <x:c r="G1872" s="27" t="str">
        <x:v>S19</x:v>
      </x:c>
      <x:c r="H1872" s="27" t="str">
        <x:v>Mathematics</x:v>
      </x:c>
      <x:c r="I1872" s="27" t="str">
        <x:v>SRC09</x:v>
      </x:c>
      <x:c r="J1872" s="27" t="str">
        <x:v>Grounding form used to preserve meaning.</x:v>
      </x:c>
    </x:row>
    <x:row r="1873">
      <x:c r="A1873" s="27" t="str">
        <x:v>E01869</x:v>
      </x:c>
      <x:c r="B1873" s="27" t="str">
        <x:v>S19-MATH-01</x:v>
      </x:c>
      <x:c r="C1873" s="27" t="str">
        <x:v>Constants of proportionality and equations</x:v>
      </x:c>
      <x:c r="D1873" s="27" t="str">
        <x:v>CONNECTS_TO</x:v>
      </x:c>
      <x:c r="E1873" s="27" t="str">
        <x:v>S19-MATH-01:CROSS</x:v>
      </x:c>
      <x:c r="F1873" s="27" t="str">
        <x:v>Physical quantity and spatial action; science measurement/models; computing/algorithms; finance; music rhythm/pattern; geographic data.</x:v>
      </x:c>
      <x:c r="G1873" s="27" t="str">
        <x:v>S19</x:v>
      </x:c>
      <x:c r="H1873" s="27" t="str">
        <x:v>Mathematics</x:v>
      </x:c>
      <x:c r="I1873" s="27" t="str">
        <x:v>SRC09</x:v>
      </x:c>
      <x:c r="J1873" s="27" t="str">
        <x:v>Parallel subject and representation links.</x:v>
      </x:c>
    </x:row>
    <x:row r="1874">
      <x:c r="A1874" s="27" t="str">
        <x:v>E01870</x:v>
      </x:c>
      <x:c r="B1874" s="27" t="str">
        <x:v>S19-MATH-01</x:v>
      </x:c>
      <x:c r="C1874" s="27" t="str">
        <x:v>Constants of proportionality and equations</x:v>
      </x:c>
      <x:c r="D1874" s="27" t="str">
        <x:v>UNLOCKS</x:v>
      </x:c>
      <x:c r="E1874" s="27" t="str">
        <x:v>S19-MATH-01:NEXT</x:v>
      </x:c>
      <x:c r="F1874" s="27" t="str">
        <x:v>A proportional relationship is the first major function family and basis of similarity and percent.</x:v>
      </x:c>
      <x:c r="G1874" s="27" t="str">
        <x:v>S19</x:v>
      </x:c>
      <x:c r="H1874" s="27" t="str">
        <x:v>Mathematics</x:v>
      </x:c>
      <x:c r="I1874" s="27" t="str">
        <x:v>SRC09</x:v>
      </x:c>
      <x:c r="J1874" s="27" t="str">
        <x:v>Outgoing use and placement rationale.</x:v>
      </x:c>
    </x:row>
    <x:row r="1875">
      <x:c r="A1875" s="27" t="str">
        <x:v>E01871</x:v>
      </x:c>
      <x:c r="B1875" s="27" t="str">
        <x:v>S19-MATH-01</x:v>
      </x:c>
      <x:c r="C1875" s="27" t="str">
        <x:v>Constants of proportionality and equations</x:v>
      </x:c>
      <x:c r="D1875" s="27" t="str">
        <x:v>VERIFIED_BY</x:v>
      </x:c>
      <x:c r="E1875" s="27" t="str">
        <x:v>S19-MATH-01:EVIDENCE</x:v>
      </x:c>
      <x:c r="F1875" s="27" t="str">
        <x:v>Determines whether a relationship is proportional and explains k across representations.</x:v>
      </x:c>
      <x:c r="G1875" s="27" t="str">
        <x:v>S19</x:v>
      </x:c>
      <x:c r="H1875" s="27" t="str">
        <x:v>Mathematics</x:v>
      </x:c>
      <x:c r="I1875" s="27" t="str">
        <x:v>SRC09</x:v>
      </x:c>
      <x:c r="J1875" s="27" t="str">
        <x:v>Observable evidence of usable learning.</x:v>
      </x:c>
    </x:row>
    <x:row r="1876">
      <x:c r="A1876" s="27" t="str">
        <x:v>E01872</x:v>
      </x:c>
      <x:c r="B1876" s="27" t="str">
        <x:v>S19-MATH-01</x:v>
      </x:c>
      <x:c r="C1876" s="27" t="str">
        <x:v>Previous node in domain progression</x:v>
      </x:c>
      <x:c r="D1876" s="27" t="str">
        <x:v>DOMAIN_SEQUENCE</x:v>
      </x:c>
      <x:c r="E1876" s="27" t="str">
        <x:v>S19-MATH-02</x:v>
      </x:c>
      <x:c r="F1876" s="27" t="str">
        <x:v>All four operations with signed rational numbers</x:v>
      </x:c>
      <x:c r="G1876" s="27" t="str">
        <x:v>S19</x:v>
      </x:c>
      <x:c r="H1876" s="27" t="str">
        <x:v>Mathematics</x:v>
      </x:c>
      <x:c r="I1876" s="27" t="str">
        <x:v>SRC09</x:v>
      </x:c>
      <x:c r="J1876" s="27" t="str">
        <x:v>Ordered spiral link; consult explicit prerequisites for logical dependency.</x:v>
      </x:c>
    </x:row>
    <x:row r="1877">
      <x:c r="A1877" s="27" t="str">
        <x:v>E01873</x:v>
      </x:c>
      <x:c r="B1877" s="27" t="str">
        <x:v>S19-MATH-02:PREREQ</x:v>
      </x:c>
      <x:c r="C1877" s="27" t="str">
        <x:v>Grade 6 signed numbers, fraction/decimal operations, and absolute value.</x:v>
      </x:c>
      <x:c r="D1877" s="27" t="str">
        <x:v>PREREQUISITE</x:v>
      </x:c>
      <x:c r="E1877" s="27" t="str">
        <x:v>S19-MATH-02</x:v>
      </x:c>
      <x:c r="F1877" s="27" t="str">
        <x:v>All four operations with signed rational numbers</x:v>
      </x:c>
      <x:c r="G1877" s="27" t="str">
        <x:v>S19</x:v>
      </x:c>
      <x:c r="H1877" s="27" t="str">
        <x:v>Mathematics</x:v>
      </x:c>
      <x:c r="I1877" s="27" t="str">
        <x:v>SRC09</x:v>
      </x:c>
      <x:c r="J1877" s="27" t="str">
        <x:v>Incoming prerequisite relationship.</x:v>
      </x:c>
    </x:row>
    <x:row r="1878">
      <x:c r="A1878" s="27" t="str">
        <x:v>E01874</x:v>
      </x:c>
      <x:c r="B1878" s="27" t="str">
        <x:v>S19-MATH-02:GROUND</x:v>
      </x:c>
      <x:c r="C1878" s="27" t="str">
        <x:v>G5/G6 — Coordinated representations within an evidence-based formal system</x:v>
      </x:c>
      <x:c r="D1878" s="27" t="str">
        <x:v>GROUNDED_BY</x:v>
      </x:c>
      <x:c r="E1878" s="27" t="str">
        <x:v>S19-MATH-02</x:v>
      </x:c>
      <x:c r="F1878" s="27" t="str">
        <x:v>All four operations with signed rational numbers</x:v>
      </x:c>
      <x:c r="G1878" s="27" t="str">
        <x:v>S19</x:v>
      </x:c>
      <x:c r="H1878" s="27" t="str">
        <x:v>Mathematics</x:v>
      </x:c>
      <x:c r="I1878" s="27" t="str">
        <x:v>SRC09</x:v>
      </x:c>
      <x:c r="J1878" s="27" t="str">
        <x:v>Grounding form used to preserve meaning.</x:v>
      </x:c>
    </x:row>
    <x:row r="1879">
      <x:c r="A1879" s="27" t="str">
        <x:v>E01875</x:v>
      </x:c>
      <x:c r="B1879" s="27" t="str">
        <x:v>S19-MATH-02</x:v>
      </x:c>
      <x:c r="C1879" s="27" t="str">
        <x:v>All four operations with signed rational numbers</x:v>
      </x:c>
      <x:c r="D1879" s="27" t="str">
        <x:v>CONNECTS_TO</x:v>
      </x:c>
      <x:c r="E1879" s="27" t="str">
        <x:v>S19-MATH-02:CROSS</x:v>
      </x:c>
      <x:c r="F1879" s="27" t="str">
        <x:v>Physical quantity and spatial action; science measurement/models; computing/algorithms; finance; music rhythm/pattern; geographic data.</x:v>
      </x:c>
      <x:c r="G1879" s="27" t="str">
        <x:v>S19</x:v>
      </x:c>
      <x:c r="H1879" s="27" t="str">
        <x:v>Mathematics</x:v>
      </x:c>
      <x:c r="I1879" s="27" t="str">
        <x:v>SRC09</x:v>
      </x:c>
      <x:c r="J1879" s="27" t="str">
        <x:v>Parallel subject and representation links.</x:v>
      </x:c>
    </x:row>
    <x:row r="1880">
      <x:c r="A1880" s="27" t="str">
        <x:v>E01876</x:v>
      </x:c>
      <x:c r="B1880" s="27" t="str">
        <x:v>S19-MATH-02</x:v>
      </x:c>
      <x:c r="C1880" s="27" t="str">
        <x:v>All four operations with signed rational numbers</x:v>
      </x:c>
      <x:c r="D1880" s="27" t="str">
        <x:v>UNLOCKS</x:v>
      </x:c>
      <x:c r="E1880" s="27" t="str">
        <x:v>S19-MATH-02:NEXT</x:v>
      </x:c>
      <x:c r="F1880" s="27" t="str">
        <x:v>Complete rational arithmetic is required for algebraic manipulation and quantitative science.</x:v>
      </x:c>
      <x:c r="G1880" s="27" t="str">
        <x:v>S19</x:v>
      </x:c>
      <x:c r="H1880" s="27" t="str">
        <x:v>Mathematics</x:v>
      </x:c>
      <x:c r="I1880" s="27" t="str">
        <x:v>SRC09</x:v>
      </x:c>
      <x:c r="J1880" s="27" t="str">
        <x:v>Outgoing use and placement rationale.</x:v>
      </x:c>
    </x:row>
    <x:row r="1881">
      <x:c r="A1881" s="27" t="str">
        <x:v>E01877</x:v>
      </x:c>
      <x:c r="B1881" s="27" t="str">
        <x:v>S19-MATH-02</x:v>
      </x:c>
      <x:c r="C1881" s="27" t="str">
        <x:v>All four operations with signed rational numbers</x:v>
      </x:c>
      <x:c r="D1881" s="27" t="str">
        <x:v>VERIFIED_BY</x:v>
      </x:c>
      <x:c r="E1881" s="27" t="str">
        <x:v>S19-MATH-02:EVIDENCE</x:v>
      </x:c>
      <x:c r="F1881" s="27" t="str">
        <x:v>Computes a mixed signed expression and explains sign and magnitude using context or properties.</x:v>
      </x:c>
      <x:c r="G1881" s="27" t="str">
        <x:v>S19</x:v>
      </x:c>
      <x:c r="H1881" s="27" t="str">
        <x:v>Mathematics</x:v>
      </x:c>
      <x:c r="I1881" s="27" t="str">
        <x:v>SRC09</x:v>
      </x:c>
      <x:c r="J1881" s="27" t="str">
        <x:v>Observable evidence of usable learning.</x:v>
      </x:c>
    </x:row>
    <x:row r="1882">
      <x:c r="A1882" s="27" t="str">
        <x:v>E01878</x:v>
      </x:c>
      <x:c r="B1882" s="27" t="str">
        <x:v>S19-MATH-02</x:v>
      </x:c>
      <x:c r="C1882" s="27" t="str">
        <x:v>Previous node in domain progression</x:v>
      </x:c>
      <x:c r="D1882" s="27" t="str">
        <x:v>DOMAIN_SEQUENCE</x:v>
      </x:c>
      <x:c r="E1882" s="27" t="str">
        <x:v>S19-MATH-03</x:v>
      </x:c>
      <x:c r="F1882" s="27" t="str">
        <x:v>Equivalent expressions and multi-step equations</x:v>
      </x:c>
      <x:c r="G1882" s="27" t="str">
        <x:v>S19</x:v>
      </x:c>
      <x:c r="H1882" s="27" t="str">
        <x:v>Mathematics</x:v>
      </x:c>
      <x:c r="I1882" s="27" t="str">
        <x:v>SRC09</x:v>
      </x:c>
      <x:c r="J1882" s="27" t="str">
        <x:v>Ordered spiral link; consult explicit prerequisites for logical dependency.</x:v>
      </x:c>
    </x:row>
    <x:row r="1883">
      <x:c r="A1883" s="27" t="str">
        <x:v>E01879</x:v>
      </x:c>
      <x:c r="B1883" s="27" t="str">
        <x:v>S19-MATH-03:PREREQ</x:v>
      </x:c>
      <x:c r="C1883" s="27" t="str">
        <x:v>Grade 6 expressions/one-step equations and rational operations.</x:v>
      </x:c>
      <x:c r="D1883" s="27" t="str">
        <x:v>PREREQUISITE</x:v>
      </x:c>
      <x:c r="E1883" s="27" t="str">
        <x:v>S19-MATH-03</x:v>
      </x:c>
      <x:c r="F1883" s="27" t="str">
        <x:v>Equivalent expressions and multi-step equations</x:v>
      </x:c>
      <x:c r="G1883" s="27" t="str">
        <x:v>S19</x:v>
      </x:c>
      <x:c r="H1883" s="27" t="str">
        <x:v>Mathematics</x:v>
      </x:c>
      <x:c r="I1883" s="27" t="str">
        <x:v>SRC09</x:v>
      </x:c>
      <x:c r="J1883" s="27" t="str">
        <x:v>Incoming prerequisite relationship.</x:v>
      </x:c>
    </x:row>
    <x:row r="1884">
      <x:c r="A1884" s="27" t="str">
        <x:v>E01880</x:v>
      </x:c>
      <x:c r="B1884" s="27" t="str">
        <x:v>S19-MATH-03:GROUND</x:v>
      </x:c>
      <x:c r="C1884" s="27" t="str">
        <x:v>G5/G6 — Coordinated representations within an evidence-based formal system</x:v>
      </x:c>
      <x:c r="D1884" s="27" t="str">
        <x:v>GROUNDED_BY</x:v>
      </x:c>
      <x:c r="E1884" s="27" t="str">
        <x:v>S19-MATH-03</x:v>
      </x:c>
      <x:c r="F1884" s="27" t="str">
        <x:v>Equivalent expressions and multi-step equations</x:v>
      </x:c>
      <x:c r="G1884" s="27" t="str">
        <x:v>S19</x:v>
      </x:c>
      <x:c r="H1884" s="27" t="str">
        <x:v>Mathematics</x:v>
      </x:c>
      <x:c r="I1884" s="27" t="str">
        <x:v>SRC09</x:v>
      </x:c>
      <x:c r="J1884" s="27" t="str">
        <x:v>Grounding form used to preserve meaning.</x:v>
      </x:c>
    </x:row>
    <x:row r="1885">
      <x:c r="A1885" s="27" t="str">
        <x:v>E01881</x:v>
      </x:c>
      <x:c r="B1885" s="27" t="str">
        <x:v>S19-MATH-03</x:v>
      </x:c>
      <x:c r="C1885" s="27" t="str">
        <x:v>Equivalent expressions and multi-step equations</x:v>
      </x:c>
      <x:c r="D1885" s="27" t="str">
        <x:v>CONNECTS_TO</x:v>
      </x:c>
      <x:c r="E1885" s="27" t="str">
        <x:v>S19-MATH-03:CROSS</x:v>
      </x:c>
      <x:c r="F1885" s="27" t="str">
        <x:v>Physical quantity and spatial action; science measurement/models; computing/algorithms; finance; music rhythm/pattern; geographic data.</x:v>
      </x:c>
      <x:c r="G1885" s="27" t="str">
        <x:v>S19</x:v>
      </x:c>
      <x:c r="H1885" s="27" t="str">
        <x:v>Mathematics</x:v>
      </x:c>
      <x:c r="I1885" s="27" t="str">
        <x:v>SRC09</x:v>
      </x:c>
      <x:c r="J1885" s="27" t="str">
        <x:v>Parallel subject and representation links.</x:v>
      </x:c>
    </x:row>
    <x:row r="1886">
      <x:c r="A1886" s="27" t="str">
        <x:v>E01882</x:v>
      </x:c>
      <x:c r="B1886" s="27" t="str">
        <x:v>S19-MATH-03</x:v>
      </x:c>
      <x:c r="C1886" s="27" t="str">
        <x:v>Equivalent expressions and multi-step equations</x:v>
      </x:c>
      <x:c r="D1886" s="27" t="str">
        <x:v>UNLOCKS</x:v>
      </x:c>
      <x:c r="E1886" s="27" t="str">
        <x:v>S19-MATH-03:NEXT</x:v>
      </x:c>
      <x:c r="F1886" s="27" t="str">
        <x:v>Symbolic equivalence and inverse operations prepare linear systems and functions.</x:v>
      </x:c>
      <x:c r="G1886" s="27" t="str">
        <x:v>S19</x:v>
      </x:c>
      <x:c r="H1886" s="27" t="str">
        <x:v>Mathematics</x:v>
      </x:c>
      <x:c r="I1886" s="27" t="str">
        <x:v>SRC09</x:v>
      </x:c>
      <x:c r="J1886" s="27" t="str">
        <x:v>Outgoing use and placement rationale.</x:v>
      </x:c>
    </x:row>
    <x:row r="1887">
      <x:c r="A1887" s="27" t="str">
        <x:v>E01883</x:v>
      </x:c>
      <x:c r="B1887" s="27" t="str">
        <x:v>S19-MATH-03</x:v>
      </x:c>
      <x:c r="C1887" s="27" t="str">
        <x:v>Equivalent expressions and multi-step equations</x:v>
      </x:c>
      <x:c r="D1887" s="27" t="str">
        <x:v>VERIFIED_BY</x:v>
      </x:c>
      <x:c r="E1887" s="27" t="str">
        <x:v>S19-MATH-03:EVIDENCE</x:v>
      </x:c>
      <x:c r="F1887" s="27" t="str">
        <x:v>Solves and verifies a multi-step equation and explains each equivalence-preserving move.</x:v>
      </x:c>
      <x:c r="G1887" s="27" t="str">
        <x:v>S19</x:v>
      </x:c>
      <x:c r="H1887" s="27" t="str">
        <x:v>Mathematics</x:v>
      </x:c>
      <x:c r="I1887" s="27" t="str">
        <x:v>SRC09</x:v>
      </x:c>
      <x:c r="J1887" s="27" t="str">
        <x:v>Observable evidence of usable learning.</x:v>
      </x:c>
    </x:row>
    <x:row r="1888">
      <x:c r="A1888" s="27" t="str">
        <x:v>E01884</x:v>
      </x:c>
      <x:c r="B1888" s="27" t="str">
        <x:v>S19-MATH-03</x:v>
      </x:c>
      <x:c r="C1888" s="27" t="str">
        <x:v>Previous node in domain progression</x:v>
      </x:c>
      <x:c r="D1888" s="27" t="str">
        <x:v>DOMAIN_SEQUENCE</x:v>
      </x:c>
      <x:c r="E1888" s="27" t="str">
        <x:v>S19-MATH-04</x:v>
      </x:c>
      <x:c r="F1888" s="27" t="str">
        <x:v>Percent change, proportional problems, scale drawings</x:v>
      </x:c>
      <x:c r="G1888" s="27" t="str">
        <x:v>S19</x:v>
      </x:c>
      <x:c r="H1888" s="27" t="str">
        <x:v>Mathematics</x:v>
      </x:c>
      <x:c r="I1888" s="27" t="str">
        <x:v>SRC09</x:v>
      </x:c>
      <x:c r="J1888" s="27" t="str">
        <x:v>Ordered spiral link; consult explicit prerequisites for logical dependency.</x:v>
      </x:c>
    </x:row>
    <x:row r="1889">
      <x:c r="A1889" s="27" t="str">
        <x:v>E01885</x:v>
      </x:c>
      <x:c r="B1889" s="27" t="str">
        <x:v>S19-MATH-04:PREREQ</x:v>
      </x:c>
      <x:c r="C1889" s="27" t="str">
        <x:v>Constants of proportionality, Grade 6 percent finance, and geometry measurement.</x:v>
      </x:c>
      <x:c r="D1889" s="27" t="str">
        <x:v>PREREQUISITE</x:v>
      </x:c>
      <x:c r="E1889" s="27" t="str">
        <x:v>S19-MATH-04</x:v>
      </x:c>
      <x:c r="F1889" s="27" t="str">
        <x:v>Percent change, proportional problems, scale drawings</x:v>
      </x:c>
      <x:c r="G1889" s="27" t="str">
        <x:v>S19</x:v>
      </x:c>
      <x:c r="H1889" s="27" t="str">
        <x:v>Mathematics</x:v>
      </x:c>
      <x:c r="I1889" s="27" t="str">
        <x:v>SRC09</x:v>
      </x:c>
      <x:c r="J1889" s="27" t="str">
        <x:v>Incoming prerequisite relationship.</x:v>
      </x:c>
    </x:row>
    <x:row r="1890">
      <x:c r="A1890" s="27" t="str">
        <x:v>E01886</x:v>
      </x:c>
      <x:c r="B1890" s="27" t="str">
        <x:v>S19-MATH-04:GROUND</x:v>
      </x:c>
      <x:c r="C1890" s="27" t="str">
        <x:v>G5/G6 — Coordinated representations within an evidence-based formal system</x:v>
      </x:c>
      <x:c r="D1890" s="27" t="str">
        <x:v>GROUNDED_BY</x:v>
      </x:c>
      <x:c r="E1890" s="27" t="str">
        <x:v>S19-MATH-04</x:v>
      </x:c>
      <x:c r="F1890" s="27" t="str">
        <x:v>Percent change, proportional problems, scale drawings</x:v>
      </x:c>
      <x:c r="G1890" s="27" t="str">
        <x:v>S19</x:v>
      </x:c>
      <x:c r="H1890" s="27" t="str">
        <x:v>Mathematics</x:v>
      </x:c>
      <x:c r="I1890" s="27" t="str">
        <x:v>SRC09</x:v>
      </x:c>
      <x:c r="J1890" s="27" t="str">
        <x:v>Grounding form used to preserve meaning.</x:v>
      </x:c>
    </x:row>
    <x:row r="1891">
      <x:c r="A1891" s="27" t="str">
        <x:v>E01887</x:v>
      </x:c>
      <x:c r="B1891" s="27" t="str">
        <x:v>S19-MATH-04</x:v>
      </x:c>
      <x:c r="C1891" s="27" t="str">
        <x:v>Percent change, proportional problems, scale drawings</x:v>
      </x:c>
      <x:c r="D1891" s="27" t="str">
        <x:v>CONNECTS_TO</x:v>
      </x:c>
      <x:c r="E1891" s="27" t="str">
        <x:v>S19-MATH-04:CROSS</x:v>
      </x:c>
      <x:c r="F1891" s="27" t="str">
        <x:v>Physical quantity and spatial action; science measurement/models; computing/algorithms; finance; music rhythm/pattern; geographic data.</x:v>
      </x:c>
      <x:c r="G1891" s="27" t="str">
        <x:v>S19</x:v>
      </x:c>
      <x:c r="H1891" s="27" t="str">
        <x:v>Mathematics</x:v>
      </x:c>
      <x:c r="I1891" s="27" t="str">
        <x:v>SRC09</x:v>
      </x:c>
      <x:c r="J1891" s="27" t="str">
        <x:v>Parallel subject and representation links.</x:v>
      </x:c>
    </x:row>
    <x:row r="1892">
      <x:c r="A1892" s="27" t="str">
        <x:v>E01888</x:v>
      </x:c>
      <x:c r="B1892" s="27" t="str">
        <x:v>S19-MATH-04</x:v>
      </x:c>
      <x:c r="C1892" s="27" t="str">
        <x:v>Percent change, proportional problems, scale drawings</x:v>
      </x:c>
      <x:c r="D1892" s="27" t="str">
        <x:v>UNLOCKS</x:v>
      </x:c>
      <x:c r="E1892" s="27" t="str">
        <x:v>S19-MATH-04:NEXT</x:v>
      </x:c>
      <x:c r="F1892" s="27" t="str">
        <x:v>Percent and scale apply one multiplicative structure across finance, maps, models, and measurement.</x:v>
      </x:c>
      <x:c r="G1892" s="27" t="str">
        <x:v>S19</x:v>
      </x:c>
      <x:c r="H1892" s="27" t="str">
        <x:v>Mathematics</x:v>
      </x:c>
      <x:c r="I1892" s="27" t="str">
        <x:v>SRC09</x:v>
      </x:c>
      <x:c r="J1892" s="27" t="str">
        <x:v>Outgoing use and placement rationale.</x:v>
      </x:c>
    </x:row>
    <x:row r="1893">
      <x:c r="A1893" s="27" t="str">
        <x:v>E01889</x:v>
      </x:c>
      <x:c r="B1893" s="27" t="str">
        <x:v>S19-MATH-04</x:v>
      </x:c>
      <x:c r="C1893" s="27" t="str">
        <x:v>Percent change, proportional problems, scale drawings</x:v>
      </x:c>
      <x:c r="D1893" s="27" t="str">
        <x:v>VERIFIED_BY</x:v>
      </x:c>
      <x:c r="E1893" s="27" t="str">
        <x:v>S19-MATH-04:EVIDENCE</x:v>
      </x:c>
      <x:c r="F1893" s="27" t="str">
        <x:v>Builds a proportion/equation, computes, and interprets the result and units.</x:v>
      </x:c>
      <x:c r="G1893" s="27" t="str">
        <x:v>S19</x:v>
      </x:c>
      <x:c r="H1893" s="27" t="str">
        <x:v>Mathematics</x:v>
      </x:c>
      <x:c r="I1893" s="27" t="str">
        <x:v>SRC09</x:v>
      </x:c>
      <x:c r="J1893" s="27" t="str">
        <x:v>Observable evidence of usable learning.</x:v>
      </x:c>
    </x:row>
    <x:row r="1894">
      <x:c r="A1894" s="27" t="str">
        <x:v>E01890</x:v>
      </x:c>
      <x:c r="B1894" s="27" t="str">
        <x:v>S19-MATH-04</x:v>
      </x:c>
      <x:c r="C1894" s="27" t="str">
        <x:v>Previous node in domain progression</x:v>
      </x:c>
      <x:c r="D1894" s="27" t="str">
        <x:v>DOMAIN_SEQUENCE</x:v>
      </x:c>
      <x:c r="E1894" s="27" t="str">
        <x:v>S19-MATH-05</x:v>
      </x:c>
      <x:c r="F1894" s="27" t="str">
        <x:v>Circles, angle relationships, area/volume/surface area</x:v>
      </x:c>
      <x:c r="G1894" s="27" t="str">
        <x:v>S19</x:v>
      </x:c>
      <x:c r="H1894" s="27" t="str">
        <x:v>Mathematics</x:v>
      </x:c>
      <x:c r="I1894" s="27" t="str">
        <x:v>SRC09</x:v>
      </x:c>
      <x:c r="J1894" s="27" t="str">
        <x:v>Ordered spiral link; consult explicit prerequisites for logical dependency.</x:v>
      </x:c>
    </x:row>
    <x:row r="1895">
      <x:c r="A1895" s="27" t="str">
        <x:v>E01891</x:v>
      </x:c>
      <x:c r="B1895" s="27" t="str">
        <x:v>S19-MATH-05:PREREQ</x:v>
      </x:c>
      <x:c r="C1895" s="27" t="str">
        <x:v>Grade 6 geometry, proportions, equations, and fraction/decimal operations.</x:v>
      </x:c>
      <x:c r="D1895" s="27" t="str">
        <x:v>PREREQUISITE</x:v>
      </x:c>
      <x:c r="E1895" s="27" t="str">
        <x:v>S19-MATH-05</x:v>
      </x:c>
      <x:c r="F1895" s="27" t="str">
        <x:v>Circles, angle relationships, area/volume/surface area</x:v>
      </x:c>
      <x:c r="G1895" s="27" t="str">
        <x:v>S19</x:v>
      </x:c>
      <x:c r="H1895" s="27" t="str">
        <x:v>Mathematics</x:v>
      </x:c>
      <x:c r="I1895" s="27" t="str">
        <x:v>SRC09</x:v>
      </x:c>
      <x:c r="J1895" s="27" t="str">
        <x:v>Incoming prerequisite relationship.</x:v>
      </x:c>
    </x:row>
    <x:row r="1896">
      <x:c r="A1896" s="27" t="str">
        <x:v>E01892</x:v>
      </x:c>
      <x:c r="B1896" s="27" t="str">
        <x:v>S19-MATH-05:GROUND</x:v>
      </x:c>
      <x:c r="C1896" s="27" t="str">
        <x:v>G5/G6 — Coordinated representations within an evidence-based formal system</x:v>
      </x:c>
      <x:c r="D1896" s="27" t="str">
        <x:v>GROUNDED_BY</x:v>
      </x:c>
      <x:c r="E1896" s="27" t="str">
        <x:v>S19-MATH-05</x:v>
      </x:c>
      <x:c r="F1896" s="27" t="str">
        <x:v>Circles, angle relationships, area/volume/surface area</x:v>
      </x:c>
      <x:c r="G1896" s="27" t="str">
        <x:v>S19</x:v>
      </x:c>
      <x:c r="H1896" s="27" t="str">
        <x:v>Mathematics</x:v>
      </x:c>
      <x:c r="I1896" s="27" t="str">
        <x:v>SRC09</x:v>
      </x:c>
      <x:c r="J1896" s="27" t="str">
        <x:v>Grounding form used to preserve meaning.</x:v>
      </x:c>
    </x:row>
    <x:row r="1897">
      <x:c r="A1897" s="27" t="str">
        <x:v>E01893</x:v>
      </x:c>
      <x:c r="B1897" s="27" t="str">
        <x:v>S19-MATH-05</x:v>
      </x:c>
      <x:c r="C1897" s="27" t="str">
        <x:v>Circles, angle relationships, area/volume/surface area</x:v>
      </x:c>
      <x:c r="D1897" s="27" t="str">
        <x:v>CONNECTS_TO</x:v>
      </x:c>
      <x:c r="E1897" s="27" t="str">
        <x:v>S19-MATH-05:CROSS</x:v>
      </x:c>
      <x:c r="F1897" s="27" t="str">
        <x:v>Physical quantity and spatial action; science measurement/models; computing/algorithms; finance; music rhythm/pattern; geographic data.</x:v>
      </x:c>
      <x:c r="G1897" s="27" t="str">
        <x:v>S19</x:v>
      </x:c>
      <x:c r="H1897" s="27" t="str">
        <x:v>Mathematics</x:v>
      </x:c>
      <x:c r="I1897" s="27" t="str">
        <x:v>SRC09</x:v>
      </x:c>
      <x:c r="J1897" s="27" t="str">
        <x:v>Parallel subject and representation links.</x:v>
      </x:c>
    </x:row>
    <x:row r="1898">
      <x:c r="A1898" s="27" t="str">
        <x:v>E01894</x:v>
      </x:c>
      <x:c r="B1898" s="27" t="str">
        <x:v>S19-MATH-05</x:v>
      </x:c>
      <x:c r="C1898" s="27" t="str">
        <x:v>Circles, angle relationships, area/volume/surface area</x:v>
      </x:c>
      <x:c r="D1898" s="27" t="str">
        <x:v>UNLOCKS</x:v>
      </x:c>
      <x:c r="E1898" s="27" t="str">
        <x:v>S19-MATH-05:NEXT</x:v>
      </x:c>
      <x:c r="F1898" s="27" t="str">
        <x:v>Geometric formulas become algebraic relationships and support Grade 8 transformations/Pythagorean work.</x:v>
      </x:c>
      <x:c r="G1898" s="27" t="str">
        <x:v>S19</x:v>
      </x:c>
      <x:c r="H1898" s="27" t="str">
        <x:v>Mathematics</x:v>
      </x:c>
      <x:c r="I1898" s="27" t="str">
        <x:v>SRC09</x:v>
      </x:c>
      <x:c r="J1898" s="27" t="str">
        <x:v>Outgoing use and placement rationale.</x:v>
      </x:c>
    </x:row>
    <x:row r="1899">
      <x:c r="A1899" s="27" t="str">
        <x:v>E01895</x:v>
      </x:c>
      <x:c r="B1899" s="27" t="str">
        <x:v>S19-MATH-05</x:v>
      </x:c>
      <x:c r="C1899" s="27" t="str">
        <x:v>Circles, angle relationships, area/volume/surface area</x:v>
      </x:c>
      <x:c r="D1899" s="27" t="str">
        <x:v>VERIFIED_BY</x:v>
      </x:c>
      <x:c r="E1899" s="27" t="str">
        <x:v>S19-MATH-05:EVIDENCE</x:v>
      </x:c>
      <x:c r="F1899" s="27" t="str">
        <x:v>Solves a composite problem and justifies decomposition, formula, and unit power.</x:v>
      </x:c>
      <x:c r="G1899" s="27" t="str">
        <x:v>S19</x:v>
      </x:c>
      <x:c r="H1899" s="27" t="str">
        <x:v>Mathematics</x:v>
      </x:c>
      <x:c r="I1899" s="27" t="str">
        <x:v>SRC09</x:v>
      </x:c>
      <x:c r="J1899" s="27" t="str">
        <x:v>Observable evidence of usable learning.</x:v>
      </x:c>
    </x:row>
    <x:row r="1900">
      <x:c r="A1900" s="27" t="str">
        <x:v>E01896</x:v>
      </x:c>
      <x:c r="B1900" s="27" t="str">
        <x:v>S19-MATH-05</x:v>
      </x:c>
      <x:c r="C1900" s="27" t="str">
        <x:v>Previous node in domain progression</x:v>
      </x:c>
      <x:c r="D1900" s="27" t="str">
        <x:v>DOMAIN_SEQUENCE</x:v>
      </x:c>
      <x:c r="E1900" s="27" t="str">
        <x:v>S19-MATH-06</x:v>
      </x:c>
      <x:c r="F1900" s="27" t="str">
        <x:v>Chance models, samples, and comparative distributions</x:v>
      </x:c>
      <x:c r="G1900" s="27" t="str">
        <x:v>S19</x:v>
      </x:c>
      <x:c r="H1900" s="27" t="str">
        <x:v>Mathematics</x:v>
      </x:c>
      <x:c r="I1900" s="27" t="str">
        <x:v>SRC09</x:v>
      </x:c>
      <x:c r="J1900" s="27" t="str">
        <x:v>Ordered spiral link; consult explicit prerequisites for logical dependency.</x:v>
      </x:c>
    </x:row>
    <x:row r="1901">
      <x:c r="A1901" s="27" t="str">
        <x:v>E01897</x:v>
      </x:c>
      <x:c r="B1901" s="27" t="str">
        <x:v>S19-MATH-06:PREREQ</x:v>
      </x:c>
      <x:c r="C1901" s="27" t="str">
        <x:v>Grade 6 distributions, ratios, and fraction operations.</x:v>
      </x:c>
      <x:c r="D1901" s="27" t="str">
        <x:v>PREREQUISITE</x:v>
      </x:c>
      <x:c r="E1901" s="27" t="str">
        <x:v>S19-MATH-06</x:v>
      </x:c>
      <x:c r="F1901" s="27" t="str">
        <x:v>Chance models, samples, and comparative distributions</x:v>
      </x:c>
      <x:c r="G1901" s="27" t="str">
        <x:v>S19</x:v>
      </x:c>
      <x:c r="H1901" s="27" t="str">
        <x:v>Mathematics</x:v>
      </x:c>
      <x:c r="I1901" s="27" t="str">
        <x:v>SRC09</x:v>
      </x:c>
      <x:c r="J1901" s="27" t="str">
        <x:v>Incoming prerequisite relationship.</x:v>
      </x:c>
    </x:row>
    <x:row r="1902">
      <x:c r="A1902" s="27" t="str">
        <x:v>E01898</x:v>
      </x:c>
      <x:c r="B1902" s="27" t="str">
        <x:v>S19-MATH-06:GROUND</x:v>
      </x:c>
      <x:c r="C1902" s="27" t="str">
        <x:v>G5/G6 — Coordinated representations within an evidence-based formal system</x:v>
      </x:c>
      <x:c r="D1902" s="27" t="str">
        <x:v>GROUNDED_BY</x:v>
      </x:c>
      <x:c r="E1902" s="27" t="str">
        <x:v>S19-MATH-06</x:v>
      </x:c>
      <x:c r="F1902" s="27" t="str">
        <x:v>Chance models, samples, and comparative distributions</x:v>
      </x:c>
      <x:c r="G1902" s="27" t="str">
        <x:v>S19</x:v>
      </x:c>
      <x:c r="H1902" s="27" t="str">
        <x:v>Mathematics</x:v>
      </x:c>
      <x:c r="I1902" s="27" t="str">
        <x:v>SRC09</x:v>
      </x:c>
      <x:c r="J1902" s="27" t="str">
        <x:v>Grounding form used to preserve meaning.</x:v>
      </x:c>
    </x:row>
    <x:row r="1903">
      <x:c r="A1903" s="27" t="str">
        <x:v>E01899</x:v>
      </x:c>
      <x:c r="B1903" s="27" t="str">
        <x:v>S19-MATH-06</x:v>
      </x:c>
      <x:c r="C1903" s="27" t="str">
        <x:v>Chance models, samples, and comparative distributions</x:v>
      </x:c>
      <x:c r="D1903" s="27" t="str">
        <x:v>CONNECTS_TO</x:v>
      </x:c>
      <x:c r="E1903" s="27" t="str">
        <x:v>S19-MATH-06:CROSS</x:v>
      </x:c>
      <x:c r="F1903" s="27" t="str">
        <x:v>Physical quantity and spatial action; science measurement/models; computing/algorithms; finance; music rhythm/pattern; geographic data.</x:v>
      </x:c>
      <x:c r="G1903" s="27" t="str">
        <x:v>S19</x:v>
      </x:c>
      <x:c r="H1903" s="27" t="str">
        <x:v>Mathematics</x:v>
      </x:c>
      <x:c r="I1903" s="27" t="str">
        <x:v>SRC09</x:v>
      </x:c>
      <x:c r="J1903" s="27" t="str">
        <x:v>Parallel subject and representation links.</x:v>
      </x:c>
    </x:row>
    <x:row r="1904">
      <x:c r="A1904" s="27" t="str">
        <x:v>E01900</x:v>
      </x:c>
      <x:c r="B1904" s="27" t="str">
        <x:v>S19-MATH-06</x:v>
      </x:c>
      <x:c r="C1904" s="27" t="str">
        <x:v>Chance models, samples, and comparative distributions</x:v>
      </x:c>
      <x:c r="D1904" s="27" t="str">
        <x:v>UNLOCKS</x:v>
      </x:c>
      <x:c r="E1904" s="27" t="str">
        <x:v>S19-MATH-06:NEXT</x:v>
      </x:c>
      <x:c r="F1904" s="27" t="str">
        <x:v>Chance and sampling connect data to inference under uncertainty.</x:v>
      </x:c>
      <x:c r="G1904" s="27" t="str">
        <x:v>S19</x:v>
      </x:c>
      <x:c r="H1904" s="27" t="str">
        <x:v>Mathematics</x:v>
      </x:c>
      <x:c r="I1904" s="27" t="str">
        <x:v>SRC09</x:v>
      </x:c>
      <x:c r="J1904" s="27" t="str">
        <x:v>Outgoing use and placement rationale.</x:v>
      </x:c>
    </x:row>
    <x:row r="1905">
      <x:c r="A1905" s="27" t="str">
        <x:v>E01901</x:v>
      </x:c>
      <x:c r="B1905" s="27" t="str">
        <x:v>S19-MATH-06</x:v>
      </x:c>
      <x:c r="C1905" s="27" t="str">
        <x:v>Chance models, samples, and comparative distributions</x:v>
      </x:c>
      <x:c r="D1905" s="27" t="str">
        <x:v>VERIFIED_BY</x:v>
      </x:c>
      <x:c r="E1905" s="27" t="str">
        <x:v>S19-MATH-06:EVIDENCE</x:v>
      </x:c>
      <x:c r="F1905" s="27" t="str">
        <x:v>Designs a simulation/sample argument and states a conclusion with variability limits.</x:v>
      </x:c>
      <x:c r="G1905" s="27" t="str">
        <x:v>S19</x:v>
      </x:c>
      <x:c r="H1905" s="27" t="str">
        <x:v>Mathematics</x:v>
      </x:c>
      <x:c r="I1905" s="27" t="str">
        <x:v>SRC09</x:v>
      </x:c>
      <x:c r="J1905" s="27" t="str">
        <x:v>Observable evidence of usable learning.</x:v>
      </x:c>
    </x:row>
    <x:row r="1906">
      <x:c r="A1906" s="27" t="str">
        <x:v>E01902</x:v>
      </x:c>
      <x:c r="B1906" s="27" t="str">
        <x:v>S18-SCI-03</x:v>
      </x:c>
      <x:c r="C1906" s="27" t="str">
        <x:v>Previous node in domain progression</x:v>
      </x:c>
      <x:c r="D1906" s="27" t="str">
        <x:v>DOMAIN_SEQUENCE</x:v>
      </x:c>
      <x:c r="E1906" s="27" t="str">
        <x:v>S19-SCI-01</x:v>
      </x:c>
      <x:c r="F1906" s="27" t="str">
        <x:v>Chemical reactions and ecosystem dynamics</x:v>
      </x:c>
      <x:c r="G1906" s="27" t="str">
        <x:v>S19</x:v>
      </x:c>
      <x:c r="H1906" s="27" t="str">
        <x:v>Science &amp; Engineering</x:v>
      </x:c>
      <x:c r="I1906" s="27" t="str">
        <x:v>SRC11</x:v>
      </x:c>
      <x:c r="J1906" s="27" t="str">
        <x:v>Ordered spiral link; consult explicit prerequisites for logical dependency.</x:v>
      </x:c>
    </x:row>
    <x:row r="1907">
      <x:c r="A1907" s="27" t="str">
        <x:v>E01903</x:v>
      </x:c>
      <x:c r="B1907" s="27" t="str">
        <x:v>S19-SCI-01:PREREQ</x:v>
      </x:c>
      <x:c r="C1907" s="27" t="str">
        <x:v>Grade 6 particles/thermal energy and ecosystems/cells.</x:v>
      </x:c>
      <x:c r="D1907" s="27" t="str">
        <x:v>PREREQUISITE</x:v>
      </x:c>
      <x:c r="E1907" s="27" t="str">
        <x:v>S19-SCI-01</x:v>
      </x:c>
      <x:c r="F1907" s="27" t="str">
        <x:v>Chemical reactions and ecosystem dynamics</x:v>
      </x:c>
      <x:c r="G1907" s="27" t="str">
        <x:v>S19</x:v>
      </x:c>
      <x:c r="H1907" s="27" t="str">
        <x:v>Science &amp; Engineering</x:v>
      </x:c>
      <x:c r="I1907" s="27" t="str">
        <x:v>SRC11</x:v>
      </x:c>
      <x:c r="J1907" s="27" t="str">
        <x:v>Incoming prerequisite relationship.</x:v>
      </x:c>
    </x:row>
    <x:row r="1908">
      <x:c r="A1908" s="27" t="str">
        <x:v>E01904</x:v>
      </x:c>
      <x:c r="B1908" s="27" t="str">
        <x:v>S19-SCI-01:GROUND</x:v>
      </x:c>
      <x:c r="C1908" s="27" t="str">
        <x:v>G5/G6 — Coordinated representations within an evidence-based formal system</x:v>
      </x:c>
      <x:c r="D1908" s="27" t="str">
        <x:v>GROUNDED_BY</x:v>
      </x:c>
      <x:c r="E1908" s="27" t="str">
        <x:v>S19-SCI-01</x:v>
      </x:c>
      <x:c r="F1908" s="27" t="str">
        <x:v>Chemical reactions and ecosystem dynamics</x:v>
      </x:c>
      <x:c r="G1908" s="27" t="str">
        <x:v>S19</x:v>
      </x:c>
      <x:c r="H1908" s="27" t="str">
        <x:v>Science &amp; Engineering</x:v>
      </x:c>
      <x:c r="I1908" s="27" t="str">
        <x:v>SRC11</x:v>
      </x:c>
      <x:c r="J1908" s="27" t="str">
        <x:v>Grounding form used to preserve meaning.</x:v>
      </x:c>
    </x:row>
    <x:row r="1909">
      <x:c r="A1909" s="27" t="str">
        <x:v>E01905</x:v>
      </x:c>
      <x:c r="B1909" s="27" t="str">
        <x:v>S19-SCI-01</x:v>
      </x:c>
      <x:c r="C1909" s="27" t="str">
        <x:v>Chemical reactions and ecosystem dynamics</x:v>
      </x:c>
      <x:c r="D1909" s="27" t="str">
        <x:v>CONNECTS_TO</x:v>
      </x:c>
      <x:c r="E1909" s="27" t="str">
        <x:v>S19-SCI-01:CROSS</x:v>
      </x:c>
      <x:c r="F1909" s="27" t="str">
        <x:v>Sensory observation and action; mathematics/data; reading/writing evidence; computing/models; health and environmental/civic decisions.</x:v>
      </x:c>
      <x:c r="G1909" s="27" t="str">
        <x:v>S19</x:v>
      </x:c>
      <x:c r="H1909" s="27" t="str">
        <x:v>Science &amp; Engineering</x:v>
      </x:c>
      <x:c r="I1909" s="27" t="str">
        <x:v>SRC11</x:v>
      </x:c>
      <x:c r="J1909" s="27" t="str">
        <x:v>Parallel subject and representation links.</x:v>
      </x:c>
    </x:row>
    <x:row r="1910">
      <x:c r="A1910" s="27" t="str">
        <x:v>E01906</x:v>
      </x:c>
      <x:c r="B1910" s="27" t="str">
        <x:v>S19-SCI-01</x:v>
      </x:c>
      <x:c r="C1910" s="27" t="str">
        <x:v>Chemical reactions and ecosystem dynamics</x:v>
      </x:c>
      <x:c r="D1910" s="27" t="str">
        <x:v>UNLOCKS</x:v>
      </x:c>
      <x:c r="E1910" s="27" t="str">
        <x:v>S19-SCI-01:NEXT</x:v>
      </x:c>
      <x:c r="F1910" s="27" t="str">
        <x:v>Conservation and systems feedback explain changes in chemical and ecological systems.</x:v>
      </x:c>
      <x:c r="G1910" s="27" t="str">
        <x:v>S19</x:v>
      </x:c>
      <x:c r="H1910" s="27" t="str">
        <x:v>Science &amp; Engineering</x:v>
      </x:c>
      <x:c r="I1910" s="27" t="str">
        <x:v>SRC11</x:v>
      </x:c>
      <x:c r="J1910" s="27" t="str">
        <x:v>Outgoing use and placement rationale.</x:v>
      </x:c>
    </x:row>
    <x:row r="1911">
      <x:c r="A1911" s="27" t="str">
        <x:v>E01907</x:v>
      </x:c>
      <x:c r="B1911" s="27" t="str">
        <x:v>S19-SCI-01</x:v>
      </x:c>
      <x:c r="C1911" s="27" t="str">
        <x:v>Chemical reactions and ecosystem dynamics</x:v>
      </x:c>
      <x:c r="D1911" s="27" t="str">
        <x:v>VERIFIED_BY</x:v>
      </x:c>
      <x:c r="E1911" s="27" t="str">
        <x:v>S19-SCI-01:EVIDENCE</x:v>
      </x:c>
      <x:c r="F1911" s="27" t="str">
        <x:v>Uses a model and data to trace conserved matter and explain a system change.</x:v>
      </x:c>
      <x:c r="G1911" s="27" t="str">
        <x:v>S19</x:v>
      </x:c>
      <x:c r="H1911" s="27" t="str">
        <x:v>Science &amp; Engineering</x:v>
      </x:c>
      <x:c r="I1911" s="27" t="str">
        <x:v>SRC11</x:v>
      </x:c>
      <x:c r="J1911" s="27" t="str">
        <x:v>Observable evidence of usable learning.</x:v>
      </x:c>
    </x:row>
    <x:row r="1912">
      <x:c r="A1912" s="27" t="str">
        <x:v>E01908</x:v>
      </x:c>
      <x:c r="B1912" s="27" t="str">
        <x:v>S19-SCI-01</x:v>
      </x:c>
      <x:c r="C1912" s="27" t="str">
        <x:v>Previous node in domain progression</x:v>
      </x:c>
      <x:c r="D1912" s="27" t="str">
        <x:v>DOMAIN_SEQUENCE</x:v>
      </x:c>
      <x:c r="E1912" s="27" t="str">
        <x:v>S19-SCI-02</x:v>
      </x:c>
      <x:c r="F1912" s="27" t="str">
        <x:v>Reproduction, heredity, and variation</x:v>
      </x:c>
      <x:c r="G1912" s="27" t="str">
        <x:v>S19</x:v>
      </x:c>
      <x:c r="H1912" s="27" t="str">
        <x:v>Science &amp; Engineering</x:v>
      </x:c>
      <x:c r="I1912" s="27" t="str">
        <x:v>SRC11</x:v>
      </x:c>
      <x:c r="J1912" s="27" t="str">
        <x:v>Ordered spiral link; consult explicit prerequisites for logical dependency.</x:v>
      </x:c>
    </x:row>
    <x:row r="1913">
      <x:c r="A1913" s="27" t="str">
        <x:v>E01909</x:v>
      </x:c>
      <x:c r="B1913" s="27" t="str">
        <x:v>S19-SCI-02:PREREQ</x:v>
      </x:c>
      <x:c r="C1913" s="27" t="str">
        <x:v>Grade 6 cells/systems and Grade 3/5 traits.</x:v>
      </x:c>
      <x:c r="D1913" s="27" t="str">
        <x:v>PREREQUISITE</x:v>
      </x:c>
      <x:c r="E1913" s="27" t="str">
        <x:v>S19-SCI-02</x:v>
      </x:c>
      <x:c r="F1913" s="27" t="str">
        <x:v>Reproduction, heredity, and variation</x:v>
      </x:c>
      <x:c r="G1913" s="27" t="str">
        <x:v>S19</x:v>
      </x:c>
      <x:c r="H1913" s="27" t="str">
        <x:v>Science &amp; Engineering</x:v>
      </x:c>
      <x:c r="I1913" s="27" t="str">
        <x:v>SRC11</x:v>
      </x:c>
      <x:c r="J1913" s="27" t="str">
        <x:v>Incoming prerequisite relationship.</x:v>
      </x:c>
    </x:row>
    <x:row r="1914">
      <x:c r="A1914" s="27" t="str">
        <x:v>E01910</x:v>
      </x:c>
      <x:c r="B1914" s="27" t="str">
        <x:v>S19-SCI-02:GROUND</x:v>
      </x:c>
      <x:c r="C1914" s="27" t="str">
        <x:v>G5/G6 — Coordinated representations within an evidence-based formal system</x:v>
      </x:c>
      <x:c r="D1914" s="27" t="str">
        <x:v>GROUNDED_BY</x:v>
      </x:c>
      <x:c r="E1914" s="27" t="str">
        <x:v>S19-SCI-02</x:v>
      </x:c>
      <x:c r="F1914" s="27" t="str">
        <x:v>Reproduction, heredity, and variation</x:v>
      </x:c>
      <x:c r="G1914" s="27" t="str">
        <x:v>S19</x:v>
      </x:c>
      <x:c r="H1914" s="27" t="str">
        <x:v>Science &amp; Engineering</x:v>
      </x:c>
      <x:c r="I1914" s="27" t="str">
        <x:v>SRC11</x:v>
      </x:c>
      <x:c r="J1914" s="27" t="str">
        <x:v>Grounding form used to preserve meaning.</x:v>
      </x:c>
    </x:row>
    <x:row r="1915">
      <x:c r="A1915" s="27" t="str">
        <x:v>E01911</x:v>
      </x:c>
      <x:c r="B1915" s="27" t="str">
        <x:v>S19-SCI-02</x:v>
      </x:c>
      <x:c r="C1915" s="27" t="str">
        <x:v>Reproduction, heredity, and variation</x:v>
      </x:c>
      <x:c r="D1915" s="27" t="str">
        <x:v>CONNECTS_TO</x:v>
      </x:c>
      <x:c r="E1915" s="27" t="str">
        <x:v>S19-SCI-02:CROSS</x:v>
      </x:c>
      <x:c r="F1915" s="27" t="str">
        <x:v>Sensory observation and action; mathematics/data; reading/writing evidence; computing/models; health and environmental/civic decisions.</x:v>
      </x:c>
      <x:c r="G1915" s="27" t="str">
        <x:v>S19</x:v>
      </x:c>
      <x:c r="H1915" s="27" t="str">
        <x:v>Science &amp; Engineering</x:v>
      </x:c>
      <x:c r="I1915" s="27" t="str">
        <x:v>SRC11</x:v>
      </x:c>
      <x:c r="J1915" s="27" t="str">
        <x:v>Parallel subject and representation links.</x:v>
      </x:c>
    </x:row>
    <x:row r="1916">
      <x:c r="A1916" s="27" t="str">
        <x:v>E01912</x:v>
      </x:c>
      <x:c r="B1916" s="27" t="str">
        <x:v>S19-SCI-02</x:v>
      </x:c>
      <x:c r="C1916" s="27" t="str">
        <x:v>Reproduction, heredity, and variation</x:v>
      </x:c>
      <x:c r="D1916" s="27" t="str">
        <x:v>UNLOCKS</x:v>
      </x:c>
      <x:c r="E1916" s="27" t="str">
        <x:v>S19-SCI-02:NEXT</x:v>
      </x:c>
      <x:c r="F1916" s="27" t="str">
        <x:v>Mechanisms of inheritance prepare natural selection and high-school genetics.</x:v>
      </x:c>
      <x:c r="G1916" s="27" t="str">
        <x:v>S19</x:v>
      </x:c>
      <x:c r="H1916" s="27" t="str">
        <x:v>Science &amp; Engineering</x:v>
      </x:c>
      <x:c r="I1916" s="27" t="str">
        <x:v>SRC11</x:v>
      </x:c>
      <x:c r="J1916" s="27" t="str">
        <x:v>Outgoing use and placement rationale.</x:v>
      </x:c>
    </x:row>
    <x:row r="1917">
      <x:c r="A1917" s="27" t="str">
        <x:v>E01913</x:v>
      </x:c>
      <x:c r="B1917" s="27" t="str">
        <x:v>S19-SCI-02</x:v>
      </x:c>
      <x:c r="C1917" s="27" t="str">
        <x:v>Reproduction, heredity, and variation</x:v>
      </x:c>
      <x:c r="D1917" s="27" t="str">
        <x:v>VERIFIED_BY</x:v>
      </x:c>
      <x:c r="E1917" s="27" t="str">
        <x:v>S19-SCI-02:EVIDENCE</x:v>
      </x:c>
      <x:c r="F1917" s="27" t="str">
        <x:v>Uses a model to distinguish inherited information, variation, and environmental effect.</x:v>
      </x:c>
      <x:c r="G1917" s="27" t="str">
        <x:v>S19</x:v>
      </x:c>
      <x:c r="H1917" s="27" t="str">
        <x:v>Science &amp; Engineering</x:v>
      </x:c>
      <x:c r="I1917" s="27" t="str">
        <x:v>SRC11</x:v>
      </x:c>
      <x:c r="J1917" s="27" t="str">
        <x:v>Observable evidence of usable learning.</x:v>
      </x:c>
    </x:row>
    <x:row r="1918">
      <x:c r="A1918" s="27" t="str">
        <x:v>E01914</x:v>
      </x:c>
      <x:c r="B1918" s="27" t="str">
        <x:v>S19-SCI-02</x:v>
      </x:c>
      <x:c r="C1918" s="27" t="str">
        <x:v>Previous node in domain progression</x:v>
      </x:c>
      <x:c r="D1918" s="27" t="str">
        <x:v>DOMAIN_SEQUENCE</x:v>
      </x:c>
      <x:c r="E1918" s="27" t="str">
        <x:v>S19-SCI-03</x:v>
      </x:c>
      <x:c r="F1918" s="27" t="str">
        <x:v>Gravity, seasons, weather, climate, and human impacts</x:v>
      </x:c>
      <x:c r="G1918" s="27" t="str">
        <x:v>S19</x:v>
      </x:c>
      <x:c r="H1918" s="27" t="str">
        <x:v>Science &amp; Engineering</x:v>
      </x:c>
      <x:c r="I1918" s="27" t="str">
        <x:v>SRC11</x:v>
      </x:c>
      <x:c r="J1918" s="27" t="str">
        <x:v>Ordered spiral link; consult explicit prerequisites for logical dependency.</x:v>
      </x:c>
    </x:row>
    <x:row r="1919">
      <x:c r="A1919" s="27" t="str">
        <x:v>E01915</x:v>
      </x:c>
      <x:c r="B1919" s="27" t="str">
        <x:v>S19-SCI-03:PREREQ</x:v>
      </x:c>
      <x:c r="C1919" s="27" t="str">
        <x:v>Grade 6 Earth systems, proportional reasoning, and distributions.</x:v>
      </x:c>
      <x:c r="D1919" s="27" t="str">
        <x:v>PREREQUISITE</x:v>
      </x:c>
      <x:c r="E1919" s="27" t="str">
        <x:v>S19-SCI-03</x:v>
      </x:c>
      <x:c r="F1919" s="27" t="str">
        <x:v>Gravity, seasons, weather, climate, and human impacts</x:v>
      </x:c>
      <x:c r="G1919" s="27" t="str">
        <x:v>S19</x:v>
      </x:c>
      <x:c r="H1919" s="27" t="str">
        <x:v>Science &amp; Engineering</x:v>
      </x:c>
      <x:c r="I1919" s="27" t="str">
        <x:v>SRC11</x:v>
      </x:c>
      <x:c r="J1919" s="27" t="str">
        <x:v>Incoming prerequisite relationship.</x:v>
      </x:c>
    </x:row>
    <x:row r="1920">
      <x:c r="A1920" s="27" t="str">
        <x:v>E01916</x:v>
      </x:c>
      <x:c r="B1920" s="27" t="str">
        <x:v>S19-SCI-03:GROUND</x:v>
      </x:c>
      <x:c r="C1920" s="27" t="str">
        <x:v>G5/G6 — Coordinated representations within an evidence-based formal system</x:v>
      </x:c>
      <x:c r="D1920" s="27" t="str">
        <x:v>GROUNDED_BY</x:v>
      </x:c>
      <x:c r="E1920" s="27" t="str">
        <x:v>S19-SCI-03</x:v>
      </x:c>
      <x:c r="F1920" s="27" t="str">
        <x:v>Gravity, seasons, weather, climate, and human impacts</x:v>
      </x:c>
      <x:c r="G1920" s="27" t="str">
        <x:v>S19</x:v>
      </x:c>
      <x:c r="H1920" s="27" t="str">
        <x:v>Science &amp; Engineering</x:v>
      </x:c>
      <x:c r="I1920" s="27" t="str">
        <x:v>SRC11</x:v>
      </x:c>
      <x:c r="J1920" s="27" t="str">
        <x:v>Grounding form used to preserve meaning.</x:v>
      </x:c>
    </x:row>
    <x:row r="1921">
      <x:c r="A1921" s="27" t="str">
        <x:v>E01917</x:v>
      </x:c>
      <x:c r="B1921" s="27" t="str">
        <x:v>S19-SCI-03</x:v>
      </x:c>
      <x:c r="C1921" s="27" t="str">
        <x:v>Gravity, seasons, weather, climate, and human impacts</x:v>
      </x:c>
      <x:c r="D1921" s="27" t="str">
        <x:v>CONNECTS_TO</x:v>
      </x:c>
      <x:c r="E1921" s="27" t="str">
        <x:v>S19-SCI-03:CROSS</x:v>
      </x:c>
      <x:c r="F1921" s="27" t="str">
        <x:v>Sensory observation and action; mathematics/data; reading/writing evidence; computing/models; health and environmental/civic decisions.</x:v>
      </x:c>
      <x:c r="G1921" s="27" t="str">
        <x:v>S19</x:v>
      </x:c>
      <x:c r="H1921" s="27" t="str">
        <x:v>Science &amp; Engineering</x:v>
      </x:c>
      <x:c r="I1921" s="27" t="str">
        <x:v>SRC11</x:v>
      </x:c>
      <x:c r="J1921" s="27" t="str">
        <x:v>Parallel subject and representation links.</x:v>
      </x:c>
    </x:row>
    <x:row r="1922">
      <x:c r="A1922" s="27" t="str">
        <x:v>E01918</x:v>
      </x:c>
      <x:c r="B1922" s="27" t="str">
        <x:v>S19-SCI-03</x:v>
      </x:c>
      <x:c r="C1922" s="27" t="str">
        <x:v>Gravity, seasons, weather, climate, and human impacts</x:v>
      </x:c>
      <x:c r="D1922" s="27" t="str">
        <x:v>UNLOCKS</x:v>
      </x:c>
      <x:c r="E1922" s="27" t="str">
        <x:v>S19-SCI-03:NEXT</x:v>
      </x:c>
      <x:c r="F1922" s="27" t="str">
        <x:v>Energy-driven circulation and gravity connect Earth to larger physical models and decisions.</x:v>
      </x:c>
      <x:c r="G1922" s="27" t="str">
        <x:v>S19</x:v>
      </x:c>
      <x:c r="H1922" s="27" t="str">
        <x:v>Science &amp; Engineering</x:v>
      </x:c>
      <x:c r="I1922" s="27" t="str">
        <x:v>SRC11</x:v>
      </x:c>
      <x:c r="J1922" s="27" t="str">
        <x:v>Outgoing use and placement rationale.</x:v>
      </x:c>
    </x:row>
    <x:row r="1923">
      <x:c r="A1923" s="27" t="str">
        <x:v>E01919</x:v>
      </x:c>
      <x:c r="B1923" s="27" t="str">
        <x:v>S19-SCI-03</x:v>
      </x:c>
      <x:c r="C1923" s="27" t="str">
        <x:v>Gravity, seasons, weather, climate, and human impacts</x:v>
      </x:c>
      <x:c r="D1923" s="27" t="str">
        <x:v>VERIFIED_BY</x:v>
      </x:c>
      <x:c r="E1923" s="27" t="str">
        <x:v>S19-SCI-03:EVIDENCE</x:v>
      </x:c>
      <x:c r="F1923" s="27" t="str">
        <x:v>Builds a causal explanation using system components, energy/matter movement, and data.</x:v>
      </x:c>
      <x:c r="G1923" s="27" t="str">
        <x:v>S19</x:v>
      </x:c>
      <x:c r="H1923" s="27" t="str">
        <x:v>Science &amp; Engineering</x:v>
      </x:c>
      <x:c r="I1923" s="27" t="str">
        <x:v>SRC11</x:v>
      </x:c>
      <x:c r="J1923" s="27" t="str">
        <x:v>Observable evidence of usable learning.</x:v>
      </x:c>
    </x:row>
    <x:row r="1924">
      <x:c r="A1924" s="27" t="str">
        <x:v>E01920</x:v>
      </x:c>
      <x:c r="B1924" s="27" t="str">
        <x:v>S18-SST-02</x:v>
      </x:c>
      <x:c r="C1924" s="27" t="str">
        <x:v>Previous node in domain progression</x:v>
      </x:c>
      <x:c r="D1924" s="27" t="str">
        <x:v>DOMAIN_SEQUENCE</x:v>
      </x:c>
      <x:c r="E1924" s="27" t="str">
        <x:v>S19-SST-01</x:v>
      </x:c>
      <x:c r="F1924" s="27" t="str">
        <x:v>Medieval-to-early-modern global networks</x:v>
      </x:c>
      <x:c r="G1924" s="27" t="str">
        <x:v>S19</x:v>
      </x:c>
      <x:c r="H1924" s="27" t="str">
        <x:v>Social Studies</x:v>
      </x:c>
      <x:c r="I1924" s="27" t="str">
        <x:v>SRC12; SRC24</x:v>
      </x:c>
      <x:c r="J1924" s="27" t="str">
        <x:v>Ordered spiral link; consult explicit prerequisites for logical dependency.</x:v>
      </x:c>
    </x:row>
    <x:row r="1925">
      <x:c r="A1925" s="27" t="str">
        <x:v>E01921</x:v>
      </x:c>
      <x:c r="B1925" s="27" t="str">
        <x:v>S19-SST-01:PREREQ</x:v>
      </x:c>
      <x:c r="C1925" s="27" t="str">
        <x:v>Grade 6 ancient comparison, chronology, and conflict-source analysis.</x:v>
      </x:c>
      <x:c r="D1925" s="27" t="str">
        <x:v>PREREQUISITE</x:v>
      </x:c>
      <x:c r="E1925" s="27" t="str">
        <x:v>S19-SST-01</x:v>
      </x:c>
      <x:c r="F1925" s="27" t="str">
        <x:v>Medieval-to-early-modern global networks</x:v>
      </x:c>
      <x:c r="G1925" s="27" t="str">
        <x:v>S19</x:v>
      </x:c>
      <x:c r="H1925" s="27" t="str">
        <x:v>Social Studies</x:v>
      </x:c>
      <x:c r="I1925" s="27" t="str">
        <x:v>SRC12; SRC24</x:v>
      </x:c>
      <x:c r="J1925" s="27" t="str">
        <x:v>Incoming prerequisite relationship.</x:v>
      </x:c>
    </x:row>
    <x:row r="1926">
      <x:c r="A1926" s="27" t="str">
        <x:v>E01922</x:v>
      </x:c>
      <x:c r="B1926" s="27" t="str">
        <x:v>S19-SST-01:GROUND</x:v>
      </x:c>
      <x:c r="C1926" s="27" t="str">
        <x:v>G5/G6 — Coordinated representations within an evidence-based formal system</x:v>
      </x:c>
      <x:c r="D1926" s="27" t="str">
        <x:v>GROUNDED_BY</x:v>
      </x:c>
      <x:c r="E1926" s="27" t="str">
        <x:v>S19-SST-01</x:v>
      </x:c>
      <x:c r="F1926" s="27" t="str">
        <x:v>Medieval-to-early-modern global networks</x:v>
      </x:c>
      <x:c r="G1926" s="27" t="str">
        <x:v>S19</x:v>
      </x:c>
      <x:c r="H1926" s="27" t="str">
        <x:v>Social Studies</x:v>
      </x:c>
      <x:c r="I1926" s="27" t="str">
        <x:v>SRC12; SRC24</x:v>
      </x:c>
      <x:c r="J1926" s="27" t="str">
        <x:v>Grounding form used to preserve meaning.</x:v>
      </x:c>
    </x:row>
    <x:row r="1927">
      <x:c r="A1927" s="27" t="str">
        <x:v>E01923</x:v>
      </x:c>
      <x:c r="B1927" s="27" t="str">
        <x:v>S19-SST-01</x:v>
      </x:c>
      <x:c r="C1927" s="27" t="str">
        <x:v>Medieval-to-early-modern global networks</x:v>
      </x:c>
      <x:c r="D1927" s="27" t="str">
        <x:v>CONNECTS_TO</x:v>
      </x:c>
      <x:c r="E1927" s="27" t="str">
        <x:v>S19-SST-01:CROSS</x:v>
      </x:c>
      <x:c r="F1927" s="27" t="str">
        <x:v>Language/literacy and source evidence; maps/data/economics; ethics/SEL; media literacy; arts/culture; civic action.</x:v>
      </x:c>
      <x:c r="G1927" s="27" t="str">
        <x:v>S19</x:v>
      </x:c>
      <x:c r="H1927" s="27" t="str">
        <x:v>Social Studies</x:v>
      </x:c>
      <x:c r="I1927" s="27" t="str">
        <x:v>SRC12; SRC24</x:v>
      </x:c>
      <x:c r="J1927" s="27" t="str">
        <x:v>Parallel subject and representation links.</x:v>
      </x:c>
    </x:row>
    <x:row r="1928">
      <x:c r="A1928" s="27" t="str">
        <x:v>E01924</x:v>
      </x:c>
      <x:c r="B1928" s="27" t="str">
        <x:v>S19-SST-01</x:v>
      </x:c>
      <x:c r="C1928" s="27" t="str">
        <x:v>Medieval-to-early-modern global networks</x:v>
      </x:c>
      <x:c r="D1928" s="27" t="str">
        <x:v>UNLOCKS</x:v>
      </x:c>
      <x:c r="E1928" s="27" t="str">
        <x:v>S19-SST-01:NEXT</x:v>
      </x:c>
      <x:c r="F1928" s="27" t="str">
        <x:v>Network analysis explains simultaneous diffusion, power, interdependence, and unequal consequences.</x:v>
      </x:c>
      <x:c r="G1928" s="27" t="str">
        <x:v>S19</x:v>
      </x:c>
      <x:c r="H1928" s="27" t="str">
        <x:v>Social Studies</x:v>
      </x:c>
      <x:c r="I1928" s="27" t="str">
        <x:v>SRC12; SRC24</x:v>
      </x:c>
      <x:c r="J1928" s="27" t="str">
        <x:v>Outgoing use and placement rationale.</x:v>
      </x:c>
    </x:row>
    <x:row r="1929">
      <x:c r="A1929" s="27" t="str">
        <x:v>E01925</x:v>
      </x:c>
      <x:c r="B1929" s="27" t="str">
        <x:v>S19-SST-01</x:v>
      </x:c>
      <x:c r="C1929" s="27" t="str">
        <x:v>Medieval-to-early-modern global networks</x:v>
      </x:c>
      <x:c r="D1929" s="27" t="str">
        <x:v>VERIFIED_BY</x:v>
      </x:c>
      <x:c r="E1929" s="27" t="str">
        <x:v>S19-SST-01:EVIDENCE</x:v>
      </x:c>
      <x:c r="F1929" s="27" t="str">
        <x:v>Constructs a causal network using evidence from multiple regions and perspectives.</x:v>
      </x:c>
      <x:c r="G1929" s="27" t="str">
        <x:v>S19</x:v>
      </x:c>
      <x:c r="H1929" s="27" t="str">
        <x:v>Social Studies</x:v>
      </x:c>
      <x:c r="I1929" s="27" t="str">
        <x:v>SRC12; SRC24</x:v>
      </x:c>
      <x:c r="J1929" s="27" t="str">
        <x:v>Observable evidence of usable learning.</x:v>
      </x:c>
    </x:row>
    <x:row r="1930">
      <x:c r="A1930" s="27" t="str">
        <x:v>E01926</x:v>
      </x:c>
      <x:c r="B1930" s="27" t="str">
        <x:v>S19-SST-01</x:v>
      </x:c>
      <x:c r="C1930" s="27" t="str">
        <x:v>Previous node in domain progression</x:v>
      </x:c>
      <x:c r="D1930" s="27" t="str">
        <x:v>DOMAIN_SEQUENCE</x:v>
      </x:c>
      <x:c r="E1930" s="27" t="str">
        <x:v>S19-SST-02</x:v>
      </x:c>
      <x:c r="F1930" s="27" t="str">
        <x:v>Rights, law, markets, and collective action</x:v>
      </x:c>
      <x:c r="G1930" s="27" t="str">
        <x:v>S19</x:v>
      </x:c>
      <x:c r="H1930" s="27" t="str">
        <x:v>Social Studies</x:v>
      </x:c>
      <x:c r="I1930" s="27" t="str">
        <x:v>SRC12</x:v>
      </x:c>
      <x:c r="J1930" s="27" t="str">
        <x:v>Ordered spiral link; consult explicit prerequisites for logical dependency.</x:v>
      </x:c>
    </x:row>
    <x:row r="1931">
      <x:c r="A1931" s="27" t="str">
        <x:v>E01927</x:v>
      </x:c>
      <x:c r="B1931" s="27" t="str">
        <x:v>S19-SST-02:PREREQ</x:v>
      </x:c>
      <x:c r="C1931" s="27" t="str">
        <x:v>Grade 6 institutions/incentives, counterclaim, and decision model.</x:v>
      </x:c>
      <x:c r="D1931" s="27" t="str">
        <x:v>PREREQUISITE</x:v>
      </x:c>
      <x:c r="E1931" s="27" t="str">
        <x:v>S19-SST-02</x:v>
      </x:c>
      <x:c r="F1931" s="27" t="str">
        <x:v>Rights, law, markets, and collective action</x:v>
      </x:c>
      <x:c r="G1931" s="27" t="str">
        <x:v>S19</x:v>
      </x:c>
      <x:c r="H1931" s="27" t="str">
        <x:v>Social Studies</x:v>
      </x:c>
      <x:c r="I1931" s="27" t="str">
        <x:v>SRC12</x:v>
      </x:c>
      <x:c r="J1931" s="27" t="str">
        <x:v>Incoming prerequisite relationship.</x:v>
      </x:c>
    </x:row>
    <x:row r="1932">
      <x:c r="A1932" s="27" t="str">
        <x:v>E01928</x:v>
      </x:c>
      <x:c r="B1932" s="27" t="str">
        <x:v>S19-SST-02:GROUND</x:v>
      </x:c>
      <x:c r="C1932" s="27" t="str">
        <x:v>G5/G6 — Coordinated representations within an evidence-based formal system</x:v>
      </x:c>
      <x:c r="D1932" s="27" t="str">
        <x:v>GROUNDED_BY</x:v>
      </x:c>
      <x:c r="E1932" s="27" t="str">
        <x:v>S19-SST-02</x:v>
      </x:c>
      <x:c r="F1932" s="27" t="str">
        <x:v>Rights, law, markets, and collective action</x:v>
      </x:c>
      <x:c r="G1932" s="27" t="str">
        <x:v>S19</x:v>
      </x:c>
      <x:c r="H1932" s="27" t="str">
        <x:v>Social Studies</x:v>
      </x:c>
      <x:c r="I1932" s="27" t="str">
        <x:v>SRC12</x:v>
      </x:c>
      <x:c r="J1932" s="27" t="str">
        <x:v>Grounding form used to preserve meaning.</x:v>
      </x:c>
    </x:row>
    <x:row r="1933">
      <x:c r="A1933" s="27" t="str">
        <x:v>E01929</x:v>
      </x:c>
      <x:c r="B1933" s="27" t="str">
        <x:v>S19-SST-02</x:v>
      </x:c>
      <x:c r="C1933" s="27" t="str">
        <x:v>Rights, law, markets, and collective action</x:v>
      </x:c>
      <x:c r="D1933" s="27" t="str">
        <x:v>CONNECTS_TO</x:v>
      </x:c>
      <x:c r="E1933" s="27" t="str">
        <x:v>S19-SST-02:CROSS</x:v>
      </x:c>
      <x:c r="F1933" s="27" t="str">
        <x:v>Language/literacy and source evidence; maps/data/economics; ethics/SEL; media literacy; arts/culture; civic action.</x:v>
      </x:c>
      <x:c r="G1933" s="27" t="str">
        <x:v>S19</x:v>
      </x:c>
      <x:c r="H1933" s="27" t="str">
        <x:v>Social Studies</x:v>
      </x:c>
      <x:c r="I1933" s="27" t="str">
        <x:v>SRC12</x:v>
      </x:c>
      <x:c r="J1933" s="27" t="str">
        <x:v>Parallel subject and representation links.</x:v>
      </x:c>
    </x:row>
    <x:row r="1934">
      <x:c r="A1934" s="27" t="str">
        <x:v>E01930</x:v>
      </x:c>
      <x:c r="B1934" s="27" t="str">
        <x:v>S19-SST-02</x:v>
      </x:c>
      <x:c r="C1934" s="27" t="str">
        <x:v>Rights, law, markets, and collective action</x:v>
      </x:c>
      <x:c r="D1934" s="27" t="str">
        <x:v>UNLOCKS</x:v>
      </x:c>
      <x:c r="E1934" s="27" t="str">
        <x:v>S19-SST-02:NEXT</x:v>
      </x:c>
      <x:c r="F1934" s="27" t="str">
        <x:v>Rights and collective action link institutional design to lived outcomes.</x:v>
      </x:c>
      <x:c r="G1934" s="27" t="str">
        <x:v>S19</x:v>
      </x:c>
      <x:c r="H1934" s="27" t="str">
        <x:v>Social Studies</x:v>
      </x:c>
      <x:c r="I1934" s="27" t="str">
        <x:v>SRC12</x:v>
      </x:c>
      <x:c r="J1934" s="27" t="str">
        <x:v>Outgoing use and placement rationale.</x:v>
      </x:c>
    </x:row>
    <x:row r="1935">
      <x:c r="A1935" s="27" t="str">
        <x:v>E01931</x:v>
      </x:c>
      <x:c r="B1935" s="27" t="str">
        <x:v>S19-SST-02</x:v>
      </x:c>
      <x:c r="C1935" s="27" t="str">
        <x:v>Rights, law, markets, and collective action</x:v>
      </x:c>
      <x:c r="D1935" s="27" t="str">
        <x:v>VERIFIED_BY</x:v>
      </x:c>
      <x:c r="E1935" s="27" t="str">
        <x:v>S19-SST-02:EVIDENCE</x:v>
      </x:c>
      <x:c r="F1935" s="27" t="str">
        <x:v>Evaluates a policy or historical choice using legal, economic, stakeholder, and evidence criteria.</x:v>
      </x:c>
      <x:c r="G1935" s="27" t="str">
        <x:v>S19</x:v>
      </x:c>
      <x:c r="H1935" s="27" t="str">
        <x:v>Social Studies</x:v>
      </x:c>
      <x:c r="I1935" s="27" t="str">
        <x:v>SRC12</x:v>
      </x:c>
      <x:c r="J1935" s="27" t="str">
        <x:v>Observable evidence of usable learning.</x:v>
      </x:c>
    </x:row>
    <x:row r="1936">
      <x:c r="A1936" s="27" t="str">
        <x:v>E01932</x:v>
      </x:c>
      <x:c r="B1936" s="27" t="str">
        <x:v>S18-ARTS-01</x:v>
      </x:c>
      <x:c r="C1936" s="27" t="str">
        <x:v>Previous node in domain progression</x:v>
      </x:c>
      <x:c r="D1936" s="27" t="str">
        <x:v>DOMAIN_SEQUENCE</x:v>
      </x:c>
      <x:c r="E1936" s="27" t="str">
        <x:v>S19-ARTS-01</x:v>
      </x:c>
      <x:c r="F1936" s="27" t="str">
        <x:v>Harmony, improvisation, composition, and analysis</x:v>
      </x:c>
      <x:c r="G1936" s="27" t="str">
        <x:v>S19</x:v>
      </x:c>
      <x:c r="H1936" s="27" t="str">
        <x:v>Music &amp; Arts</x:v>
      </x:c>
      <x:c r="I1936" s="27" t="str">
        <x:v>SRC13</x:v>
      </x:c>
      <x:c r="J1936" s="27" t="str">
        <x:v>Ordered spiral link; consult explicit prerequisites for logical dependency.</x:v>
      </x:c>
    </x:row>
    <x:row r="1937">
      <x:c r="A1937" s="27" t="str">
        <x:v>E01933</x:v>
      </x:c>
      <x:c r="B1937" s="27" t="str">
        <x:v>S19-ARTS-01:PREREQ</x:v>
      </x:c>
      <x:c r="C1937" s="27" t="str">
        <x:v>Grade 6 scales/chords/form and deliberate refinement.</x:v>
      </x:c>
      <x:c r="D1937" s="27" t="str">
        <x:v>PREREQUISITE</x:v>
      </x:c>
      <x:c r="E1937" s="27" t="str">
        <x:v>S19-ARTS-01</x:v>
      </x:c>
      <x:c r="F1937" s="27" t="str">
        <x:v>Harmony, improvisation, composition, and analysis</x:v>
      </x:c>
      <x:c r="G1937" s="27" t="str">
        <x:v>S19</x:v>
      </x:c>
      <x:c r="H1937" s="27" t="str">
        <x:v>Music &amp; Arts</x:v>
      </x:c>
      <x:c r="I1937" s="27" t="str">
        <x:v>SRC13</x:v>
      </x:c>
      <x:c r="J1937" s="27" t="str">
        <x:v>Incoming prerequisite relationship.</x:v>
      </x:c>
    </x:row>
    <x:row r="1938">
      <x:c r="A1938" s="27" t="str">
        <x:v>E01934</x:v>
      </x:c>
      <x:c r="B1938" s="27" t="str">
        <x:v>S19-ARTS-01:GROUND</x:v>
      </x:c>
      <x:c r="C1938" s="27" t="str">
        <x:v>G5/G6 — Coordinated representations within an evidence-based formal system</x:v>
      </x:c>
      <x:c r="D1938" s="27" t="str">
        <x:v>GROUNDED_BY</x:v>
      </x:c>
      <x:c r="E1938" s="27" t="str">
        <x:v>S19-ARTS-01</x:v>
      </x:c>
      <x:c r="F1938" s="27" t="str">
        <x:v>Harmony, improvisation, composition, and analysis</x:v>
      </x:c>
      <x:c r="G1938" s="27" t="str">
        <x:v>S19</x:v>
      </x:c>
      <x:c r="H1938" s="27" t="str">
        <x:v>Music &amp; Arts</x:v>
      </x:c>
      <x:c r="I1938" s="27" t="str">
        <x:v>SRC13</x:v>
      </x:c>
      <x:c r="J1938" s="27" t="str">
        <x:v>Grounding form used to preserve meaning.</x:v>
      </x:c>
    </x:row>
    <x:row r="1939">
      <x:c r="A1939" s="27" t="str">
        <x:v>E01935</x:v>
      </x:c>
      <x:c r="B1939" s="27" t="str">
        <x:v>S19-ARTS-01</x:v>
      </x:c>
      <x:c r="C1939" s="27" t="str">
        <x:v>Harmony, improvisation, composition, and analysis</x:v>
      </x:c>
      <x:c r="D1939" s="27" t="str">
        <x:v>CONNECTS_TO</x:v>
      </x:c>
      <x:c r="E1939" s="27" t="str">
        <x:v>S19-ARTS-01:CROSS</x:v>
      </x:c>
      <x:c r="F1939" s="27" t="str">
        <x:v>Sensory discrimination; motor timing; language/prosody; mathematics/pattern; history/culture; emotion, design, and technology.</x:v>
      </x:c>
      <x:c r="G1939" s="27" t="str">
        <x:v>S19</x:v>
      </x:c>
      <x:c r="H1939" s="27" t="str">
        <x:v>Music &amp; Arts</x:v>
      </x:c>
      <x:c r="I1939" s="27" t="str">
        <x:v>SRC13</x:v>
      </x:c>
      <x:c r="J1939" s="27" t="str">
        <x:v>Parallel subject and representation links.</x:v>
      </x:c>
    </x:row>
    <x:row r="1940">
      <x:c r="A1940" s="27" t="str">
        <x:v>E01936</x:v>
      </x:c>
      <x:c r="B1940" s="27" t="str">
        <x:v>S19-ARTS-01</x:v>
      </x:c>
      <x:c r="C1940" s="27" t="str">
        <x:v>Harmony, improvisation, composition, and analysis</x:v>
      </x:c>
      <x:c r="D1940" s="27" t="str">
        <x:v>UNLOCKS</x:v>
      </x:c>
      <x:c r="E1940" s="27" t="str">
        <x:v>S19-ARTS-01:NEXT</x:v>
      </x:c>
      <x:c r="F1940" s="27" t="str">
        <x:v>Generative use of tonal/formal systems marks the shift from reproduction toward authorship.</x:v>
      </x:c>
      <x:c r="G1940" s="27" t="str">
        <x:v>S19</x:v>
      </x:c>
      <x:c r="H1940" s="27" t="str">
        <x:v>Music &amp; Arts</x:v>
      </x:c>
      <x:c r="I1940" s="27" t="str">
        <x:v>SRC13</x:v>
      </x:c>
      <x:c r="J1940" s="27" t="str">
        <x:v>Outgoing use and placement rationale.</x:v>
      </x:c>
    </x:row>
    <x:row r="1941">
      <x:c r="A1941" s="27" t="str">
        <x:v>E01937</x:v>
      </x:c>
      <x:c r="B1941" s="27" t="str">
        <x:v>S19-ARTS-01</x:v>
      </x:c>
      <x:c r="C1941" s="27" t="str">
        <x:v>Harmony, improvisation, composition, and analysis</x:v>
      </x:c>
      <x:c r="D1941" s="27" t="str">
        <x:v>VERIFIED_BY</x:v>
      </x:c>
      <x:c r="E1941" s="27" t="str">
        <x:v>S19-ARTS-01:EVIDENCE</x:v>
      </x:c>
      <x:c r="F1941" s="27" t="str">
        <x:v>Creates or performs an original/arranged section and explains harmonic/formal decisions.</x:v>
      </x:c>
      <x:c r="G1941" s="27" t="str">
        <x:v>S19</x:v>
      </x:c>
      <x:c r="H1941" s="27" t="str">
        <x:v>Music &amp; Arts</x:v>
      </x:c>
      <x:c r="I1941" s="27" t="str">
        <x:v>SRC13</x:v>
      </x:c>
      <x:c r="J1941" s="27" t="str">
        <x:v>Observable evidence of usable learning.</x:v>
      </x:c>
    </x:row>
    <x:row r="1942">
      <x:c r="A1942" s="27" t="str">
        <x:v>E01938</x:v>
      </x:c>
      <x:c r="B1942" s="27" t="str">
        <x:v>S18-HLTH-01</x:v>
      </x:c>
      <x:c r="C1942" s="27" t="str">
        <x:v>Previous node in domain progression</x:v>
      </x:c>
      <x:c r="D1942" s="27" t="str">
        <x:v>DOMAIN_SEQUENCE</x:v>
      </x:c>
      <x:c r="E1942" s="27" t="str">
        <x:v>S19-HLTH-01</x:v>
      </x:c>
      <x:c r="F1942" s="27" t="str">
        <x:v>Risk, protective factors, communication, and goals</x:v>
      </x:c>
      <x:c r="G1942" s="27" t="str">
        <x:v>S19</x:v>
      </x:c>
      <x:c r="H1942" s="27" t="str">
        <x:v>Physical &amp; Health</x:v>
      </x:c>
      <x:c r="I1942" s="27" t="str">
        <x:v>SRC14; SRC15</x:v>
      </x:c>
      <x:c r="J1942" s="27" t="str">
        <x:v>Ordered spiral link; consult explicit prerequisites for logical dependency.</x:v>
      </x:c>
    </x:row>
    <x:row r="1943">
      <x:c r="A1943" s="27" t="str">
        <x:v>E01939</x:v>
      </x:c>
      <x:c r="B1943" s="27" t="str">
        <x:v>S19-HLTH-01:PREREQ</x:v>
      </x:c>
      <x:c r="C1943" s="27" t="str">
        <x:v>Grade 6 adolescent health, decision model, and statistics/probability.</x:v>
      </x:c>
      <x:c r="D1943" s="27" t="str">
        <x:v>PREREQUISITE</x:v>
      </x:c>
      <x:c r="E1943" s="27" t="str">
        <x:v>S19-HLTH-01</x:v>
      </x:c>
      <x:c r="F1943" s="27" t="str">
        <x:v>Risk, protective factors, communication, and goals</x:v>
      </x:c>
      <x:c r="G1943" s="27" t="str">
        <x:v>S19</x:v>
      </x:c>
      <x:c r="H1943" s="27" t="str">
        <x:v>Physical &amp; Health</x:v>
      </x:c>
      <x:c r="I1943" s="27" t="str">
        <x:v>SRC14; SRC15</x:v>
      </x:c>
      <x:c r="J1943" s="27" t="str">
        <x:v>Incoming prerequisite relationship.</x:v>
      </x:c>
    </x:row>
    <x:row r="1944">
      <x:c r="A1944" s="27" t="str">
        <x:v>E01940</x:v>
      </x:c>
      <x:c r="B1944" s="27" t="str">
        <x:v>S19-HLTH-01:GROUND</x:v>
      </x:c>
      <x:c r="C1944" s="27" t="str">
        <x:v>G5/G6 — Coordinated representations within an evidence-based formal system</x:v>
      </x:c>
      <x:c r="D1944" s="27" t="str">
        <x:v>GROUNDED_BY</x:v>
      </x:c>
      <x:c r="E1944" s="27" t="str">
        <x:v>S19-HLTH-01</x:v>
      </x:c>
      <x:c r="F1944" s="27" t="str">
        <x:v>Risk, protective factors, communication, and goals</x:v>
      </x:c>
      <x:c r="G1944" s="27" t="str">
        <x:v>S19</x:v>
      </x:c>
      <x:c r="H1944" s="27" t="str">
        <x:v>Physical &amp; Health</x:v>
      </x:c>
      <x:c r="I1944" s="27" t="str">
        <x:v>SRC14; SRC15</x:v>
      </x:c>
      <x:c r="J1944" s="27" t="str">
        <x:v>Grounding form used to preserve meaning.</x:v>
      </x:c>
    </x:row>
    <x:row r="1945">
      <x:c r="A1945" s="27" t="str">
        <x:v>E01941</x:v>
      </x:c>
      <x:c r="B1945" s="27" t="str">
        <x:v>S19-HLTH-01</x:v>
      </x:c>
      <x:c r="C1945" s="27" t="str">
        <x:v>Risk, protective factors, communication, and goals</x:v>
      </x:c>
      <x:c r="D1945" s="27" t="str">
        <x:v>CONNECTS_TO</x:v>
      </x:c>
      <x:c r="E1945" s="27" t="str">
        <x:v>S19-HLTH-01:CROSS</x:v>
      </x:c>
      <x:c r="F1945" s="27" t="str">
        <x:v>Motor/sensory development; life science; measurement/data; SEL/self-management; communication, safety, and decision-making.</x:v>
      </x:c>
      <x:c r="G1945" s="27" t="str">
        <x:v>S19</x:v>
      </x:c>
      <x:c r="H1945" s="27" t="str">
        <x:v>Physical &amp; Health</x:v>
      </x:c>
      <x:c r="I1945" s="27" t="str">
        <x:v>SRC14; SRC15</x:v>
      </x:c>
      <x:c r="J1945" s="27" t="str">
        <x:v>Parallel subject and representation links.</x:v>
      </x:c>
    </x:row>
    <x:row r="1946">
      <x:c r="A1946" s="27" t="str">
        <x:v>E01942</x:v>
      </x:c>
      <x:c r="B1946" s="27" t="str">
        <x:v>S19-HLTH-01</x:v>
      </x:c>
      <x:c r="C1946" s="27" t="str">
        <x:v>Risk, protective factors, communication, and goals</x:v>
      </x:c>
      <x:c r="D1946" s="27" t="str">
        <x:v>UNLOCKS</x:v>
      </x:c>
      <x:c r="E1946" s="27" t="str">
        <x:v>S19-HLTH-01:NEXT</x:v>
      </x:c>
      <x:c r="F1946" s="27" t="str">
        <x:v>Probability-informed risk and practiced communication support protective action.</x:v>
      </x:c>
      <x:c r="G1946" s="27" t="str">
        <x:v>S19</x:v>
      </x:c>
      <x:c r="H1946" s="27" t="str">
        <x:v>Physical &amp; Health</x:v>
      </x:c>
      <x:c r="I1946" s="27" t="str">
        <x:v>SRC14; SRC15</x:v>
      </x:c>
      <x:c r="J1946" s="27" t="str">
        <x:v>Outgoing use and placement rationale.</x:v>
      </x:c>
    </x:row>
    <x:row r="1947">
      <x:c r="A1947" s="27" t="str">
        <x:v>E01943</x:v>
      </x:c>
      <x:c r="B1947" s="27" t="str">
        <x:v>S19-HLTH-01</x:v>
      </x:c>
      <x:c r="C1947" s="27" t="str">
        <x:v>Risk, protective factors, communication, and goals</x:v>
      </x:c>
      <x:c r="D1947" s="27" t="str">
        <x:v>VERIFIED_BY</x:v>
      </x:c>
      <x:c r="E1947" s="27" t="str">
        <x:v>S19-HLTH-01:EVIDENCE</x:v>
      </x:c>
      <x:c r="F1947" s="27" t="str">
        <x:v>Completes a scenario decision and demonstrates a communication strategy tied to a health goal.</x:v>
      </x:c>
      <x:c r="G1947" s="27" t="str">
        <x:v>S19</x:v>
      </x:c>
      <x:c r="H1947" s="27" t="str">
        <x:v>Physical &amp; Health</x:v>
      </x:c>
      <x:c r="I1947" s="27" t="str">
        <x:v>SRC14; SRC15</x:v>
      </x:c>
      <x:c r="J1947" s="27" t="str">
        <x:v>Observable evidence of usable learning.</x:v>
      </x:c>
    </x:row>
    <x:row r="1948">
      <x:c r="A1948" s="27" t="str">
        <x:v>E01944</x:v>
      </x:c>
      <x:c r="B1948" s="27" t="str">
        <x:v>S18-COMP-01</x:v>
      </x:c>
      <x:c r="C1948" s="27" t="str">
        <x:v>Previous node in domain progression</x:v>
      </x:c>
      <x:c r="D1948" s="27" t="str">
        <x:v>DOMAIN_SEQUENCE</x:v>
      </x:c>
      <x:c r="E1948" s="27" t="str">
        <x:v>S19-COMP-01</x:v>
      </x:c>
      <x:c r="F1948" s="27" t="str">
        <x:v>Collections, functions, testing, and network protocols</x:v>
      </x:c>
      <x:c r="G1948" s="27" t="str">
        <x:v>S19</x:v>
      </x:c>
      <x:c r="H1948" s="27" t="str">
        <x:v>Computing &amp; Media</x:v>
      </x:c>
      <x:c r="I1948" s="27" t="str">
        <x:v>SRC16</x:v>
      </x:c>
      <x:c r="J1948" s="27" t="str">
        <x:v>Ordered spiral link; consult explicit prerequisites for logical dependency.</x:v>
      </x:c>
    </x:row>
    <x:row r="1949">
      <x:c r="A1949" s="27" t="str">
        <x:v>E01945</x:v>
      </x:c>
      <x:c r="B1949" s="27" t="str">
        <x:v>S19-COMP-01:PREREQ</x:v>
      </x:c>
      <x:c r="C1949" s="27" t="str">
        <x:v>Grade 6 algorithms/networks, variables, and modularity.</x:v>
      </x:c>
      <x:c r="D1949" s="27" t="str">
        <x:v>PREREQUISITE</x:v>
      </x:c>
      <x:c r="E1949" s="27" t="str">
        <x:v>S19-COMP-01</x:v>
      </x:c>
      <x:c r="F1949" s="27" t="str">
        <x:v>Collections, functions, testing, and network protocols</x:v>
      </x:c>
      <x:c r="G1949" s="27" t="str">
        <x:v>S19</x:v>
      </x:c>
      <x:c r="H1949" s="27" t="str">
        <x:v>Computing &amp; Media</x:v>
      </x:c>
      <x:c r="I1949" s="27" t="str">
        <x:v>SRC16</x:v>
      </x:c>
      <x:c r="J1949" s="27" t="str">
        <x:v>Incoming prerequisite relationship.</x:v>
      </x:c>
    </x:row>
    <x:row r="1950">
      <x:c r="A1950" s="27" t="str">
        <x:v>E01946</x:v>
      </x:c>
      <x:c r="B1950" s="27" t="str">
        <x:v>S19-COMP-01:GROUND</x:v>
      </x:c>
      <x:c r="C1950" s="27" t="str">
        <x:v>G5/G6 — Coordinated representations within an evidence-based formal system</x:v>
      </x:c>
      <x:c r="D1950" s="27" t="str">
        <x:v>GROUNDED_BY</x:v>
      </x:c>
      <x:c r="E1950" s="27" t="str">
        <x:v>S19-COMP-01</x:v>
      </x:c>
      <x:c r="F1950" s="27" t="str">
        <x:v>Collections, functions, testing, and network protocols</x:v>
      </x:c>
      <x:c r="G1950" s="27" t="str">
        <x:v>S19</x:v>
      </x:c>
      <x:c r="H1950" s="27" t="str">
        <x:v>Computing &amp; Media</x:v>
      </x:c>
      <x:c r="I1950" s="27" t="str">
        <x:v>SRC16</x:v>
      </x:c>
      <x:c r="J1950" s="27" t="str">
        <x:v>Grounding form used to preserve meaning.</x:v>
      </x:c>
    </x:row>
    <x:row r="1951">
      <x:c r="A1951" s="27" t="str">
        <x:v>E01947</x:v>
      </x:c>
      <x:c r="B1951" s="27" t="str">
        <x:v>S19-COMP-01</x:v>
      </x:c>
      <x:c r="C1951" s="27" t="str">
        <x:v>Collections, functions, testing, and network protocols</x:v>
      </x:c>
      <x:c r="D1951" s="27" t="str">
        <x:v>CONNECTS_TO</x:v>
      </x:c>
      <x:c r="E1951" s="27" t="str">
        <x:v>S19-COMP-01:CROSS</x:v>
      </x:c>
      <x:c r="F1951" s="27" t="str">
        <x:v>Mathematics/logic/data; language and media evidence; science/engineering models; art/design; civics, privacy, finance, and ethics.</x:v>
      </x:c>
      <x:c r="G1951" s="27" t="str">
        <x:v>S19</x:v>
      </x:c>
      <x:c r="H1951" s="27" t="str">
        <x:v>Computing &amp; Media</x:v>
      </x:c>
      <x:c r="I1951" s="27" t="str">
        <x:v>SRC16</x:v>
      </x:c>
      <x:c r="J1951" s="27" t="str">
        <x:v>Parallel subject and representation links.</x:v>
      </x:c>
    </x:row>
    <x:row r="1952">
      <x:c r="A1952" s="27" t="str">
        <x:v>E01948</x:v>
      </x:c>
      <x:c r="B1952" s="27" t="str">
        <x:v>S19-COMP-01</x:v>
      </x:c>
      <x:c r="C1952" s="27" t="str">
        <x:v>Collections, functions, testing, and network protocols</x:v>
      </x:c>
      <x:c r="D1952" s="27" t="str">
        <x:v>UNLOCKS</x:v>
      </x:c>
      <x:c r="E1952" s="27" t="str">
        <x:v>S19-COMP-01:NEXT</x:v>
      </x:c>
      <x:c r="F1952" s="27" t="str">
        <x:v>Data structures and testing scale programs; protocols coordinate distributed systems.</x:v>
      </x:c>
      <x:c r="G1952" s="27" t="str">
        <x:v>S19</x:v>
      </x:c>
      <x:c r="H1952" s="27" t="str">
        <x:v>Computing &amp; Media</x:v>
      </x:c>
      <x:c r="I1952" s="27" t="str">
        <x:v>SRC16</x:v>
      </x:c>
      <x:c r="J1952" s="27" t="str">
        <x:v>Outgoing use and placement rationale.</x:v>
      </x:c>
    </x:row>
    <x:row r="1953">
      <x:c r="A1953" s="27" t="str">
        <x:v>E01949</x:v>
      </x:c>
      <x:c r="B1953" s="27" t="str">
        <x:v>S19-COMP-01</x:v>
      </x:c>
      <x:c r="C1953" s="27" t="str">
        <x:v>Collections, functions, testing, and network protocols</x:v>
      </x:c>
      <x:c r="D1953" s="27" t="str">
        <x:v>VERIFIED_BY</x:v>
      </x:c>
      <x:c r="E1953" s="27" t="str">
        <x:v>S19-COMP-01:EVIDENCE</x:v>
      </x:c>
      <x:c r="F1953" s="27" t="str">
        <x:v>Builds/tests a data-processing program and explains a network protocol’s coordination role.</x:v>
      </x:c>
      <x:c r="G1953" s="27" t="str">
        <x:v>S19</x:v>
      </x:c>
      <x:c r="H1953" s="27" t="str">
        <x:v>Computing &amp; Media</x:v>
      </x:c>
      <x:c r="I1953" s="27" t="str">
        <x:v>SRC16</x:v>
      </x:c>
      <x:c r="J1953" s="27" t="str">
        <x:v>Observable evidence of usable learning.</x:v>
      </x:c>
    </x:row>
    <x:row r="1954">
      <x:c r="A1954" s="27" t="str">
        <x:v>E01950</x:v>
      </x:c>
      <x:c r="B1954" s="27" t="str">
        <x:v>S19-COMP-01</x:v>
      </x:c>
      <x:c r="C1954" s="27" t="str">
        <x:v>Previous node in domain progression</x:v>
      </x:c>
      <x:c r="D1954" s="27" t="str">
        <x:v>DOMAIN_SEQUENCE</x:v>
      </x:c>
      <x:c r="E1954" s="27" t="str">
        <x:v>S19-COMP-02</x:v>
      </x:c>
      <x:c r="F1954" s="27" t="str">
        <x:v>Classification, training data, and persuasive systems</x:v>
      </x:c>
      <x:c r="G1954" s="27" t="str">
        <x:v>S19</x:v>
      </x:c>
      <x:c r="H1954" s="27" t="str">
        <x:v>Computing &amp; Media</x:v>
      </x:c>
      <x:c r="I1954" s="27" t="str">
        <x:v>SRC16; SRC20</x:v>
      </x:c>
      <x:c r="J1954" s="27" t="str">
        <x:v>Ordered spiral link; consult explicit prerequisites for logical dependency.</x:v>
      </x:c>
    </x:row>
    <x:row r="1955">
      <x:c r="A1955" s="27" t="str">
        <x:v>E01951</x:v>
      </x:c>
      <x:c r="B1955" s="27" t="str">
        <x:v>S19-COMP-02:PREREQ</x:v>
      </x:c>
      <x:c r="C1955" s="27" t="str">
        <x:v>Grade 6 data ethics, statistics, and media evidence/omission.</x:v>
      </x:c>
      <x:c r="D1955" s="27" t="str">
        <x:v>PREREQUISITE</x:v>
      </x:c>
      <x:c r="E1955" s="27" t="str">
        <x:v>S19-COMP-02</x:v>
      </x:c>
      <x:c r="F1955" s="27" t="str">
        <x:v>Classification, training data, and persuasive systems</x:v>
      </x:c>
      <x:c r="G1955" s="27" t="str">
        <x:v>S19</x:v>
      </x:c>
      <x:c r="H1955" s="27" t="str">
        <x:v>Computing &amp; Media</x:v>
      </x:c>
      <x:c r="I1955" s="27" t="str">
        <x:v>SRC16; SRC20</x:v>
      </x:c>
      <x:c r="J1955" s="27" t="str">
        <x:v>Incoming prerequisite relationship.</x:v>
      </x:c>
    </x:row>
    <x:row r="1956">
      <x:c r="A1956" s="27" t="str">
        <x:v>E01952</x:v>
      </x:c>
      <x:c r="B1956" s="27" t="str">
        <x:v>S19-COMP-02:GROUND</x:v>
      </x:c>
      <x:c r="C1956" s="27" t="str">
        <x:v>G5/G6 — Coordinated representations within an evidence-based formal system</x:v>
      </x:c>
      <x:c r="D1956" s="27" t="str">
        <x:v>GROUNDED_BY</x:v>
      </x:c>
      <x:c r="E1956" s="27" t="str">
        <x:v>S19-COMP-02</x:v>
      </x:c>
      <x:c r="F1956" s="27" t="str">
        <x:v>Classification, training data, and persuasive systems</x:v>
      </x:c>
      <x:c r="G1956" s="27" t="str">
        <x:v>S19</x:v>
      </x:c>
      <x:c r="H1956" s="27" t="str">
        <x:v>Computing &amp; Media</x:v>
      </x:c>
      <x:c r="I1956" s="27" t="str">
        <x:v>SRC16; SRC20</x:v>
      </x:c>
      <x:c r="J1956" s="27" t="str">
        <x:v>Grounding form used to preserve meaning.</x:v>
      </x:c>
    </x:row>
    <x:row r="1957">
      <x:c r="A1957" s="27" t="str">
        <x:v>E01953</x:v>
      </x:c>
      <x:c r="B1957" s="27" t="str">
        <x:v>S19-COMP-02</x:v>
      </x:c>
      <x:c r="C1957" s="27" t="str">
        <x:v>Classification, training data, and persuasive systems</x:v>
      </x:c>
      <x:c r="D1957" s="27" t="str">
        <x:v>CONNECTS_TO</x:v>
      </x:c>
      <x:c r="E1957" s="27" t="str">
        <x:v>S19-COMP-02:CROSS</x:v>
      </x:c>
      <x:c r="F1957" s="27" t="str">
        <x:v>Mathematics/logic/data; language and media evidence; science/engineering models; art/design; civics, privacy, finance, and ethics.</x:v>
      </x:c>
      <x:c r="G1957" s="27" t="str">
        <x:v>S19</x:v>
      </x:c>
      <x:c r="H1957" s="27" t="str">
        <x:v>Computing &amp; Media</x:v>
      </x:c>
      <x:c r="I1957" s="27" t="str">
        <x:v>SRC16; SRC20</x:v>
      </x:c>
      <x:c r="J1957" s="27" t="str">
        <x:v>Parallel subject and representation links.</x:v>
      </x:c>
    </x:row>
    <x:row r="1958">
      <x:c r="A1958" s="27" t="str">
        <x:v>E01954</x:v>
      </x:c>
      <x:c r="B1958" s="27" t="str">
        <x:v>S19-COMP-02</x:v>
      </x:c>
      <x:c r="C1958" s="27" t="str">
        <x:v>Classification, training data, and persuasive systems</x:v>
      </x:c>
      <x:c r="D1958" s="27" t="str">
        <x:v>UNLOCKS</x:v>
      </x:c>
      <x:c r="E1958" s="27" t="str">
        <x:v>S19-COMP-02:NEXT</x:v>
      </x:c>
      <x:c r="F1958" s="27" t="str">
        <x:v>Model-data-impact reasoning prepares responsible AI use and evaluation.</x:v>
      </x:c>
      <x:c r="G1958" s="27" t="str">
        <x:v>S19</x:v>
      </x:c>
      <x:c r="H1958" s="27" t="str">
        <x:v>Computing &amp; Media</x:v>
      </x:c>
      <x:c r="I1958" s="27" t="str">
        <x:v>SRC16; SRC20</x:v>
      </x:c>
      <x:c r="J1958" s="27" t="str">
        <x:v>Outgoing use and placement rationale.</x:v>
      </x:c>
    </x:row>
    <x:row r="1959">
      <x:c r="A1959" s="27" t="str">
        <x:v>E01955</x:v>
      </x:c>
      <x:c r="B1959" s="27" t="str">
        <x:v>S19-COMP-02</x:v>
      </x:c>
      <x:c r="C1959" s="27" t="str">
        <x:v>Classification, training data, and persuasive systems</x:v>
      </x:c>
      <x:c r="D1959" s="27" t="str">
        <x:v>VERIFIED_BY</x:v>
      </x:c>
      <x:c r="E1959" s="27" t="str">
        <x:v>S19-COMP-02:EVIDENCE</x:v>
      </x:c>
      <x:c r="F1959" s="27" t="str">
        <x:v>Tests a simple classifier or recommendation claim and documents an error, data limitation, or influence mechanism.</x:v>
      </x:c>
      <x:c r="G1959" s="27" t="str">
        <x:v>S19</x:v>
      </x:c>
      <x:c r="H1959" s="27" t="str">
        <x:v>Computing &amp; Media</x:v>
      </x:c>
      <x:c r="I1959" s="27" t="str">
        <x:v>SRC16; SRC20</x:v>
      </x:c>
      <x:c r="J1959" s="27" t="str">
        <x:v>Observable evidence of usable learning.</x:v>
      </x:c>
    </x:row>
    <x:row r="1960">
      <x:c r="A1960" s="27" t="str">
        <x:v>E01956</x:v>
      </x:c>
      <x:c r="B1960" s="27" t="str">
        <x:v>S18-WLANG-01</x:v>
      </x:c>
      <x:c r="C1960" s="27" t="str">
        <x:v>Previous node in domain progression</x:v>
      </x:c>
      <x:c r="D1960" s="27" t="str">
        <x:v>DOMAIN_SEQUENCE</x:v>
      </x:c>
      <x:c r="E1960" s="27" t="str">
        <x:v>S19-WLANG-01</x:v>
      </x:c>
      <x:c r="F1960" s="27" t="str">
        <x:v>Intermediate-low connected communication</x:v>
      </x:c>
      <x:c r="G1960" s="27" t="str">
        <x:v>S19</x:v>
      </x:c>
      <x:c r="H1960" s="27" t="str">
        <x:v>World Languages</x:v>
      </x:c>
      <x:c r="I1960" s="27" t="str">
        <x:v>SRC17</x:v>
      </x:c>
      <x:c r="J1960" s="27" t="str">
        <x:v>Ordered spiral link; consult explicit prerequisites for logical dependency.</x:v>
      </x:c>
    </x:row>
    <x:row r="1961">
      <x:c r="A1961" s="27" t="str">
        <x:v>E01957</x:v>
      </x:c>
      <x:c r="B1961" s="27" t="str">
        <x:v>S19-WLANG-01:PREREQ</x:v>
      </x:c>
      <x:c r="C1961" s="27" t="str">
        <x:v>Grade 6 novice-high use and source interpretation.</x:v>
      </x:c>
      <x:c r="D1961" s="27" t="str">
        <x:v>PREREQUISITE</x:v>
      </x:c>
      <x:c r="E1961" s="27" t="str">
        <x:v>S19-WLANG-01</x:v>
      </x:c>
      <x:c r="F1961" s="27" t="str">
        <x:v>Intermediate-low connected communication</x:v>
      </x:c>
      <x:c r="G1961" s="27" t="str">
        <x:v>S19</x:v>
      </x:c>
      <x:c r="H1961" s="27" t="str">
        <x:v>World Languages</x:v>
      </x:c>
      <x:c r="I1961" s="27" t="str">
        <x:v>SRC17</x:v>
      </x:c>
      <x:c r="J1961" s="27" t="str">
        <x:v>Incoming prerequisite relationship.</x:v>
      </x:c>
    </x:row>
    <x:row r="1962">
      <x:c r="A1962" s="27" t="str">
        <x:v>E01958</x:v>
      </x:c>
      <x:c r="B1962" s="27" t="str">
        <x:v>S19-WLANG-01:GROUND</x:v>
      </x:c>
      <x:c r="C1962" s="27" t="str">
        <x:v>G5/G6 — Coordinated representations within an evidence-based formal system</x:v>
      </x:c>
      <x:c r="D1962" s="27" t="str">
        <x:v>GROUNDED_BY</x:v>
      </x:c>
      <x:c r="E1962" s="27" t="str">
        <x:v>S19-WLANG-01</x:v>
      </x:c>
      <x:c r="F1962" s="27" t="str">
        <x:v>Intermediate-low connected communication</x:v>
      </x:c>
      <x:c r="G1962" s="27" t="str">
        <x:v>S19</x:v>
      </x:c>
      <x:c r="H1962" s="27" t="str">
        <x:v>World Languages</x:v>
      </x:c>
      <x:c r="I1962" s="27" t="str">
        <x:v>SRC17</x:v>
      </x:c>
      <x:c r="J1962" s="27" t="str">
        <x:v>Grounding form used to preserve meaning.</x:v>
      </x:c>
    </x:row>
    <x:row r="1963">
      <x:c r="A1963" s="27" t="str">
        <x:v>E01959</x:v>
      </x:c>
      <x:c r="B1963" s="27" t="str">
        <x:v>S19-WLANG-01</x:v>
      </x:c>
      <x:c r="C1963" s="27" t="str">
        <x:v>Intermediate-low connected communication</x:v>
      </x:c>
      <x:c r="D1963" s="27" t="str">
        <x:v>CONNECTS_TO</x:v>
      </x:c>
      <x:c r="E1963" s="27" t="str">
        <x:v>S19-WLANG-01:CROSS</x:v>
      </x:c>
      <x:c r="F1963" s="27" t="str">
        <x:v>Oral language, reading, and writing; memory/retrieval; social interaction; history/geography/arts; intercultural perspective.</x:v>
      </x:c>
      <x:c r="G1963" s="27" t="str">
        <x:v>S19</x:v>
      </x:c>
      <x:c r="H1963" s="27" t="str">
        <x:v>World Languages</x:v>
      </x:c>
      <x:c r="I1963" s="27" t="str">
        <x:v>SRC17</x:v>
      </x:c>
      <x:c r="J1963" s="27" t="str">
        <x:v>Parallel subject and representation links.</x:v>
      </x:c>
    </x:row>
    <x:row r="1964">
      <x:c r="A1964" s="27" t="str">
        <x:v>E01960</x:v>
      </x:c>
      <x:c r="B1964" s="27" t="str">
        <x:v>S19-WLANG-01</x:v>
      </x:c>
      <x:c r="C1964" s="27" t="str">
        <x:v>Intermediate-low connected communication</x:v>
      </x:c>
      <x:c r="D1964" s="27" t="str">
        <x:v>UNLOCKS</x:v>
      </x:c>
      <x:c r="E1964" s="27" t="str">
        <x:v>S19-WLANG-01:NEXT</x:v>
      </x:c>
      <x:c r="F1964" s="27" t="str">
        <x:v>Created sentences and sustained exchange increase communicative independence.</x:v>
      </x:c>
      <x:c r="G1964" s="27" t="str">
        <x:v>S19</x:v>
      </x:c>
      <x:c r="H1964" s="27" t="str">
        <x:v>World Languages</x:v>
      </x:c>
      <x:c r="I1964" s="27" t="str">
        <x:v>SRC17</x:v>
      </x:c>
      <x:c r="J1964" s="27" t="str">
        <x:v>Outgoing use and placement rationale.</x:v>
      </x:c>
    </x:row>
    <x:row r="1965">
      <x:c r="A1965" s="27" t="str">
        <x:v>E01961</x:v>
      </x:c>
      <x:c r="B1965" s="27" t="str">
        <x:v>S19-WLANG-01</x:v>
      </x:c>
      <x:c r="C1965" s="27" t="str">
        <x:v>Intermediate-low connected communication</x:v>
      </x:c>
      <x:c r="D1965" s="27" t="str">
        <x:v>VERIFIED_BY</x:v>
      </x:c>
      <x:c r="E1965" s="27" t="str">
        <x:v>S19-WLANG-01:EVIDENCE</x:v>
      </x:c>
      <x:c r="F1965" s="27" t="str">
        <x:v>Maintains an unscripted exchange and produces an organized message understandable to a sympathetic listener/reader.</x:v>
      </x:c>
      <x:c r="G1965" s="27" t="str">
        <x:v>S19</x:v>
      </x:c>
      <x:c r="H1965" s="27" t="str">
        <x:v>World Languages</x:v>
      </x:c>
      <x:c r="I1965" s="27" t="str">
        <x:v>SRC17</x:v>
      </x:c>
      <x:c r="J1965" s="27" t="str">
        <x:v>Observable evidence of usable learning.</x:v>
      </x:c>
    </x:row>
    <x:row r="1966">
      <x:c r="A1966" s="27" t="str">
        <x:v>E01962</x:v>
      </x:c>
      <x:c r="B1966" s="27" t="str">
        <x:v>S18-LIFE-01</x:v>
      </x:c>
      <x:c r="C1966" s="27" t="str">
        <x:v>Previous node in domain progression</x:v>
      </x:c>
      <x:c r="D1966" s="27" t="str">
        <x:v>DOMAIN_SEQUENCE</x:v>
      </x:c>
      <x:c r="E1966" s="27" t="str">
        <x:v>S19-LIFE-01</x:v>
      </x:c>
      <x:c r="F1966" s="27" t="str">
        <x:v>Compound growth, credit, and consumer decisions</x:v>
      </x:c>
      <x:c r="G1966" s="27" t="str">
        <x:v>S19</x:v>
      </x:c>
      <x:c r="H1966" s="27" t="str">
        <x:v>Life, Finance &amp; Career</x:v>
      </x:c>
      <x:c r="I1966" s="27" t="str">
        <x:v>SRC19</x:v>
      </x:c>
      <x:c r="J1966" s="27" t="str">
        <x:v>Ordered spiral link; consult explicit prerequisites for logical dependency.</x:v>
      </x:c>
    </x:row>
    <x:row r="1967">
      <x:c r="A1967" s="27" t="str">
        <x:v>E01963</x:v>
      </x:c>
      <x:c r="B1967" s="27" t="str">
        <x:v>S19-LIFE-01:PREREQ</x:v>
      </x:c>
      <x:c r="C1967" s="27" t="str">
        <x:v>Grade 6 percent/interest, exponential-pattern preparation, and source evaluation.</x:v>
      </x:c>
      <x:c r="D1967" s="27" t="str">
        <x:v>PREREQUISITE</x:v>
      </x:c>
      <x:c r="E1967" s="27" t="str">
        <x:v>S19-LIFE-01</x:v>
      </x:c>
      <x:c r="F1967" s="27" t="str">
        <x:v>Compound growth, credit, and consumer decisions</x:v>
      </x:c>
      <x:c r="G1967" s="27" t="str">
        <x:v>S19</x:v>
      </x:c>
      <x:c r="H1967" s="27" t="str">
        <x:v>Life, Finance &amp; Career</x:v>
      </x:c>
      <x:c r="I1967" s="27" t="str">
        <x:v>SRC19</x:v>
      </x:c>
      <x:c r="J1967" s="27" t="str">
        <x:v>Incoming prerequisite relationship.</x:v>
      </x:c>
    </x:row>
    <x:row r="1968">
      <x:c r="A1968" s="27" t="str">
        <x:v>E01964</x:v>
      </x:c>
      <x:c r="B1968" s="27" t="str">
        <x:v>S19-LIFE-01:GROUND</x:v>
      </x:c>
      <x:c r="C1968" s="27" t="str">
        <x:v>G5/G6 — Coordinated representations within an evidence-based formal system</x:v>
      </x:c>
      <x:c r="D1968" s="27" t="str">
        <x:v>GROUNDED_BY</x:v>
      </x:c>
      <x:c r="E1968" s="27" t="str">
        <x:v>S19-LIFE-01</x:v>
      </x:c>
      <x:c r="F1968" s="27" t="str">
        <x:v>Compound growth, credit, and consumer decisions</x:v>
      </x:c>
      <x:c r="G1968" s="27" t="str">
        <x:v>S19</x:v>
      </x:c>
      <x:c r="H1968" s="27" t="str">
        <x:v>Life, Finance &amp; Career</x:v>
      </x:c>
      <x:c r="I1968" s="27" t="str">
        <x:v>SRC19</x:v>
      </x:c>
      <x:c r="J1968" s="27" t="str">
        <x:v>Grounding form used to preserve meaning.</x:v>
      </x:c>
    </x:row>
    <x:row r="1969">
      <x:c r="A1969" s="27" t="str">
        <x:v>E01965</x:v>
      </x:c>
      <x:c r="B1969" s="27" t="str">
        <x:v>S19-LIFE-01</x:v>
      </x:c>
      <x:c r="C1969" s="27" t="str">
        <x:v>Compound growth, credit, and consumer decisions</x:v>
      </x:c>
      <x:c r="D1969" s="27" t="str">
        <x:v>CONNECTS_TO</x:v>
      </x:c>
      <x:c r="E1969" s="27" t="str">
        <x:v>S19-LIFE-01:CROSS</x:v>
      </x:c>
      <x:c r="F1969" s="27" t="str">
        <x:v>Mathematics/percent/growth; economics/civics; reading contracts/sources; computing/privacy; SEL, planning, and risk decisions.</x:v>
      </x:c>
      <x:c r="G1969" s="27" t="str">
        <x:v>S19</x:v>
      </x:c>
      <x:c r="H1969" s="27" t="str">
        <x:v>Life, Finance &amp; Career</x:v>
      </x:c>
      <x:c r="I1969" s="27" t="str">
        <x:v>SRC19</x:v>
      </x:c>
      <x:c r="J1969" s="27" t="str">
        <x:v>Parallel subject and representation links.</x:v>
      </x:c>
    </x:row>
    <x:row r="1970">
      <x:c r="A1970" s="27" t="str">
        <x:v>E01966</x:v>
      </x:c>
      <x:c r="B1970" s="27" t="str">
        <x:v>S19-LIFE-01</x:v>
      </x:c>
      <x:c r="C1970" s="27" t="str">
        <x:v>Compound growth, credit, and consumer decisions</x:v>
      </x:c>
      <x:c r="D1970" s="27" t="str">
        <x:v>UNLOCKS</x:v>
      </x:c>
      <x:c r="E1970" s="27" t="str">
        <x:v>S19-LIFE-01:NEXT</x:v>
      </x:c>
      <x:c r="F1970" s="27" t="str">
        <x:v>Time-dependent growth and borrowing cost prepare exponential functions and adult credit decisions.</x:v>
      </x:c>
      <x:c r="G1970" s="27" t="str">
        <x:v>S19</x:v>
      </x:c>
      <x:c r="H1970" s="27" t="str">
        <x:v>Life, Finance &amp; Career</x:v>
      </x:c>
      <x:c r="I1970" s="27" t="str">
        <x:v>SRC19</x:v>
      </x:c>
      <x:c r="J1970" s="27" t="str">
        <x:v>Outgoing use and placement rationale.</x:v>
      </x:c>
    </x:row>
    <x:row r="1971">
      <x:c r="A1971" s="27" t="str">
        <x:v>E01967</x:v>
      </x:c>
      <x:c r="B1971" s="27" t="str">
        <x:v>S19-LIFE-01</x:v>
      </x:c>
      <x:c r="C1971" s="27" t="str">
        <x:v>Compound growth, credit, and consumer decisions</x:v>
      </x:c>
      <x:c r="D1971" s="27" t="str">
        <x:v>VERIFIED_BY</x:v>
      </x:c>
      <x:c r="E1971" s="27" t="str">
        <x:v>S19-LIFE-01:EVIDENCE</x:v>
      </x:c>
      <x:c r="F1971" s="27" t="str">
        <x:v>Compares options using total cost, time, rate, risk, and contract/source evidence.</x:v>
      </x:c>
      <x:c r="G1971" s="27" t="str">
        <x:v>S19</x:v>
      </x:c>
      <x:c r="H1971" s="27" t="str">
        <x:v>Life, Finance &amp; Career</x:v>
      </x:c>
      <x:c r="I1971" s="27" t="str">
        <x:v>SRC19</x:v>
      </x:c>
      <x:c r="J1971" s="27" t="str">
        <x:v>Observable evidence of usable learning.</x:v>
      </x:c>
    </x:row>
    <x:row r="1972">
      <x:c r="A1972" s="27" t="str">
        <x:v>E01968</x:v>
      </x:c>
      <x:c r="B1972" s="27" t="str">
        <x:v>S19-LEARN-01</x:v>
      </x:c>
      <x:c r="C1972" s="27" t="str">
        <x:v>Previous node in domain progression</x:v>
      </x:c>
      <x:c r="D1972" s="27" t="str">
        <x:v>DOMAIN_SEQUENCE</x:v>
      </x:c>
      <x:c r="E1972" s="27" t="str">
        <x:v>S20-LEARN-01</x:v>
      </x:c>
      <x:c r="F1972" s="27" t="str">
        <x:v>Near and far transfer testing</x:v>
      </x:c>
      <x:c r="G1972" s="27" t="str">
        <x:v>S20</x:v>
      </x:c>
      <x:c r="H1972" s="27" t="str">
        <x:v>Learning Foundations</x:v>
      </x:c>
      <x:c r="I1972" s="27" t="str">
        <x:v>SRC23; SRC29; SRC30</x:v>
      </x:c>
      <x:c r="J1972" s="27" t="str">
        <x:v>Ordered spiral link; consult explicit prerequisites for logical dependency.</x:v>
      </x:c>
    </x:row>
    <x:row r="1973">
      <x:c r="A1973" s="27" t="str">
        <x:v>E01969</x:v>
      </x:c>
      <x:c r="B1973" s="27" t="str">
        <x:v>S20-LEARN-01:PREREQ</x:v>
      </x:c>
      <x:c r="C1973" s="27" t="str">
        <x:v>Interleaving, representation mapping, and metacognitive error analysis.</x:v>
      </x:c>
      <x:c r="D1973" s="27" t="str">
        <x:v>PREREQUISITE</x:v>
      </x:c>
      <x:c r="E1973" s="27" t="str">
        <x:v>S20-LEARN-01</x:v>
      </x:c>
      <x:c r="F1973" s="27" t="str">
        <x:v>Near and far transfer testing</x:v>
      </x:c>
      <x:c r="G1973" s="27" t="str">
        <x:v>S20</x:v>
      </x:c>
      <x:c r="H1973" s="27" t="str">
        <x:v>Learning Foundations</x:v>
      </x:c>
      <x:c r="I1973" s="27" t="str">
        <x:v>SRC23; SRC29; SRC30</x:v>
      </x:c>
      <x:c r="J1973" s="27" t="str">
        <x:v>Incoming prerequisite relationship.</x:v>
      </x:c>
    </x:row>
    <x:row r="1974">
      <x:c r="A1974" s="27" t="str">
        <x:v>E01970</x:v>
      </x:c>
      <x:c r="B1974" s="27" t="str">
        <x:v>S20-LEARN-01:GROUND</x:v>
      </x:c>
      <x:c r="C1974" s="27" t="str">
        <x:v>G5/G6 — Coordinated representations within an evidence-based formal system</x:v>
      </x:c>
      <x:c r="D1974" s="27" t="str">
        <x:v>GROUNDED_BY</x:v>
      </x:c>
      <x:c r="E1974" s="27" t="str">
        <x:v>S20-LEARN-01</x:v>
      </x:c>
      <x:c r="F1974" s="27" t="str">
        <x:v>Near and far transfer testing</x:v>
      </x:c>
      <x:c r="G1974" s="27" t="str">
        <x:v>S20</x:v>
      </x:c>
      <x:c r="H1974" s="27" t="str">
        <x:v>Learning Foundations</x:v>
      </x:c>
      <x:c r="I1974" s="27" t="str">
        <x:v>SRC23; SRC29; SRC30</x:v>
      </x:c>
      <x:c r="J1974" s="27" t="str">
        <x:v>Grounding form used to preserve meaning.</x:v>
      </x:c>
    </x:row>
    <x:row r="1975">
      <x:c r="A1975" s="27" t="str">
        <x:v>E01971</x:v>
      </x:c>
      <x:c r="B1975" s="27" t="str">
        <x:v>S20-LEARN-01</x:v>
      </x:c>
      <x:c r="C1975" s="27" t="str">
        <x:v>Near and far transfer testing</x:v>
      </x:c>
      <x:c r="D1975" s="27" t="str">
        <x:v>CONNECTS_TO</x:v>
      </x:c>
      <x:c r="E1975" s="27" t="str">
        <x:v>S20-LEARN-01:CROSS</x:v>
      </x:c>
      <x:c r="F1975" s="27" t="str">
        <x:v>All domains: attention, memory, strategy choice, monitoring, retrieval, and transfer.</x:v>
      </x:c>
      <x:c r="G1975" s="27" t="str">
        <x:v>S20</x:v>
      </x:c>
      <x:c r="H1975" s="27" t="str">
        <x:v>Learning Foundations</x:v>
      </x:c>
      <x:c r="I1975" s="27" t="str">
        <x:v>SRC23; SRC29; SRC30</x:v>
      </x:c>
      <x:c r="J1975" s="27" t="str">
        <x:v>Parallel subject and representation links.</x:v>
      </x:c>
    </x:row>
    <x:row r="1976">
      <x:c r="A1976" s="27" t="str">
        <x:v>E01972</x:v>
      </x:c>
      <x:c r="B1976" s="27" t="str">
        <x:v>S20-LEARN-01</x:v>
      </x:c>
      <x:c r="C1976" s="27" t="str">
        <x:v>Near and far transfer testing</x:v>
      </x:c>
      <x:c r="D1976" s="27" t="str">
        <x:v>UNLOCKS</x:v>
      </x:c>
      <x:c r="E1976" s="27" t="str">
        <x:v>S20-LEARN-01:NEXT</x:v>
      </x:c>
      <x:c r="F1976" s="27" t="str">
        <x:v>Transfer is the final test that knowledge is organized around relationships rather than examples.</x:v>
      </x:c>
      <x:c r="G1976" s="27" t="str">
        <x:v>S20</x:v>
      </x:c>
      <x:c r="H1976" s="27" t="str">
        <x:v>Learning Foundations</x:v>
      </x:c>
      <x:c r="I1976" s="27" t="str">
        <x:v>SRC23; SRC29; SRC30</x:v>
      </x:c>
      <x:c r="J1976" s="27" t="str">
        <x:v>Outgoing use and placement rationale.</x:v>
      </x:c>
    </x:row>
    <x:row r="1977">
      <x:c r="A1977" s="27" t="str">
        <x:v>E01973</x:v>
      </x:c>
      <x:c r="B1977" s="27" t="str">
        <x:v>S20-LEARN-01</x:v>
      </x:c>
      <x:c r="C1977" s="27" t="str">
        <x:v>Near and far transfer testing</x:v>
      </x:c>
      <x:c r="D1977" s="27" t="str">
        <x:v>VERIFIED_BY</x:v>
      </x:c>
      <x:c r="E1977" s="27" t="str">
        <x:v>S20-LEARN-01:EVIDENCE</x:v>
      </x:c>
      <x:c r="F1977" s="27" t="str">
        <x:v>Solves both transfer tasks and explicitly maps their deep structure to the learned principle.</x:v>
      </x:c>
      <x:c r="G1977" s="27" t="str">
        <x:v>S20</x:v>
      </x:c>
      <x:c r="H1977" s="27" t="str">
        <x:v>Learning Foundations</x:v>
      </x:c>
      <x:c r="I1977" s="27" t="str">
        <x:v>SRC23; SRC29; SRC30</x:v>
      </x:c>
      <x:c r="J1977" s="27" t="str">
        <x:v>Observable evidence of usable learning.</x:v>
      </x:c>
    </x:row>
    <x:row r="1978">
      <x:c r="A1978" s="27" t="str">
        <x:v>E01974</x:v>
      </x:c>
      <x:c r="B1978" s="27" t="str">
        <x:v>S19-SEL-01</x:v>
      </x:c>
      <x:c r="C1978" s="27" t="str">
        <x:v>Previous node in domain progression</x:v>
      </x:c>
      <x:c r="D1978" s="27" t="str">
        <x:v>DOMAIN_SEQUENCE</x:v>
      </x:c>
      <x:c r="E1978" s="27" t="str">
        <x:v>S20-SEL-01</x:v>
      </x:c>
      <x:c r="F1978" s="27" t="str">
        <x:v>Independent decision and revision record</x:v>
      </x:c>
      <x:c r="G1978" s="27" t="str">
        <x:v>S20</x:v>
      </x:c>
      <x:c r="H1978" s="27" t="str">
        <x:v>Social-Emotional</x:v>
      </x:c>
      <x:c r="I1978" s="27" t="str">
        <x:v>SRC18</x:v>
      </x:c>
      <x:c r="J1978" s="27" t="str">
        <x:v>Ordered spiral link; consult explicit prerequisites for logical dependency.</x:v>
      </x:c>
    </x:row>
    <x:row r="1979">
      <x:c r="A1979" s="27" t="str">
        <x:v>E01975</x:v>
      </x:c>
      <x:c r="B1979" s="27" t="str">
        <x:v>S20-SEL-01:PREREQ</x:v>
      </x:c>
      <x:c r="C1979" s="27" t="str">
        <x:v>Grade 7 multi-factor decision model and long-term project planning.</x:v>
      </x:c>
      <x:c r="D1979" s="27" t="str">
        <x:v>PREREQUISITE</x:v>
      </x:c>
      <x:c r="E1979" s="27" t="str">
        <x:v>S20-SEL-01</x:v>
      </x:c>
      <x:c r="F1979" s="27" t="str">
        <x:v>Independent decision and revision record</x:v>
      </x:c>
      <x:c r="G1979" s="27" t="str">
        <x:v>S20</x:v>
      </x:c>
      <x:c r="H1979" s="27" t="str">
        <x:v>Social-Emotional</x:v>
      </x:c>
      <x:c r="I1979" s="27" t="str">
        <x:v>SRC18</x:v>
      </x:c>
      <x:c r="J1979" s="27" t="str">
        <x:v>Incoming prerequisite relationship.</x:v>
      </x:c>
    </x:row>
    <x:row r="1980">
      <x:c r="A1980" s="27" t="str">
        <x:v>E01976</x:v>
      </x:c>
      <x:c r="B1980" s="27" t="str">
        <x:v>S20-SEL-01:GROUND</x:v>
      </x:c>
      <x:c r="C1980" s="27" t="str">
        <x:v>G5/G6 — Coordinated representations within an evidence-based formal system</x:v>
      </x:c>
      <x:c r="D1980" s="27" t="str">
        <x:v>GROUNDED_BY</x:v>
      </x:c>
      <x:c r="E1980" s="27" t="str">
        <x:v>S20-SEL-01</x:v>
      </x:c>
      <x:c r="F1980" s="27" t="str">
        <x:v>Independent decision and revision record</x:v>
      </x:c>
      <x:c r="G1980" s="27" t="str">
        <x:v>S20</x:v>
      </x:c>
      <x:c r="H1980" s="27" t="str">
        <x:v>Social-Emotional</x:v>
      </x:c>
      <x:c r="I1980" s="27" t="str">
        <x:v>SRC18</x:v>
      </x:c>
      <x:c r="J1980" s="27" t="str">
        <x:v>Grounding form used to preserve meaning.</x:v>
      </x:c>
    </x:row>
    <x:row r="1981">
      <x:c r="A1981" s="27" t="str">
        <x:v>E01977</x:v>
      </x:c>
      <x:c r="B1981" s="27" t="str">
        <x:v>S20-SEL-01</x:v>
      </x:c>
      <x:c r="C1981" s="27" t="str">
        <x:v>Independent decision and revision record</x:v>
      </x:c>
      <x:c r="D1981" s="27" t="str">
        <x:v>CONNECTS_TO</x:v>
      </x:c>
      <x:c r="E1981" s="27" t="str">
        <x:v>S20-SEL-01:CROSS</x:v>
      </x:c>
      <x:c r="F1981" s="27" t="str">
        <x:v>Language and communication; health; collaboration in science, arts, civics, and projects; responsible digital/financial decisions.</x:v>
      </x:c>
      <x:c r="G1981" s="27" t="str">
        <x:v>S20</x:v>
      </x:c>
      <x:c r="H1981" s="27" t="str">
        <x:v>Social-Emotional</x:v>
      </x:c>
      <x:c r="I1981" s="27" t="str">
        <x:v>SRC18</x:v>
      </x:c>
      <x:c r="J1981" s="27" t="str">
        <x:v>Parallel subject and representation links.</x:v>
      </x:c>
    </x:row>
    <x:row r="1982">
      <x:c r="A1982" s="27" t="str">
        <x:v>E01978</x:v>
      </x:c>
      <x:c r="B1982" s="27" t="str">
        <x:v>S20-SEL-01</x:v>
      </x:c>
      <x:c r="C1982" s="27" t="str">
        <x:v>Independent decision and revision record</x:v>
      </x:c>
      <x:c r="D1982" s="27" t="str">
        <x:v>UNLOCKS</x:v>
      </x:c>
      <x:c r="E1982" s="27" t="str">
        <x:v>S20-SEL-01:NEXT</x:v>
      </x:c>
      <x:c r="F1982" s="27" t="str">
        <x:v>A decision record turns independence into accountable learning.</x:v>
      </x:c>
      <x:c r="G1982" s="27" t="str">
        <x:v>S20</x:v>
      </x:c>
      <x:c r="H1982" s="27" t="str">
        <x:v>Social-Emotional</x:v>
      </x:c>
      <x:c r="I1982" s="27" t="str">
        <x:v>SRC18</x:v>
      </x:c>
      <x:c r="J1982" s="27" t="str">
        <x:v>Outgoing use and placement rationale.</x:v>
      </x:c>
    </x:row>
    <x:row r="1983">
      <x:c r="A1983" s="27" t="str">
        <x:v>E01979</x:v>
      </x:c>
      <x:c r="B1983" s="27" t="str">
        <x:v>S20-SEL-01</x:v>
      </x:c>
      <x:c r="C1983" s="27" t="str">
        <x:v>Independent decision and revision record</x:v>
      </x:c>
      <x:c r="D1983" s="27" t="str">
        <x:v>VERIFIED_BY</x:v>
      </x:c>
      <x:c r="E1983" s="27" t="str">
        <x:v>S20-SEL-01:EVIDENCE</x:v>
      </x:c>
      <x:c r="F1983" s="27" t="str">
        <x:v>Produces a complete decision-action-result-revision record.</x:v>
      </x:c>
      <x:c r="G1983" s="27" t="str">
        <x:v>S20</x:v>
      </x:c>
      <x:c r="H1983" s="27" t="str">
        <x:v>Social-Emotional</x:v>
      </x:c>
      <x:c r="I1983" s="27" t="str">
        <x:v>SRC18</x:v>
      </x:c>
      <x:c r="J1983" s="27" t="str">
        <x:v>Observable evidence of usable learning.</x:v>
      </x:c>
    </x:row>
    <x:row r="1984">
      <x:c r="A1984" s="27" t="str">
        <x:v>E01980</x:v>
      </x:c>
      <x:c r="B1984" s="27" t="str">
        <x:v>S19-READ-02</x:v>
      </x:c>
      <x:c r="C1984" s="27" t="str">
        <x:v>Previous node in domain progression</x:v>
      </x:c>
      <x:c r="D1984" s="27" t="str">
        <x:v>DOMAIN_SEQUENCE</x:v>
      </x:c>
      <x:c r="E1984" s="27" t="str">
        <x:v>S20-READ-01</x:v>
      </x:c>
      <x:c r="F1984" s="27" t="str">
        <x:v>Theme, structure, allusion, and viewpoint</x:v>
      </x:c>
      <x:c r="G1984" s="27" t="str">
        <x:v>S20</x:v>
      </x:c>
      <x:c r="H1984" s="27" t="str">
        <x:v>Reading</x:v>
      </x:c>
      <x:c r="I1984" s="27" t="str">
        <x:v>SRC10</x:v>
      </x:c>
      <x:c r="J1984" s="27" t="str">
        <x:v>Ordered spiral link; consult explicit prerequisites for logical dependency.</x:v>
      </x:c>
    </x:row>
    <x:row r="1985">
      <x:c r="A1985" s="27" t="str">
        <x:v>E01981</x:v>
      </x:c>
      <x:c r="B1985" s="27" t="str">
        <x:v>S20-READ-01:PREREQ</x:v>
      </x:c>
      <x:c r="C1985" s="27" t="str">
        <x:v>Grade 7 interacting craft analysis and cultural/historical context.</x:v>
      </x:c>
      <x:c r="D1985" s="27" t="str">
        <x:v>PREREQUISITE</x:v>
      </x:c>
      <x:c r="E1985" s="27" t="str">
        <x:v>S20-READ-01</x:v>
      </x:c>
      <x:c r="F1985" s="27" t="str">
        <x:v>Theme, structure, allusion, and viewpoint</x:v>
      </x:c>
      <x:c r="G1985" s="27" t="str">
        <x:v>S20</x:v>
      </x:c>
      <x:c r="H1985" s="27" t="str">
        <x:v>Reading</x:v>
      </x:c>
      <x:c r="I1985" s="27" t="str">
        <x:v>SRC10</x:v>
      </x:c>
      <x:c r="J1985" s="27" t="str">
        <x:v>Incoming prerequisite relationship.</x:v>
      </x:c>
    </x:row>
    <x:row r="1986">
      <x:c r="A1986" s="27" t="str">
        <x:v>E01982</x:v>
      </x:c>
      <x:c r="B1986" s="27" t="str">
        <x:v>S20-READ-01:GROUND</x:v>
      </x:c>
      <x:c r="C1986" s="27" t="str">
        <x:v>G5/G6 — Coordinated representations within an evidence-based formal system</x:v>
      </x:c>
      <x:c r="D1986" s="27" t="str">
        <x:v>GROUNDED_BY</x:v>
      </x:c>
      <x:c r="E1986" s="27" t="str">
        <x:v>S20-READ-01</x:v>
      </x:c>
      <x:c r="F1986" s="27" t="str">
        <x:v>Theme, structure, allusion, and viewpoint</x:v>
      </x:c>
      <x:c r="G1986" s="27" t="str">
        <x:v>S20</x:v>
      </x:c>
      <x:c r="H1986" s="27" t="str">
        <x:v>Reading</x:v>
      </x:c>
      <x:c r="I1986" s="27" t="str">
        <x:v>SRC10</x:v>
      </x:c>
      <x:c r="J1986" s="27" t="str">
        <x:v>Grounding form used to preserve meaning.</x:v>
      </x:c>
    </x:row>
    <x:row r="1987">
      <x:c r="A1987" s="27" t="str">
        <x:v>E01983</x:v>
      </x:c>
      <x:c r="B1987" s="27" t="str">
        <x:v>S20-READ-01</x:v>
      </x:c>
      <x:c r="C1987" s="27" t="str">
        <x:v>Theme, structure, allusion, and viewpoint</x:v>
      </x:c>
      <x:c r="D1987" s="27" t="str">
        <x:v>CONNECTS_TO</x:v>
      </x:c>
      <x:c r="E1987" s="27" t="str">
        <x:v>S20-READ-01:CROSS</x:v>
      </x:c>
      <x:c r="F1987" s="27" t="str">
        <x:v>Oral language and writing; evidence in science/social studies; mathematical and technical problem interpretation; media verification.</x:v>
      </x:c>
      <x:c r="G1987" s="27" t="str">
        <x:v>S20</x:v>
      </x:c>
      <x:c r="H1987" s="27" t="str">
        <x:v>Reading</x:v>
      </x:c>
      <x:c r="I1987" s="27" t="str">
        <x:v>SRC10</x:v>
      </x:c>
      <x:c r="J1987" s="27" t="str">
        <x:v>Parallel subject and representation links.</x:v>
      </x:c>
    </x:row>
    <x:row r="1988">
      <x:c r="A1988" s="27" t="str">
        <x:v>E01984</x:v>
      </x:c>
      <x:c r="B1988" s="27" t="str">
        <x:v>S20-READ-01</x:v>
      </x:c>
      <x:c r="C1988" s="27" t="str">
        <x:v>Theme, structure, allusion, and viewpoint</x:v>
      </x:c>
      <x:c r="D1988" s="27" t="str">
        <x:v>UNLOCKS</x:v>
      </x:c>
      <x:c r="E1988" s="27" t="str">
        <x:v>S20-READ-01:NEXT</x:v>
      </x:c>
      <x:c r="F1988" s="27" t="str">
        <x:v>Layered references and structural choices prepare high-school literary interpretation.</x:v>
      </x:c>
      <x:c r="G1988" s="27" t="str">
        <x:v>S20</x:v>
      </x:c>
      <x:c r="H1988" s="27" t="str">
        <x:v>Reading</x:v>
      </x:c>
      <x:c r="I1988" s="27" t="str">
        <x:v>SRC10</x:v>
      </x:c>
      <x:c r="J1988" s="27" t="str">
        <x:v>Outgoing use and placement rationale.</x:v>
      </x:c>
    </x:row>
    <x:row r="1989">
      <x:c r="A1989" s="27" t="str">
        <x:v>E01985</x:v>
      </x:c>
      <x:c r="B1989" s="27" t="str">
        <x:v>S20-READ-01</x:v>
      </x:c>
      <x:c r="C1989" s="27" t="str">
        <x:v>Theme, structure, allusion, and viewpoint</x:v>
      </x:c>
      <x:c r="D1989" s="27" t="str">
        <x:v>VERIFIED_BY</x:v>
      </x:c>
      <x:c r="E1989" s="27" t="str">
        <x:v>S20-READ-01:EVIDENCE</x:v>
      </x:c>
      <x:c r="F1989" s="27" t="str">
        <x:v>Builds an interpretation supported by a pattern of textual details and contextual knowledge.</x:v>
      </x:c>
      <x:c r="G1989" s="27" t="str">
        <x:v>S20</x:v>
      </x:c>
      <x:c r="H1989" s="27" t="str">
        <x:v>Reading</x:v>
      </x:c>
      <x:c r="I1989" s="27" t="str">
        <x:v>SRC10</x:v>
      </x:c>
      <x:c r="J1989" s="27" t="str">
        <x:v>Observable evidence of usable learning.</x:v>
      </x:c>
    </x:row>
    <x:row r="1990">
      <x:c r="A1990" s="27" t="str">
        <x:v>E01986</x:v>
      </x:c>
      <x:c r="B1990" s="27" t="str">
        <x:v>S20-READ-01</x:v>
      </x:c>
      <x:c r="C1990" s="27" t="str">
        <x:v>Previous node in domain progression</x:v>
      </x:c>
      <x:c r="D1990" s="27" t="str">
        <x:v>DOMAIN_SEQUENCE</x:v>
      </x:c>
      <x:c r="E1990" s="27" t="str">
        <x:v>S20-READ-02</x:v>
      </x:c>
      <x:c r="F1990" s="27" t="str">
        <x:v>Validity, sufficiency, relevance, and disagreement</x:v>
      </x:c>
      <x:c r="G1990" s="27" t="str">
        <x:v>S20</x:v>
      </x:c>
      <x:c r="H1990" s="27" t="str">
        <x:v>Reading</x:v>
      </x:c>
      <x:c r="I1990" s="27" t="str">
        <x:v>SRC10; SRC20</x:v>
      </x:c>
      <x:c r="J1990" s="27" t="str">
        <x:v>Ordered spiral link; consult explicit prerequisites for logical dependency.</x:v>
      </x:c>
    </x:row>
    <x:row r="1991">
      <x:c r="A1991" s="27" t="str">
        <x:v>E01987</x:v>
      </x:c>
      <x:c r="B1991" s="27" t="str">
        <x:v>S20-READ-02:PREREQ</x:v>
      </x:c>
      <x:c r="C1991" s="27" t="str">
        <x:v>Grade 7 conflicting-source evaluation, probability, and synthesis.</x:v>
      </x:c>
      <x:c r="D1991" s="27" t="str">
        <x:v>PREREQUISITE</x:v>
      </x:c>
      <x:c r="E1991" s="27" t="str">
        <x:v>S20-READ-02</x:v>
      </x:c>
      <x:c r="F1991" s="27" t="str">
        <x:v>Validity, sufficiency, relevance, and disagreement</x:v>
      </x:c>
      <x:c r="G1991" s="27" t="str">
        <x:v>S20</x:v>
      </x:c>
      <x:c r="H1991" s="27" t="str">
        <x:v>Reading</x:v>
      </x:c>
      <x:c r="I1991" s="27" t="str">
        <x:v>SRC10; SRC20</x:v>
      </x:c>
      <x:c r="J1991" s="27" t="str">
        <x:v>Incoming prerequisite relationship.</x:v>
      </x:c>
    </x:row>
    <x:row r="1992">
      <x:c r="A1992" s="27" t="str">
        <x:v>E01988</x:v>
      </x:c>
      <x:c r="B1992" s="27" t="str">
        <x:v>S20-READ-02:GROUND</x:v>
      </x:c>
      <x:c r="C1992" s="27" t="str">
        <x:v>G5/G6 — Coordinated representations within an evidence-based formal system</x:v>
      </x:c>
      <x:c r="D1992" s="27" t="str">
        <x:v>GROUNDED_BY</x:v>
      </x:c>
      <x:c r="E1992" s="27" t="str">
        <x:v>S20-READ-02</x:v>
      </x:c>
      <x:c r="F1992" s="27" t="str">
        <x:v>Validity, sufficiency, relevance, and disagreement</x:v>
      </x:c>
      <x:c r="G1992" s="27" t="str">
        <x:v>S20</x:v>
      </x:c>
      <x:c r="H1992" s="27" t="str">
        <x:v>Reading</x:v>
      </x:c>
      <x:c r="I1992" s="27" t="str">
        <x:v>SRC10; SRC20</x:v>
      </x:c>
      <x:c r="J1992" s="27" t="str">
        <x:v>Grounding form used to preserve meaning.</x:v>
      </x:c>
    </x:row>
    <x:row r="1993">
      <x:c r="A1993" s="27" t="str">
        <x:v>E01989</x:v>
      </x:c>
      <x:c r="B1993" s="27" t="str">
        <x:v>S20-READ-02</x:v>
      </x:c>
      <x:c r="C1993" s="27" t="str">
        <x:v>Validity, sufficiency, relevance, and disagreement</x:v>
      </x:c>
      <x:c r="D1993" s="27" t="str">
        <x:v>CONNECTS_TO</x:v>
      </x:c>
      <x:c r="E1993" s="27" t="str">
        <x:v>S20-READ-02:CROSS</x:v>
      </x:c>
      <x:c r="F1993" s="27" t="str">
        <x:v>Oral language and writing; evidence in science/social studies; mathematical and technical problem interpretation; media verification.</x:v>
      </x:c>
      <x:c r="G1993" s="27" t="str">
        <x:v>S20</x:v>
      </x:c>
      <x:c r="H1993" s="27" t="str">
        <x:v>Reading</x:v>
      </x:c>
      <x:c r="I1993" s="27" t="str">
        <x:v>SRC10; SRC20</x:v>
      </x:c>
      <x:c r="J1993" s="27" t="str">
        <x:v>Parallel subject and representation links.</x:v>
      </x:c>
    </x:row>
    <x:row r="1994">
      <x:c r="A1994" s="27" t="str">
        <x:v>E01990</x:v>
      </x:c>
      <x:c r="B1994" s="27" t="str">
        <x:v>S20-READ-02</x:v>
      </x:c>
      <x:c r="C1994" s="27" t="str">
        <x:v>Validity, sufficiency, relevance, and disagreement</x:v>
      </x:c>
      <x:c r="D1994" s="27" t="str">
        <x:v>UNLOCKS</x:v>
      </x:c>
      <x:c r="E1994" s="27" t="str">
        <x:v>S20-READ-02:NEXT</x:v>
      </x:c>
      <x:c r="F1994" s="27" t="str">
        <x:v>Structured disagreement analysis prepares research and civic/scientific judgment.</x:v>
      </x:c>
      <x:c r="G1994" s="27" t="str">
        <x:v>S20</x:v>
      </x:c>
      <x:c r="H1994" s="27" t="str">
        <x:v>Reading</x:v>
      </x:c>
      <x:c r="I1994" s="27" t="str">
        <x:v>SRC10; SRC20</x:v>
      </x:c>
      <x:c r="J1994" s="27" t="str">
        <x:v>Outgoing use and placement rationale.</x:v>
      </x:c>
    </x:row>
    <x:row r="1995">
      <x:c r="A1995" s="27" t="str">
        <x:v>E01991</x:v>
      </x:c>
      <x:c r="B1995" s="27" t="str">
        <x:v>S20-READ-02</x:v>
      </x:c>
      <x:c r="C1995" s="27" t="str">
        <x:v>Validity, sufficiency, relevance, and disagreement</x:v>
      </x:c>
      <x:c r="D1995" s="27" t="str">
        <x:v>VERIFIED_BY</x:v>
      </x:c>
      <x:c r="E1995" s="27" t="str">
        <x:v>S20-READ-02:EVIDENCE</x:v>
      </x:c>
      <x:c r="F1995" s="27" t="str">
        <x:v>Writes a qualified conclusion reflecting evidence strength, source agreement, and unresolved uncertainty.</x:v>
      </x:c>
      <x:c r="G1995" s="27" t="str">
        <x:v>S20</x:v>
      </x:c>
      <x:c r="H1995" s="27" t="str">
        <x:v>Reading</x:v>
      </x:c>
      <x:c r="I1995" s="27" t="str">
        <x:v>SRC10; SRC20</x:v>
      </x:c>
      <x:c r="J1995" s="27" t="str">
        <x:v>Observable evidence of usable learning.</x:v>
      </x:c>
    </x:row>
    <x:row r="1996">
      <x:c r="A1996" s="27" t="str">
        <x:v>E01992</x:v>
      </x:c>
      <x:c r="B1996" s="27" t="str">
        <x:v>S19-WRITE-03</x:v>
      </x:c>
      <x:c r="C1996" s="27" t="str">
        <x:v>Previous node in domain progression</x:v>
      </x:c>
      <x:c r="D1996" s="27" t="str">
        <x:v>DOMAIN_SEQUENCE</x:v>
      </x:c>
      <x:c r="E1996" s="27" t="str">
        <x:v>S20-WRITE-01</x:v>
      </x:c>
      <x:c r="F1996" s="27" t="str">
        <x:v>Thesis, line of reasoning, evidence, commentary</x:v>
      </x:c>
      <x:c r="G1996" s="27" t="str">
        <x:v>S20</x:v>
      </x:c>
      <x:c r="H1996" s="27" t="str">
        <x:v>Writing &amp; Language</x:v>
      </x:c>
      <x:c r="I1996" s="27" t="str">
        <x:v>SRC10; SRC22</x:v>
      </x:c>
      <x:c r="J1996" s="27" t="str">
        <x:v>Ordered spiral link; consult explicit prerequisites for logical dependency.</x:v>
      </x:c>
    </x:row>
    <x:row r="1997">
      <x:c r="A1997" s="27" t="str">
        <x:v>E01993</x:v>
      </x:c>
      <x:c r="B1997" s="27" t="str">
        <x:v>S20-WRITE-01:PREREQ</x:v>
      </x:c>
      <x:c r="C1997" s="27" t="str">
        <x:v>Grade 7 counterclaim/synthesis and literary/argument analysis.</x:v>
      </x:c>
      <x:c r="D1997" s="27" t="str">
        <x:v>PREREQUISITE</x:v>
      </x:c>
      <x:c r="E1997" s="27" t="str">
        <x:v>S20-WRITE-01</x:v>
      </x:c>
      <x:c r="F1997" s="27" t="str">
        <x:v>Thesis, line of reasoning, evidence, commentary</x:v>
      </x:c>
      <x:c r="G1997" s="27" t="str">
        <x:v>S20</x:v>
      </x:c>
      <x:c r="H1997" s="27" t="str">
        <x:v>Writing &amp; Language</x:v>
      </x:c>
      <x:c r="I1997" s="27" t="str">
        <x:v>SRC10; SRC22</x:v>
      </x:c>
      <x:c r="J1997" s="27" t="str">
        <x:v>Incoming prerequisite relationship.</x:v>
      </x:c>
    </x:row>
    <x:row r="1998">
      <x:c r="A1998" s="27" t="str">
        <x:v>E01994</x:v>
      </x:c>
      <x:c r="B1998" s="27" t="str">
        <x:v>S20-WRITE-01:GROUND</x:v>
      </x:c>
      <x:c r="C1998" s="27" t="str">
        <x:v>G5/G6 — Coordinated representations within an evidence-based formal system</x:v>
      </x:c>
      <x:c r="D1998" s="27" t="str">
        <x:v>GROUNDED_BY</x:v>
      </x:c>
      <x:c r="E1998" s="27" t="str">
        <x:v>S20-WRITE-01</x:v>
      </x:c>
      <x:c r="F1998" s="27" t="str">
        <x:v>Thesis, line of reasoning, evidence, commentary</x:v>
      </x:c>
      <x:c r="G1998" s="27" t="str">
        <x:v>S20</x:v>
      </x:c>
      <x:c r="H1998" s="27" t="str">
        <x:v>Writing &amp; Language</x:v>
      </x:c>
      <x:c r="I1998" s="27" t="str">
        <x:v>SRC10; SRC22</x:v>
      </x:c>
      <x:c r="J1998" s="27" t="str">
        <x:v>Grounding form used to preserve meaning.</x:v>
      </x:c>
    </x:row>
    <x:row r="1999">
      <x:c r="A1999" s="27" t="str">
        <x:v>E01995</x:v>
      </x:c>
      <x:c r="B1999" s="27" t="str">
        <x:v>S20-WRITE-01</x:v>
      </x:c>
      <x:c r="C1999" s="27" t="str">
        <x:v>Thesis, line of reasoning, evidence, commentary</x:v>
      </x:c>
      <x:c r="D1999" s="27" t="str">
        <x:v>CONNECTS_TO</x:v>
      </x:c>
      <x:c r="E1999" s="27" t="str">
        <x:v>S20-WRITE-01:CROSS</x:v>
      </x:c>
      <x:c r="F1999" s="27" t="str">
        <x:v>Reading models; evidence from science/social studies; mathematical explanation; research, media, and presentation.</x:v>
      </x:c>
      <x:c r="G1999" s="27" t="str">
        <x:v>S20</x:v>
      </x:c>
      <x:c r="H1999" s="27" t="str">
        <x:v>Writing &amp; Language</x:v>
      </x:c>
      <x:c r="I1999" s="27" t="str">
        <x:v>SRC10; SRC22</x:v>
      </x:c>
      <x:c r="J1999" s="27" t="str">
        <x:v>Parallel subject and representation links.</x:v>
      </x:c>
    </x:row>
    <x:row r="2000">
      <x:c r="A2000" s="27" t="str">
        <x:v>E01996</x:v>
      </x:c>
      <x:c r="B2000" s="27" t="str">
        <x:v>S20-WRITE-01</x:v>
      </x:c>
      <x:c r="C2000" s="27" t="str">
        <x:v>Thesis, line of reasoning, evidence, commentary</x:v>
      </x:c>
      <x:c r="D2000" s="27" t="str">
        <x:v>UNLOCKS</x:v>
      </x:c>
      <x:c r="E2000" s="27" t="str">
        <x:v>S20-WRITE-01:NEXT</x:v>
      </x:c>
      <x:c r="F2000" s="27" t="str">
        <x:v>A line of reasoning is the organizing spine of high-school composition.</x:v>
      </x:c>
      <x:c r="G2000" s="27" t="str">
        <x:v>S20</x:v>
      </x:c>
      <x:c r="H2000" s="27" t="str">
        <x:v>Writing &amp; Language</x:v>
      </x:c>
      <x:c r="I2000" s="27" t="str">
        <x:v>SRC10; SRC22</x:v>
      </x:c>
      <x:c r="J2000" s="27" t="str">
        <x:v>Outgoing use and placement rationale.</x:v>
      </x:c>
    </x:row>
    <x:row r="2001">
      <x:c r="A2001" s="27" t="str">
        <x:v>E01997</x:v>
      </x:c>
      <x:c r="B2001" s="27" t="str">
        <x:v>S20-WRITE-01</x:v>
      </x:c>
      <x:c r="C2001" s="27" t="str">
        <x:v>Thesis, line of reasoning, evidence, commentary</x:v>
      </x:c>
      <x:c r="D2001" s="27" t="str">
        <x:v>VERIFIED_BY</x:v>
      </x:c>
      <x:c r="E2001" s="27" t="str">
        <x:v>S20-WRITE-01:EVIDENCE</x:v>
      </x:c>
      <x:c r="F2001" s="27" t="str">
        <x:v>Outlines and writes an analysis where each paragraph has a distinct inferential job.</x:v>
      </x:c>
      <x:c r="G2001" s="27" t="str">
        <x:v>S20</x:v>
      </x:c>
      <x:c r="H2001" s="27" t="str">
        <x:v>Writing &amp; Language</x:v>
      </x:c>
      <x:c r="I2001" s="27" t="str">
        <x:v>SRC10; SRC22</x:v>
      </x:c>
      <x:c r="J2001" s="27" t="str">
        <x:v>Observable evidence of usable learning.</x:v>
      </x:c>
    </x:row>
    <x:row r="2002">
      <x:c r="A2002" s="27" t="str">
        <x:v>E01998</x:v>
      </x:c>
      <x:c r="B2002" s="27" t="str">
        <x:v>S20-WRITE-01</x:v>
      </x:c>
      <x:c r="C2002" s="27" t="str">
        <x:v>Previous node in domain progression</x:v>
      </x:c>
      <x:c r="D2002" s="27" t="str">
        <x:v>DOMAIN_SEQUENCE</x:v>
      </x:c>
      <x:c r="E2002" s="27" t="str">
        <x:v>S20-WRITE-02</x:v>
      </x:c>
      <x:c r="F2002" s="27" t="str">
        <x:v>Inquiry design and evidence matrix</x:v>
      </x:c>
      <x:c r="G2002" s="27" t="str">
        <x:v>S20</x:v>
      </x:c>
      <x:c r="H2002" s="27" t="str">
        <x:v>Writing &amp; Language</x:v>
      </x:c>
      <x:c r="I2002" s="27" t="str">
        <x:v>SRC10; SRC22</x:v>
      </x:c>
      <x:c r="J2002" s="27" t="str">
        <x:v>Ordered spiral link; consult explicit prerequisites for logical dependency.</x:v>
      </x:c>
    </x:row>
    <x:row r="2003">
      <x:c r="A2003" s="27" t="str">
        <x:v>E01999</x:v>
      </x:c>
      <x:c r="B2003" s="27" t="str">
        <x:v>S20-WRITE-02:PREREQ</x:v>
      </x:c>
      <x:c r="C2003" s="27" t="str">
        <x:v>Grade 7 source synthesis, Grade 6 citation, and project planning.</x:v>
      </x:c>
      <x:c r="D2003" s="27" t="str">
        <x:v>PREREQUISITE</x:v>
      </x:c>
      <x:c r="E2003" s="27" t="str">
        <x:v>S20-WRITE-02</x:v>
      </x:c>
      <x:c r="F2003" s="27" t="str">
        <x:v>Inquiry design and evidence matrix</x:v>
      </x:c>
      <x:c r="G2003" s="27" t="str">
        <x:v>S20</x:v>
      </x:c>
      <x:c r="H2003" s="27" t="str">
        <x:v>Writing &amp; Language</x:v>
      </x:c>
      <x:c r="I2003" s="27" t="str">
        <x:v>SRC10; SRC22</x:v>
      </x:c>
      <x:c r="J2003" s="27" t="str">
        <x:v>Incoming prerequisite relationship.</x:v>
      </x:c>
    </x:row>
    <x:row r="2004">
      <x:c r="A2004" s="27" t="str">
        <x:v>E02000</x:v>
      </x:c>
      <x:c r="B2004" s="27" t="str">
        <x:v>S20-WRITE-02:GROUND</x:v>
      </x:c>
      <x:c r="C2004" s="27" t="str">
        <x:v>G5/G6 — Coordinated representations within an evidence-based formal system</x:v>
      </x:c>
      <x:c r="D2004" s="27" t="str">
        <x:v>GROUNDED_BY</x:v>
      </x:c>
      <x:c r="E2004" s="27" t="str">
        <x:v>S20-WRITE-02</x:v>
      </x:c>
      <x:c r="F2004" s="27" t="str">
        <x:v>Inquiry design and evidence matrix</x:v>
      </x:c>
      <x:c r="G2004" s="27" t="str">
        <x:v>S20</x:v>
      </x:c>
      <x:c r="H2004" s="27" t="str">
        <x:v>Writing &amp; Language</x:v>
      </x:c>
      <x:c r="I2004" s="27" t="str">
        <x:v>SRC10; SRC22</x:v>
      </x:c>
      <x:c r="J2004" s="27" t="str">
        <x:v>Grounding form used to preserve meaning.</x:v>
      </x:c>
    </x:row>
    <x:row r="2005">
      <x:c r="A2005" s="27" t="str">
        <x:v>E02001</x:v>
      </x:c>
      <x:c r="B2005" s="27" t="str">
        <x:v>S20-WRITE-02</x:v>
      </x:c>
      <x:c r="C2005" s="27" t="str">
        <x:v>Inquiry design and evidence matrix</x:v>
      </x:c>
      <x:c r="D2005" s="27" t="str">
        <x:v>CONNECTS_TO</x:v>
      </x:c>
      <x:c r="E2005" s="27" t="str">
        <x:v>S20-WRITE-02:CROSS</x:v>
      </x:c>
      <x:c r="F2005" s="27" t="str">
        <x:v>Reading models; evidence from science/social studies; mathematical explanation; research, media, and presentation.</x:v>
      </x:c>
      <x:c r="G2005" s="27" t="str">
        <x:v>S20</x:v>
      </x:c>
      <x:c r="H2005" s="27" t="str">
        <x:v>Writing &amp; Language</x:v>
      </x:c>
      <x:c r="I2005" s="27" t="str">
        <x:v>SRC10; SRC22</x:v>
      </x:c>
      <x:c r="J2005" s="27" t="str">
        <x:v>Parallel subject and representation links.</x:v>
      </x:c>
    </x:row>
    <x:row r="2006">
      <x:c r="A2006" s="27" t="str">
        <x:v>E02002</x:v>
      </x:c>
      <x:c r="B2006" s="27" t="str">
        <x:v>S20-WRITE-02</x:v>
      </x:c>
      <x:c r="C2006" s="27" t="str">
        <x:v>Inquiry design and evidence matrix</x:v>
      </x:c>
      <x:c r="D2006" s="27" t="str">
        <x:v>UNLOCKS</x:v>
      </x:c>
      <x:c r="E2006" s="27" t="str">
        <x:v>S20-WRITE-02:NEXT</x:v>
      </x:c>
      <x:c r="F2006" s="27" t="str">
        <x:v>An evidence matrix exposes agreements, gaps, and relationships before drafting.</x:v>
      </x:c>
      <x:c r="G2006" s="27" t="str">
        <x:v>S20</x:v>
      </x:c>
      <x:c r="H2006" s="27" t="str">
        <x:v>Writing &amp; Language</x:v>
      </x:c>
      <x:c r="I2006" s="27" t="str">
        <x:v>SRC10; SRC22</x:v>
      </x:c>
      <x:c r="J2006" s="27" t="str">
        <x:v>Outgoing use and placement rationale.</x:v>
      </x:c>
    </x:row>
    <x:row r="2007">
      <x:c r="A2007" s="27" t="str">
        <x:v>E02003</x:v>
      </x:c>
      <x:c r="B2007" s="27" t="str">
        <x:v>S20-WRITE-02</x:v>
      </x:c>
      <x:c r="C2007" s="27" t="str">
        <x:v>Inquiry design and evidence matrix</x:v>
      </x:c>
      <x:c r="D2007" s="27" t="str">
        <x:v>VERIFIED_BY</x:v>
      </x:c>
      <x:c r="E2007" s="27" t="str">
        <x:v>S20-WRITE-02:EVIDENCE</x:v>
      </x:c>
      <x:c r="F2007" s="27" t="str">
        <x:v>Submits a reproducible search log, evidence matrix, and synthesis tied to the research question.</x:v>
      </x:c>
      <x:c r="G2007" s="27" t="str">
        <x:v>S20</x:v>
      </x:c>
      <x:c r="H2007" s="27" t="str">
        <x:v>Writing &amp; Language</x:v>
      </x:c>
      <x:c r="I2007" s="27" t="str">
        <x:v>SRC10; SRC22</x:v>
      </x:c>
      <x:c r="J2007" s="27" t="str">
        <x:v>Observable evidence of usable learning.</x:v>
      </x:c>
    </x:row>
    <x:row r="2008">
      <x:c r="A2008" s="27" t="str">
        <x:v>E02004</x:v>
      </x:c>
      <x:c r="B2008" s="27" t="str">
        <x:v>S20-WRITE-02</x:v>
      </x:c>
      <x:c r="C2008" s="27" t="str">
        <x:v>Previous node in domain progression</x:v>
      </x:c>
      <x:c r="D2008" s="27" t="str">
        <x:v>DOMAIN_SEQUENCE</x:v>
      </x:c>
      <x:c r="E2008" s="27" t="str">
        <x:v>S20-WRITE-03</x:v>
      </x:c>
      <x:c r="F2008" s="27" t="str">
        <x:v>Multimedia explanation and oral defense</x:v>
      </x:c>
      <x:c r="G2008" s="27" t="str">
        <x:v>S20</x:v>
      </x:c>
      <x:c r="H2008" s="27" t="str">
        <x:v>Writing &amp; Language</x:v>
      </x:c>
      <x:c r="I2008" s="27" t="str">
        <x:v>SRC10; SRC20; SRC32</x:v>
      </x:c>
      <x:c r="J2008" s="27" t="str">
        <x:v>Ordered spiral link; consult explicit prerequisites for logical dependency.</x:v>
      </x:c>
    </x:row>
    <x:row r="2009">
      <x:c r="A2009" s="27" t="str">
        <x:v>E02005</x:v>
      </x:c>
      <x:c r="B2009" s="27" t="str">
        <x:v>S20-WRITE-03:PREREQ</x:v>
      </x:c>
      <x:c r="C2009" s="27" t="str">
        <x:v>Representation mapping, media analysis, and analytical writing.</x:v>
      </x:c>
      <x:c r="D2009" s="27" t="str">
        <x:v>PREREQUISITE</x:v>
      </x:c>
      <x:c r="E2009" s="27" t="str">
        <x:v>S20-WRITE-03</x:v>
      </x:c>
      <x:c r="F2009" s="27" t="str">
        <x:v>Multimedia explanation and oral defense</x:v>
      </x:c>
      <x:c r="G2009" s="27" t="str">
        <x:v>S20</x:v>
      </x:c>
      <x:c r="H2009" s="27" t="str">
        <x:v>Writing &amp; Language</x:v>
      </x:c>
      <x:c r="I2009" s="27" t="str">
        <x:v>SRC10; SRC20; SRC32</x:v>
      </x:c>
      <x:c r="J2009" s="27" t="str">
        <x:v>Incoming prerequisite relationship.</x:v>
      </x:c>
    </x:row>
    <x:row r="2010">
      <x:c r="A2010" s="27" t="str">
        <x:v>E02006</x:v>
      </x:c>
      <x:c r="B2010" s="27" t="str">
        <x:v>S20-WRITE-03:GROUND</x:v>
      </x:c>
      <x:c r="C2010" s="27" t="str">
        <x:v>G5/G6 — Coordinated representations within an evidence-based formal system</x:v>
      </x:c>
      <x:c r="D2010" s="27" t="str">
        <x:v>GROUNDED_BY</x:v>
      </x:c>
      <x:c r="E2010" s="27" t="str">
        <x:v>S20-WRITE-03</x:v>
      </x:c>
      <x:c r="F2010" s="27" t="str">
        <x:v>Multimedia explanation and oral defense</x:v>
      </x:c>
      <x:c r="G2010" s="27" t="str">
        <x:v>S20</x:v>
      </x:c>
      <x:c r="H2010" s="27" t="str">
        <x:v>Writing &amp; Language</x:v>
      </x:c>
      <x:c r="I2010" s="27" t="str">
        <x:v>SRC10; SRC20; SRC32</x:v>
      </x:c>
      <x:c r="J2010" s="27" t="str">
        <x:v>Grounding form used to preserve meaning.</x:v>
      </x:c>
    </x:row>
    <x:row r="2011">
      <x:c r="A2011" s="27" t="str">
        <x:v>E02007</x:v>
      </x:c>
      <x:c r="B2011" s="27" t="str">
        <x:v>S20-WRITE-03</x:v>
      </x:c>
      <x:c r="C2011" s="27" t="str">
        <x:v>Multimedia explanation and oral defense</x:v>
      </x:c>
      <x:c r="D2011" s="27" t="str">
        <x:v>CONNECTS_TO</x:v>
      </x:c>
      <x:c r="E2011" s="27" t="str">
        <x:v>S20-WRITE-03:CROSS</x:v>
      </x:c>
      <x:c r="F2011" s="27" t="str">
        <x:v>Reading models; evidence from science/social studies; mathematical explanation; research, media, and presentation.</x:v>
      </x:c>
      <x:c r="G2011" s="27" t="str">
        <x:v>S20</x:v>
      </x:c>
      <x:c r="H2011" s="27" t="str">
        <x:v>Writing &amp; Language</x:v>
      </x:c>
      <x:c r="I2011" s="27" t="str">
        <x:v>SRC10; SRC20; SRC32</x:v>
      </x:c>
      <x:c r="J2011" s="27" t="str">
        <x:v>Parallel subject and representation links.</x:v>
      </x:c>
    </x:row>
    <x:row r="2012">
      <x:c r="A2012" s="27" t="str">
        <x:v>E02008</x:v>
      </x:c>
      <x:c r="B2012" s="27" t="str">
        <x:v>S20-WRITE-03</x:v>
      </x:c>
      <x:c r="C2012" s="27" t="str">
        <x:v>Multimedia explanation and oral defense</x:v>
      </x:c>
      <x:c r="D2012" s="27" t="str">
        <x:v>UNLOCKS</x:v>
      </x:c>
      <x:c r="E2012" s="27" t="str">
        <x:v>S20-WRITE-03:NEXT</x:v>
      </x:c>
      <x:c r="F2012" s="27" t="str">
        <x:v>Cross-modal alignment and defense demonstrate integrated, audience-aware understanding.</x:v>
      </x:c>
      <x:c r="G2012" s="27" t="str">
        <x:v>S20</x:v>
      </x:c>
      <x:c r="H2012" s="27" t="str">
        <x:v>Writing &amp; Language</x:v>
      </x:c>
      <x:c r="I2012" s="27" t="str">
        <x:v>SRC10; SRC20; SRC32</x:v>
      </x:c>
      <x:c r="J2012" s="27" t="str">
        <x:v>Outgoing use and placement rationale.</x:v>
      </x:c>
    </x:row>
    <x:row r="2013">
      <x:c r="A2013" s="27" t="str">
        <x:v>E02009</x:v>
      </x:c>
      <x:c r="B2013" s="27" t="str">
        <x:v>S20-WRITE-03</x:v>
      </x:c>
      <x:c r="C2013" s="27" t="str">
        <x:v>Multimedia explanation and oral defense</x:v>
      </x:c>
      <x:c r="D2013" s="27" t="str">
        <x:v>VERIFIED_BY</x:v>
      </x:c>
      <x:c r="E2013" s="27" t="str">
        <x:v>S20-WRITE-03:EVIDENCE</x:v>
      </x:c>
      <x:c r="F2013" s="27" t="str">
        <x:v>Delivers a coherent presentation and answers an unanticipated question using evidence.</x:v>
      </x:c>
      <x:c r="G2013" s="27" t="str">
        <x:v>S20</x:v>
      </x:c>
      <x:c r="H2013" s="27" t="str">
        <x:v>Writing &amp; Language</x:v>
      </x:c>
      <x:c r="I2013" s="27" t="str">
        <x:v>SRC10; SRC20; SRC32</x:v>
      </x:c>
      <x:c r="J2013" s="27" t="str">
        <x:v>Observable evidence of usable learning.</x:v>
      </x:c>
    </x:row>
    <x:row r="2014">
      <x:c r="A2014" s="27" t="str">
        <x:v>E02010</x:v>
      </x:c>
      <x:c r="B2014" s="27" t="str">
        <x:v>S19-MATH-06</x:v>
      </x:c>
      <x:c r="C2014" s="27" t="str">
        <x:v>Previous node in domain progression</x:v>
      </x:c>
      <x:c r="D2014" s="27" t="str">
        <x:v>DOMAIN_SEQUENCE</x:v>
      </x:c>
      <x:c r="E2014" s="27" t="str">
        <x:v>S20-MATH-01</x:v>
      </x:c>
      <x:c r="F2014" s="27" t="str">
        <x:v>Irrational numbers and approximations</x:v>
      </x:c>
      <x:c r="G2014" s="27" t="str">
        <x:v>S20</x:v>
      </x:c>
      <x:c r="H2014" s="27" t="str">
        <x:v>Mathematics</x:v>
      </x:c>
      <x:c r="I2014" s="27" t="str">
        <x:v>SRC09</x:v>
      </x:c>
      <x:c r="J2014" s="27" t="str">
        <x:v>Ordered spiral link; consult explicit prerequisites for logical dependency.</x:v>
      </x:c>
    </x:row>
    <x:row r="2015">
      <x:c r="A2015" s="27" t="str">
        <x:v>E02011</x:v>
      </x:c>
      <x:c r="B2015" s="27" t="str">
        <x:v>S20-MATH-01:PREREQ</x:v>
      </x:c>
      <x:c r="C2015" s="27" t="str">
        <x:v>Grade 7 rational numbers, roots as inverse powers, and magnitude estimation.</x:v>
      </x:c>
      <x:c r="D2015" s="27" t="str">
        <x:v>PREREQUISITE</x:v>
      </x:c>
      <x:c r="E2015" s="27" t="str">
        <x:v>S20-MATH-01</x:v>
      </x:c>
      <x:c r="F2015" s="27" t="str">
        <x:v>Irrational numbers and approximations</x:v>
      </x:c>
      <x:c r="G2015" s="27" t="str">
        <x:v>S20</x:v>
      </x:c>
      <x:c r="H2015" s="27" t="str">
        <x:v>Mathematics</x:v>
      </x:c>
      <x:c r="I2015" s="27" t="str">
        <x:v>SRC09</x:v>
      </x:c>
      <x:c r="J2015" s="27" t="str">
        <x:v>Incoming prerequisite relationship.</x:v>
      </x:c>
    </x:row>
    <x:row r="2016">
      <x:c r="A2016" s="27" t="str">
        <x:v>E02012</x:v>
      </x:c>
      <x:c r="B2016" s="27" t="str">
        <x:v>S20-MATH-01:GROUND</x:v>
      </x:c>
      <x:c r="C2016" s="27" t="str">
        <x:v>G5/G6 — Coordinated representations within an evidence-based formal system</x:v>
      </x:c>
      <x:c r="D2016" s="27" t="str">
        <x:v>GROUNDED_BY</x:v>
      </x:c>
      <x:c r="E2016" s="27" t="str">
        <x:v>S20-MATH-01</x:v>
      </x:c>
      <x:c r="F2016" s="27" t="str">
        <x:v>Irrational numbers and approximations</x:v>
      </x:c>
      <x:c r="G2016" s="27" t="str">
        <x:v>S20</x:v>
      </x:c>
      <x:c r="H2016" s="27" t="str">
        <x:v>Mathematics</x:v>
      </x:c>
      <x:c r="I2016" s="27" t="str">
        <x:v>SRC09</x:v>
      </x:c>
      <x:c r="J2016" s="27" t="str">
        <x:v>Grounding form used to preserve meaning.</x:v>
      </x:c>
    </x:row>
    <x:row r="2017">
      <x:c r="A2017" s="27" t="str">
        <x:v>E02013</x:v>
      </x:c>
      <x:c r="B2017" s="27" t="str">
        <x:v>S20-MATH-01</x:v>
      </x:c>
      <x:c r="C2017" s="27" t="str">
        <x:v>Irrational numbers and approximations</x:v>
      </x:c>
      <x:c r="D2017" s="27" t="str">
        <x:v>CONNECTS_TO</x:v>
      </x:c>
      <x:c r="E2017" s="27" t="str">
        <x:v>S20-MATH-01:CROSS</x:v>
      </x:c>
      <x:c r="F2017" s="27" t="str">
        <x:v>Physical quantity and spatial action; science measurement/models; computing/algorithms; finance; music rhythm/pattern; geographic data.</x:v>
      </x:c>
      <x:c r="G2017" s="27" t="str">
        <x:v>S20</x:v>
      </x:c>
      <x:c r="H2017" s="27" t="str">
        <x:v>Mathematics</x:v>
      </x:c>
      <x:c r="I2017" s="27" t="str">
        <x:v>SRC09</x:v>
      </x:c>
      <x:c r="J2017" s="27" t="str">
        <x:v>Parallel subject and representation links.</x:v>
      </x:c>
    </x:row>
    <x:row r="2018">
      <x:c r="A2018" s="27" t="str">
        <x:v>E02014</x:v>
      </x:c>
      <x:c r="B2018" s="27" t="str">
        <x:v>S20-MATH-01</x:v>
      </x:c>
      <x:c r="C2018" s="27" t="str">
        <x:v>Irrational numbers and approximations</x:v>
      </x:c>
      <x:c r="D2018" s="27" t="str">
        <x:v>UNLOCKS</x:v>
      </x:c>
      <x:c r="E2018" s="27" t="str">
        <x:v>S20-MATH-01:NEXT</x:v>
      </x:c>
      <x:c r="F2018" s="27" t="str">
        <x:v>Irrational numbers complete the real-number system used in geometry and algebra.</x:v>
      </x:c>
      <x:c r="G2018" s="27" t="str">
        <x:v>S20</x:v>
      </x:c>
      <x:c r="H2018" s="27" t="str">
        <x:v>Mathematics</x:v>
      </x:c>
      <x:c r="I2018" s="27" t="str">
        <x:v>SRC09</x:v>
      </x:c>
      <x:c r="J2018" s="27" t="str">
        <x:v>Outgoing use and placement rationale.</x:v>
      </x:c>
    </x:row>
    <x:row r="2019">
      <x:c r="A2019" s="27" t="str">
        <x:v>E02015</x:v>
      </x:c>
      <x:c r="B2019" s="27" t="str">
        <x:v>S20-MATH-01</x:v>
      </x:c>
      <x:c r="C2019" s="27" t="str">
        <x:v>Irrational numbers and approximations</x:v>
      </x:c>
      <x:c r="D2019" s="27" t="str">
        <x:v>VERIFIED_BY</x:v>
      </x:c>
      <x:c r="E2019" s="27" t="str">
        <x:v>S20-MATH-01:EVIDENCE</x:v>
      </x:c>
      <x:c r="F2019" s="27" t="str">
        <x:v>Bounds an irrational value between rationals and explains the approximation.</x:v>
      </x:c>
      <x:c r="G2019" s="27" t="str">
        <x:v>S20</x:v>
      </x:c>
      <x:c r="H2019" s="27" t="str">
        <x:v>Mathematics</x:v>
      </x:c>
      <x:c r="I2019" s="27" t="str">
        <x:v>SRC09</x:v>
      </x:c>
      <x:c r="J2019" s="27" t="str">
        <x:v>Observable evidence of usable learning.</x:v>
      </x:c>
    </x:row>
    <x:row r="2020">
      <x:c r="A2020" s="27" t="str">
        <x:v>E02016</x:v>
      </x:c>
      <x:c r="B2020" s="27" t="str">
        <x:v>S20-MATH-01</x:v>
      </x:c>
      <x:c r="C2020" s="27" t="str">
        <x:v>Previous node in domain progression</x:v>
      </x:c>
      <x:c r="D2020" s="27" t="str">
        <x:v>DOMAIN_SEQUENCE</x:v>
      </x:c>
      <x:c r="E2020" s="27" t="str">
        <x:v>S20-MATH-02</x:v>
      </x:c>
      <x:c r="F2020" s="27" t="str">
        <x:v>Integer exponents and scientific notation</x:v>
      </x:c>
      <x:c r="G2020" s="27" t="str">
        <x:v>S20</x:v>
      </x:c>
      <x:c r="H2020" s="27" t="str">
        <x:v>Mathematics</x:v>
      </x:c>
      <x:c r="I2020" s="27" t="str">
        <x:v>SRC09</x:v>
      </x:c>
      <x:c r="J2020" s="27" t="str">
        <x:v>Ordered spiral link; consult explicit prerequisites for logical dependency.</x:v>
      </x:c>
    </x:row>
    <x:row r="2021">
      <x:c r="A2021" s="27" t="str">
        <x:v>E02017</x:v>
      </x:c>
      <x:c r="B2021" s="27" t="str">
        <x:v>S20-MATH-02:PREREQ</x:v>
      </x:c>
      <x:c r="C2021" s="27" t="str">
        <x:v>Grade 6 whole-number exponents and Grade 7 rational operations.</x:v>
      </x:c>
      <x:c r="D2021" s="27" t="str">
        <x:v>PREREQUISITE</x:v>
      </x:c>
      <x:c r="E2021" s="27" t="str">
        <x:v>S20-MATH-02</x:v>
      </x:c>
      <x:c r="F2021" s="27" t="str">
        <x:v>Integer exponents and scientific notation</x:v>
      </x:c>
      <x:c r="G2021" s="27" t="str">
        <x:v>S20</x:v>
      </x:c>
      <x:c r="H2021" s="27" t="str">
        <x:v>Mathematics</x:v>
      </x:c>
      <x:c r="I2021" s="27" t="str">
        <x:v>SRC09</x:v>
      </x:c>
      <x:c r="J2021" s="27" t="str">
        <x:v>Incoming prerequisite relationship.</x:v>
      </x:c>
    </x:row>
    <x:row r="2022">
      <x:c r="A2022" s="27" t="str">
        <x:v>E02018</x:v>
      </x:c>
      <x:c r="B2022" s="27" t="str">
        <x:v>S20-MATH-02:GROUND</x:v>
      </x:c>
      <x:c r="C2022" s="27" t="str">
        <x:v>G5/G6 — Coordinated representations within an evidence-based formal system</x:v>
      </x:c>
      <x:c r="D2022" s="27" t="str">
        <x:v>GROUNDED_BY</x:v>
      </x:c>
      <x:c r="E2022" s="27" t="str">
        <x:v>S20-MATH-02</x:v>
      </x:c>
      <x:c r="F2022" s="27" t="str">
        <x:v>Integer exponents and scientific notation</x:v>
      </x:c>
      <x:c r="G2022" s="27" t="str">
        <x:v>S20</x:v>
      </x:c>
      <x:c r="H2022" s="27" t="str">
        <x:v>Mathematics</x:v>
      </x:c>
      <x:c r="I2022" s="27" t="str">
        <x:v>SRC09</x:v>
      </x:c>
      <x:c r="J2022" s="27" t="str">
        <x:v>Grounding form used to preserve meaning.</x:v>
      </x:c>
    </x:row>
    <x:row r="2023">
      <x:c r="A2023" s="27" t="str">
        <x:v>E02019</x:v>
      </x:c>
      <x:c r="B2023" s="27" t="str">
        <x:v>S20-MATH-02</x:v>
      </x:c>
      <x:c r="C2023" s="27" t="str">
        <x:v>Integer exponents and scientific notation</x:v>
      </x:c>
      <x:c r="D2023" s="27" t="str">
        <x:v>CONNECTS_TO</x:v>
      </x:c>
      <x:c r="E2023" s="27" t="str">
        <x:v>S20-MATH-02:CROSS</x:v>
      </x:c>
      <x:c r="F2023" s="27" t="str">
        <x:v>Physical quantity and spatial action; science measurement/models; computing/algorithms; finance; music rhythm/pattern; geographic data.</x:v>
      </x:c>
      <x:c r="G2023" s="27" t="str">
        <x:v>S20</x:v>
      </x:c>
      <x:c r="H2023" s="27" t="str">
        <x:v>Mathematics</x:v>
      </x:c>
      <x:c r="I2023" s="27" t="str">
        <x:v>SRC09</x:v>
      </x:c>
      <x:c r="J2023" s="27" t="str">
        <x:v>Parallel subject and representation links.</x:v>
      </x:c>
    </x:row>
    <x:row r="2024">
      <x:c r="A2024" s="27" t="str">
        <x:v>E02020</x:v>
      </x:c>
      <x:c r="B2024" s="27" t="str">
        <x:v>S20-MATH-02</x:v>
      </x:c>
      <x:c r="C2024" s="27" t="str">
        <x:v>Integer exponents and scientific notation</x:v>
      </x:c>
      <x:c r="D2024" s="27" t="str">
        <x:v>UNLOCKS</x:v>
      </x:c>
      <x:c r="E2024" s="27" t="str">
        <x:v>S20-MATH-02:NEXT</x:v>
      </x:c>
      <x:c r="F2024" s="27" t="str">
        <x:v>Exponent laws prepare exponential functions, polynomials, physics, and scale.</x:v>
      </x:c>
      <x:c r="G2024" s="27" t="str">
        <x:v>S20</x:v>
      </x:c>
      <x:c r="H2024" s="27" t="str">
        <x:v>Mathematics</x:v>
      </x:c>
      <x:c r="I2024" s="27" t="str">
        <x:v>SRC09</x:v>
      </x:c>
      <x:c r="J2024" s="27" t="str">
        <x:v>Outgoing use and placement rationale.</x:v>
      </x:c>
    </x:row>
    <x:row r="2025">
      <x:c r="A2025" s="27" t="str">
        <x:v>E02021</x:v>
      </x:c>
      <x:c r="B2025" s="27" t="str">
        <x:v>S20-MATH-02</x:v>
      </x:c>
      <x:c r="C2025" s="27" t="str">
        <x:v>Integer exponents and scientific notation</x:v>
      </x:c>
      <x:c r="D2025" s="27" t="str">
        <x:v>VERIFIED_BY</x:v>
      </x:c>
      <x:c r="E2025" s="27" t="str">
        <x:v>S20-MATH-02:EVIDENCE</x:v>
      </x:c>
      <x:c r="F2025" s="27" t="str">
        <x:v>Simplifies an expression and interprets a scientific-notation result with units/magnitude.</x:v>
      </x:c>
      <x:c r="G2025" s="27" t="str">
        <x:v>S20</x:v>
      </x:c>
      <x:c r="H2025" s="27" t="str">
        <x:v>Mathematics</x:v>
      </x:c>
      <x:c r="I2025" s="27" t="str">
        <x:v>SRC09</x:v>
      </x:c>
      <x:c r="J2025" s="27" t="str">
        <x:v>Observable evidence of usable learning.</x:v>
      </x:c>
    </x:row>
    <x:row r="2026">
      <x:c r="A2026" s="27" t="str">
        <x:v>E02022</x:v>
      </x:c>
      <x:c r="B2026" s="27" t="str">
        <x:v>S20-MATH-02</x:v>
      </x:c>
      <x:c r="C2026" s="27" t="str">
        <x:v>Previous node in domain progression</x:v>
      </x:c>
      <x:c r="D2026" s="27" t="str">
        <x:v>DOMAIN_SEQUENCE</x:v>
      </x:c>
      <x:c r="E2026" s="27" t="str">
        <x:v>S20-MATH-03</x:v>
      </x:c>
      <x:c r="F2026" s="27" t="str">
        <x:v>Multi-step equations and systems</x:v>
      </x:c>
      <x:c r="G2026" s="27" t="str">
        <x:v>S20</x:v>
      </x:c>
      <x:c r="H2026" s="27" t="str">
        <x:v>Mathematics</x:v>
      </x:c>
      <x:c r="I2026" s="27" t="str">
        <x:v>SRC09</x:v>
      </x:c>
      <x:c r="J2026" s="27" t="str">
        <x:v>Ordered spiral link; consult explicit prerequisites for logical dependency.</x:v>
      </x:c>
    </x:row>
    <x:row r="2027">
      <x:c r="A2027" s="27" t="str">
        <x:v>E02023</x:v>
      </x:c>
      <x:c r="B2027" s="27" t="str">
        <x:v>S20-MATH-03:PREREQ</x:v>
      </x:c>
      <x:c r="C2027" s="27" t="str">
        <x:v>Grade 7 equivalence-preserving equations and proportional lines.</x:v>
      </x:c>
      <x:c r="D2027" s="27" t="str">
        <x:v>PREREQUISITE</x:v>
      </x:c>
      <x:c r="E2027" s="27" t="str">
        <x:v>S20-MATH-03</x:v>
      </x:c>
      <x:c r="F2027" s="27" t="str">
        <x:v>Multi-step equations and systems</x:v>
      </x:c>
      <x:c r="G2027" s="27" t="str">
        <x:v>S20</x:v>
      </x:c>
      <x:c r="H2027" s="27" t="str">
        <x:v>Mathematics</x:v>
      </x:c>
      <x:c r="I2027" s="27" t="str">
        <x:v>SRC09</x:v>
      </x:c>
      <x:c r="J2027" s="27" t="str">
        <x:v>Incoming prerequisite relationship.</x:v>
      </x:c>
    </x:row>
    <x:row r="2028">
      <x:c r="A2028" s="27" t="str">
        <x:v>E02024</x:v>
      </x:c>
      <x:c r="B2028" s="27" t="str">
        <x:v>S20-MATH-03:GROUND</x:v>
      </x:c>
      <x:c r="C2028" s="27" t="str">
        <x:v>G5/G6 — Coordinated representations within an evidence-based formal system</x:v>
      </x:c>
      <x:c r="D2028" s="27" t="str">
        <x:v>GROUNDED_BY</x:v>
      </x:c>
      <x:c r="E2028" s="27" t="str">
        <x:v>S20-MATH-03</x:v>
      </x:c>
      <x:c r="F2028" s="27" t="str">
        <x:v>Multi-step equations and systems</x:v>
      </x:c>
      <x:c r="G2028" s="27" t="str">
        <x:v>S20</x:v>
      </x:c>
      <x:c r="H2028" s="27" t="str">
        <x:v>Mathematics</x:v>
      </x:c>
      <x:c r="I2028" s="27" t="str">
        <x:v>SRC09</x:v>
      </x:c>
      <x:c r="J2028" s="27" t="str">
        <x:v>Grounding form used to preserve meaning.</x:v>
      </x:c>
    </x:row>
    <x:row r="2029">
      <x:c r="A2029" s="27" t="str">
        <x:v>E02025</x:v>
      </x:c>
      <x:c r="B2029" s="27" t="str">
        <x:v>S20-MATH-03</x:v>
      </x:c>
      <x:c r="C2029" s="27" t="str">
        <x:v>Multi-step equations and systems</x:v>
      </x:c>
      <x:c r="D2029" s="27" t="str">
        <x:v>CONNECTS_TO</x:v>
      </x:c>
      <x:c r="E2029" s="27" t="str">
        <x:v>S20-MATH-03:CROSS</x:v>
      </x:c>
      <x:c r="F2029" s="27" t="str">
        <x:v>Physical quantity and spatial action; science measurement/models; computing/algorithms; finance; music rhythm/pattern; geographic data.</x:v>
      </x:c>
      <x:c r="G2029" s="27" t="str">
        <x:v>S20</x:v>
      </x:c>
      <x:c r="H2029" s="27" t="str">
        <x:v>Mathematics</x:v>
      </x:c>
      <x:c r="I2029" s="27" t="str">
        <x:v>SRC09</x:v>
      </x:c>
      <x:c r="J2029" s="27" t="str">
        <x:v>Parallel subject and representation links.</x:v>
      </x:c>
    </x:row>
    <x:row r="2030">
      <x:c r="A2030" s="27" t="str">
        <x:v>E02026</x:v>
      </x:c>
      <x:c r="B2030" s="27" t="str">
        <x:v>S20-MATH-03</x:v>
      </x:c>
      <x:c r="C2030" s="27" t="str">
        <x:v>Multi-step equations and systems</x:v>
      </x:c>
      <x:c r="D2030" s="27" t="str">
        <x:v>UNLOCKS</x:v>
      </x:c>
      <x:c r="E2030" s="27" t="str">
        <x:v>S20-MATH-03:NEXT</x:v>
      </x:c>
      <x:c r="F2030" s="27" t="str">
        <x:v>Systems model simultaneous constraints and prepare algebraic modeling.</x:v>
      </x:c>
      <x:c r="G2030" s="27" t="str">
        <x:v>S20</x:v>
      </x:c>
      <x:c r="H2030" s="27" t="str">
        <x:v>Mathematics</x:v>
      </x:c>
      <x:c r="I2030" s="27" t="str">
        <x:v>SRC09</x:v>
      </x:c>
      <x:c r="J2030" s="27" t="str">
        <x:v>Outgoing use and placement rationale.</x:v>
      </x:c>
    </x:row>
    <x:row r="2031">
      <x:c r="A2031" s="27" t="str">
        <x:v>E02027</x:v>
      </x:c>
      <x:c r="B2031" s="27" t="str">
        <x:v>S20-MATH-03</x:v>
      </x:c>
      <x:c r="C2031" s="27" t="str">
        <x:v>Multi-step equations and systems</x:v>
      </x:c>
      <x:c r="D2031" s="27" t="str">
        <x:v>VERIFIED_BY</x:v>
      </x:c>
      <x:c r="E2031" s="27" t="str">
        <x:v>S20-MATH-03:EVIDENCE</x:v>
      </x:c>
      <x:c r="F2031" s="27" t="str">
        <x:v>Solves a system in multiple ways and interprets intersection or lack of solution.</x:v>
      </x:c>
      <x:c r="G2031" s="27" t="str">
        <x:v>S20</x:v>
      </x:c>
      <x:c r="H2031" s="27" t="str">
        <x:v>Mathematics</x:v>
      </x:c>
      <x:c r="I2031" s="27" t="str">
        <x:v>SRC09</x:v>
      </x:c>
      <x:c r="J2031" s="27" t="str">
        <x:v>Observable evidence of usable learning.</x:v>
      </x:c>
    </x:row>
    <x:row r="2032">
      <x:c r="A2032" s="27" t="str">
        <x:v>E02028</x:v>
      </x:c>
      <x:c r="B2032" s="27" t="str">
        <x:v>S20-MATH-03</x:v>
      </x:c>
      <x:c r="C2032" s="27" t="str">
        <x:v>Previous node in domain progression</x:v>
      </x:c>
      <x:c r="D2032" s="27" t="str">
        <x:v>DOMAIN_SEQUENCE</x:v>
      </x:c>
      <x:c r="E2032" s="27" t="str">
        <x:v>S20-MATH-04</x:v>
      </x:c>
      <x:c r="F2032" s="27" t="str">
        <x:v>Function concept and linear models</x:v>
      </x:c>
      <x:c r="G2032" s="27" t="str">
        <x:v>S20</x:v>
      </x:c>
      <x:c r="H2032" s="27" t="str">
        <x:v>Mathematics</x:v>
      </x:c>
      <x:c r="I2032" s="27" t="str">
        <x:v>SRC09</x:v>
      </x:c>
      <x:c r="J2032" s="27" t="str">
        <x:v>Ordered spiral link; consult explicit prerequisites for logical dependency.</x:v>
      </x:c>
    </x:row>
    <x:row r="2033">
      <x:c r="A2033" s="27" t="str">
        <x:v>E02029</x:v>
      </x:c>
      <x:c r="B2033" s="27" t="str">
        <x:v>S20-MATH-04:PREREQ</x:v>
      </x:c>
      <x:c r="C2033" s="27" t="str">
        <x:v>Grade 7 y=kx, coordinate patterns, and equations.</x:v>
      </x:c>
      <x:c r="D2033" s="27" t="str">
        <x:v>PREREQUISITE</x:v>
      </x:c>
      <x:c r="E2033" s="27" t="str">
        <x:v>S20-MATH-04</x:v>
      </x:c>
      <x:c r="F2033" s="27" t="str">
        <x:v>Function concept and linear models</x:v>
      </x:c>
      <x:c r="G2033" s="27" t="str">
        <x:v>S20</x:v>
      </x:c>
      <x:c r="H2033" s="27" t="str">
        <x:v>Mathematics</x:v>
      </x:c>
      <x:c r="I2033" s="27" t="str">
        <x:v>SRC09</x:v>
      </x:c>
      <x:c r="J2033" s="27" t="str">
        <x:v>Incoming prerequisite relationship.</x:v>
      </x:c>
    </x:row>
    <x:row r="2034">
      <x:c r="A2034" s="27" t="str">
        <x:v>E02030</x:v>
      </x:c>
      <x:c r="B2034" s="27" t="str">
        <x:v>S20-MATH-04:GROUND</x:v>
      </x:c>
      <x:c r="C2034" s="27" t="str">
        <x:v>G5/G6 — Coordinated representations within an evidence-based formal system</x:v>
      </x:c>
      <x:c r="D2034" s="27" t="str">
        <x:v>GROUNDED_BY</x:v>
      </x:c>
      <x:c r="E2034" s="27" t="str">
        <x:v>S20-MATH-04</x:v>
      </x:c>
      <x:c r="F2034" s="27" t="str">
        <x:v>Function concept and linear models</x:v>
      </x:c>
      <x:c r="G2034" s="27" t="str">
        <x:v>S20</x:v>
      </x:c>
      <x:c r="H2034" s="27" t="str">
        <x:v>Mathematics</x:v>
      </x:c>
      <x:c r="I2034" s="27" t="str">
        <x:v>SRC09</x:v>
      </x:c>
      <x:c r="J2034" s="27" t="str">
        <x:v>Grounding form used to preserve meaning.</x:v>
      </x:c>
    </x:row>
    <x:row r="2035">
      <x:c r="A2035" s="27" t="str">
        <x:v>E02031</x:v>
      </x:c>
      <x:c r="B2035" s="27" t="str">
        <x:v>S20-MATH-04</x:v>
      </x:c>
      <x:c r="C2035" s="27" t="str">
        <x:v>Function concept and linear models</x:v>
      </x:c>
      <x:c r="D2035" s="27" t="str">
        <x:v>CONNECTS_TO</x:v>
      </x:c>
      <x:c r="E2035" s="27" t="str">
        <x:v>S20-MATH-04:CROSS</x:v>
      </x:c>
      <x:c r="F2035" s="27" t="str">
        <x:v>Physical quantity and spatial action; science measurement/models; computing/algorithms; finance; music rhythm/pattern; geographic data.</x:v>
      </x:c>
      <x:c r="G2035" s="27" t="str">
        <x:v>S20</x:v>
      </x:c>
      <x:c r="H2035" s="27" t="str">
        <x:v>Mathematics</x:v>
      </x:c>
      <x:c r="I2035" s="27" t="str">
        <x:v>SRC09</x:v>
      </x:c>
      <x:c r="J2035" s="27" t="str">
        <x:v>Parallel subject and representation links.</x:v>
      </x:c>
    </x:row>
    <x:row r="2036">
      <x:c r="A2036" s="27" t="str">
        <x:v>E02032</x:v>
      </x:c>
      <x:c r="B2036" s="27" t="str">
        <x:v>S20-MATH-04</x:v>
      </x:c>
      <x:c r="C2036" s="27" t="str">
        <x:v>Function concept and linear models</x:v>
      </x:c>
      <x:c r="D2036" s="27" t="str">
        <x:v>UNLOCKS</x:v>
      </x:c>
      <x:c r="E2036" s="27" t="str">
        <x:v>S20-MATH-04:NEXT</x:v>
      </x:c>
      <x:c r="F2036" s="27" t="str">
        <x:v>Functions organize covariation and become the central language of high-school mathematics.</x:v>
      </x:c>
      <x:c r="G2036" s="27" t="str">
        <x:v>S20</x:v>
      </x:c>
      <x:c r="H2036" s="27" t="str">
        <x:v>Mathematics</x:v>
      </x:c>
      <x:c r="I2036" s="27" t="str">
        <x:v>SRC09</x:v>
      </x:c>
      <x:c r="J2036" s="27" t="str">
        <x:v>Outgoing use and placement rationale.</x:v>
      </x:c>
    </x:row>
    <x:row r="2037">
      <x:c r="A2037" s="27" t="str">
        <x:v>E02033</x:v>
      </x:c>
      <x:c r="B2037" s="27" t="str">
        <x:v>S20-MATH-04</x:v>
      </x:c>
      <x:c r="C2037" s="27" t="str">
        <x:v>Function concept and linear models</x:v>
      </x:c>
      <x:c r="D2037" s="27" t="str">
        <x:v>VERIFIED_BY</x:v>
      </x:c>
      <x:c r="E2037" s="27" t="str">
        <x:v>S20-MATH-04:EVIDENCE</x:v>
      </x:c>
      <x:c r="F2037" s="27" t="str">
        <x:v>Identifies input/output rule, rate, intercept, domain context, and model fit.</x:v>
      </x:c>
      <x:c r="G2037" s="27" t="str">
        <x:v>S20</x:v>
      </x:c>
      <x:c r="H2037" s="27" t="str">
        <x:v>Mathematics</x:v>
      </x:c>
      <x:c r="I2037" s="27" t="str">
        <x:v>SRC09</x:v>
      </x:c>
      <x:c r="J2037" s="27" t="str">
        <x:v>Observable evidence of usable learning.</x:v>
      </x:c>
    </x:row>
    <x:row r="2038">
      <x:c r="A2038" s="27" t="str">
        <x:v>E02034</x:v>
      </x:c>
      <x:c r="B2038" s="27" t="str">
        <x:v>S20-MATH-04</x:v>
      </x:c>
      <x:c r="C2038" s="27" t="str">
        <x:v>Previous node in domain progression</x:v>
      </x:c>
      <x:c r="D2038" s="27" t="str">
        <x:v>DOMAIN_SEQUENCE</x:v>
      </x:c>
      <x:c r="E2038" s="27" t="str">
        <x:v>S20-MATH-05</x:v>
      </x:c>
      <x:c r="F2038" s="27" t="str">
        <x:v>Transformations, congruence, similarity, and Pythagorean theorem</x:v>
      </x:c>
      <x:c r="G2038" s="27" t="str">
        <x:v>S20</x:v>
      </x:c>
      <x:c r="H2038" s="27" t="str">
        <x:v>Mathematics</x:v>
      </x:c>
      <x:c r="I2038" s="27" t="str">
        <x:v>SRC09</x:v>
      </x:c>
      <x:c r="J2038" s="27" t="str">
        <x:v>Ordered spiral link; consult explicit prerequisites for logical dependency.</x:v>
      </x:c>
    </x:row>
    <x:row r="2039">
      <x:c r="A2039" s="27" t="str">
        <x:v>E02035</x:v>
      </x:c>
      <x:c r="B2039" s="27" t="str">
        <x:v>S20-MATH-05:PREREQ</x:v>
      </x:c>
      <x:c r="C2039" s="27" t="str">
        <x:v>Grade 7 angles/scale/circles, proportional reasoning, and square roots.</x:v>
      </x:c>
      <x:c r="D2039" s="27" t="str">
        <x:v>PREREQUISITE</x:v>
      </x:c>
      <x:c r="E2039" s="27" t="str">
        <x:v>S20-MATH-05</x:v>
      </x:c>
      <x:c r="F2039" s="27" t="str">
        <x:v>Transformations, congruence, similarity, and Pythagorean theorem</x:v>
      </x:c>
      <x:c r="G2039" s="27" t="str">
        <x:v>S20</x:v>
      </x:c>
      <x:c r="H2039" s="27" t="str">
        <x:v>Mathematics</x:v>
      </x:c>
      <x:c r="I2039" s="27" t="str">
        <x:v>SRC09</x:v>
      </x:c>
      <x:c r="J2039" s="27" t="str">
        <x:v>Incoming prerequisite relationship.</x:v>
      </x:c>
    </x:row>
    <x:row r="2040">
      <x:c r="A2040" s="27" t="str">
        <x:v>E02036</x:v>
      </x:c>
      <x:c r="B2040" s="27" t="str">
        <x:v>S20-MATH-05:GROUND</x:v>
      </x:c>
      <x:c r="C2040" s="27" t="str">
        <x:v>G5/G6 — Coordinated representations within an evidence-based formal system</x:v>
      </x:c>
      <x:c r="D2040" s="27" t="str">
        <x:v>GROUNDED_BY</x:v>
      </x:c>
      <x:c r="E2040" s="27" t="str">
        <x:v>S20-MATH-05</x:v>
      </x:c>
      <x:c r="F2040" s="27" t="str">
        <x:v>Transformations, congruence, similarity, and Pythagorean theorem</x:v>
      </x:c>
      <x:c r="G2040" s="27" t="str">
        <x:v>S20</x:v>
      </x:c>
      <x:c r="H2040" s="27" t="str">
        <x:v>Mathematics</x:v>
      </x:c>
      <x:c r="I2040" s="27" t="str">
        <x:v>SRC09</x:v>
      </x:c>
      <x:c r="J2040" s="27" t="str">
        <x:v>Grounding form used to preserve meaning.</x:v>
      </x:c>
    </x:row>
    <x:row r="2041">
      <x:c r="A2041" s="27" t="str">
        <x:v>E02037</x:v>
      </x:c>
      <x:c r="B2041" s="27" t="str">
        <x:v>S20-MATH-05</x:v>
      </x:c>
      <x:c r="C2041" s="27" t="str">
        <x:v>Transformations, congruence, similarity, and Pythagorean theorem</x:v>
      </x:c>
      <x:c r="D2041" s="27" t="str">
        <x:v>CONNECTS_TO</x:v>
      </x:c>
      <x:c r="E2041" s="27" t="str">
        <x:v>S20-MATH-05:CROSS</x:v>
      </x:c>
      <x:c r="F2041" s="27" t="str">
        <x:v>Physical quantity and spatial action; science measurement/models; computing/algorithms; finance; music rhythm/pattern; geographic data.</x:v>
      </x:c>
      <x:c r="G2041" s="27" t="str">
        <x:v>S20</x:v>
      </x:c>
      <x:c r="H2041" s="27" t="str">
        <x:v>Mathematics</x:v>
      </x:c>
      <x:c r="I2041" s="27" t="str">
        <x:v>SRC09</x:v>
      </x:c>
      <x:c r="J2041" s="27" t="str">
        <x:v>Parallel subject and representation links.</x:v>
      </x:c>
    </x:row>
    <x:row r="2042">
      <x:c r="A2042" s="27" t="str">
        <x:v>E02038</x:v>
      </x:c>
      <x:c r="B2042" s="27" t="str">
        <x:v>S20-MATH-05</x:v>
      </x:c>
      <x:c r="C2042" s="27" t="str">
        <x:v>Transformations, congruence, similarity, and Pythagorean theorem</x:v>
      </x:c>
      <x:c r="D2042" s="27" t="str">
        <x:v>UNLOCKS</x:v>
      </x:c>
      <x:c r="E2042" s="27" t="str">
        <x:v>S20-MATH-05:NEXT</x:v>
      </x:c>
      <x:c r="F2042" s="27" t="str">
        <x:v>Transformation definitions and Pythagorean distance lead directly to formal geometry/trigonometry.</x:v>
      </x:c>
      <x:c r="G2042" s="27" t="str">
        <x:v>S20</x:v>
      </x:c>
      <x:c r="H2042" s="27" t="str">
        <x:v>Mathematics</x:v>
      </x:c>
      <x:c r="I2042" s="27" t="str">
        <x:v>SRC09</x:v>
      </x:c>
      <x:c r="J2042" s="27" t="str">
        <x:v>Outgoing use and placement rationale.</x:v>
      </x:c>
    </x:row>
    <x:row r="2043">
      <x:c r="A2043" s="27" t="str">
        <x:v>E02039</x:v>
      </x:c>
      <x:c r="B2043" s="27" t="str">
        <x:v>S20-MATH-05</x:v>
      </x:c>
      <x:c r="C2043" s="27" t="str">
        <x:v>Transformations, congruence, similarity, and Pythagorean theorem</x:v>
      </x:c>
      <x:c r="D2043" s="27" t="str">
        <x:v>VERIFIED_BY</x:v>
      </x:c>
      <x:c r="E2043" s="27" t="str">
        <x:v>S20-MATH-05:EVIDENCE</x:v>
      </x:c>
      <x:c r="F2043" s="27" t="str">
        <x:v>Constructs a transformation argument and solves a distance problem with exact/approximate values.</x:v>
      </x:c>
      <x:c r="G2043" s="27" t="str">
        <x:v>S20</x:v>
      </x:c>
      <x:c r="H2043" s="27" t="str">
        <x:v>Mathematics</x:v>
      </x:c>
      <x:c r="I2043" s="27" t="str">
        <x:v>SRC09</x:v>
      </x:c>
      <x:c r="J2043" s="27" t="str">
        <x:v>Observable evidence of usable learning.</x:v>
      </x:c>
    </x:row>
    <x:row r="2044">
      <x:c r="A2044" s="27" t="str">
        <x:v>E02040</x:v>
      </x:c>
      <x:c r="B2044" s="27" t="str">
        <x:v>S20-MATH-05</x:v>
      </x:c>
      <x:c r="C2044" s="27" t="str">
        <x:v>Previous node in domain progression</x:v>
      </x:c>
      <x:c r="D2044" s="27" t="str">
        <x:v>DOMAIN_SEQUENCE</x:v>
      </x:c>
      <x:c r="E2044" s="27" t="str">
        <x:v>S20-MATH-06</x:v>
      </x:c>
      <x:c r="F2044" s="27" t="str">
        <x:v>Bivariate data and association</x:v>
      </x:c>
      <x:c r="G2044" s="27" t="str">
        <x:v>S20</x:v>
      </x:c>
      <x:c r="H2044" s="27" t="str">
        <x:v>Mathematics</x:v>
      </x:c>
      <x:c r="I2044" s="27" t="str">
        <x:v>SRC09</x:v>
      </x:c>
      <x:c r="J2044" s="27" t="str">
        <x:v>Ordered spiral link; consult explicit prerequisites for logical dependency.</x:v>
      </x:c>
    </x:row>
    <x:row r="2045">
      <x:c r="A2045" s="27" t="str">
        <x:v>E02041</x:v>
      </x:c>
      <x:c r="B2045" s="27" t="str">
        <x:v>S20-MATH-06:PREREQ</x:v>
      </x:c>
      <x:c r="C2045" s="27" t="str">
        <x:v>Grade 7 sampling/distributions, proportional relationships, and linear models.</x:v>
      </x:c>
      <x:c r="D2045" s="27" t="str">
        <x:v>PREREQUISITE</x:v>
      </x:c>
      <x:c r="E2045" s="27" t="str">
        <x:v>S20-MATH-06</x:v>
      </x:c>
      <x:c r="F2045" s="27" t="str">
        <x:v>Bivariate data and association</x:v>
      </x:c>
      <x:c r="G2045" s="27" t="str">
        <x:v>S20</x:v>
      </x:c>
      <x:c r="H2045" s="27" t="str">
        <x:v>Mathematics</x:v>
      </x:c>
      <x:c r="I2045" s="27" t="str">
        <x:v>SRC09</x:v>
      </x:c>
      <x:c r="J2045" s="27" t="str">
        <x:v>Incoming prerequisite relationship.</x:v>
      </x:c>
    </x:row>
    <x:row r="2046">
      <x:c r="A2046" s="27" t="str">
        <x:v>E02042</x:v>
      </x:c>
      <x:c r="B2046" s="27" t="str">
        <x:v>S20-MATH-06:GROUND</x:v>
      </x:c>
      <x:c r="C2046" s="27" t="str">
        <x:v>G5/G6 — Coordinated representations within an evidence-based formal system</x:v>
      </x:c>
      <x:c r="D2046" s="27" t="str">
        <x:v>GROUNDED_BY</x:v>
      </x:c>
      <x:c r="E2046" s="27" t="str">
        <x:v>S20-MATH-06</x:v>
      </x:c>
      <x:c r="F2046" s="27" t="str">
        <x:v>Bivariate data and association</x:v>
      </x:c>
      <x:c r="G2046" s="27" t="str">
        <x:v>S20</x:v>
      </x:c>
      <x:c r="H2046" s="27" t="str">
        <x:v>Mathematics</x:v>
      </x:c>
      <x:c r="I2046" s="27" t="str">
        <x:v>SRC09</x:v>
      </x:c>
      <x:c r="J2046" s="27" t="str">
        <x:v>Grounding form used to preserve meaning.</x:v>
      </x:c>
    </x:row>
    <x:row r="2047">
      <x:c r="A2047" s="27" t="str">
        <x:v>E02043</x:v>
      </x:c>
      <x:c r="B2047" s="27" t="str">
        <x:v>S20-MATH-06</x:v>
      </x:c>
      <x:c r="C2047" s="27" t="str">
        <x:v>Bivariate data and association</x:v>
      </x:c>
      <x:c r="D2047" s="27" t="str">
        <x:v>CONNECTS_TO</x:v>
      </x:c>
      <x:c r="E2047" s="27" t="str">
        <x:v>S20-MATH-06:CROSS</x:v>
      </x:c>
      <x:c r="F2047" s="27" t="str">
        <x:v>Physical quantity and spatial action; science measurement/models; computing/algorithms; finance; music rhythm/pattern; geographic data.</x:v>
      </x:c>
      <x:c r="G2047" s="27" t="str">
        <x:v>S20</x:v>
      </x:c>
      <x:c r="H2047" s="27" t="str">
        <x:v>Mathematics</x:v>
      </x:c>
      <x:c r="I2047" s="27" t="str">
        <x:v>SRC09</x:v>
      </x:c>
      <x:c r="J2047" s="27" t="str">
        <x:v>Parallel subject and representation links.</x:v>
      </x:c>
    </x:row>
    <x:row r="2048">
      <x:c r="A2048" s="27" t="str">
        <x:v>E02044</x:v>
      </x:c>
      <x:c r="B2048" s="27" t="str">
        <x:v>S20-MATH-06</x:v>
      </x:c>
      <x:c r="C2048" s="27" t="str">
        <x:v>Bivariate data and association</x:v>
      </x:c>
      <x:c r="D2048" s="27" t="str">
        <x:v>UNLOCKS</x:v>
      </x:c>
      <x:c r="E2048" s="27" t="str">
        <x:v>S20-MATH-06:NEXT</x:v>
      </x:c>
      <x:c r="F2048" s="27" t="str">
        <x:v>Bivariate reasoning prepares regression, experimental design, and evidence evaluation.</x:v>
      </x:c>
      <x:c r="G2048" s="27" t="str">
        <x:v>S20</x:v>
      </x:c>
      <x:c r="H2048" s="27" t="str">
        <x:v>Mathematics</x:v>
      </x:c>
      <x:c r="I2048" s="27" t="str">
        <x:v>SRC09</x:v>
      </x:c>
      <x:c r="J2048" s="27" t="str">
        <x:v>Outgoing use and placement rationale.</x:v>
      </x:c>
    </x:row>
    <x:row r="2049">
      <x:c r="A2049" s="27" t="str">
        <x:v>E02045</x:v>
      </x:c>
      <x:c r="B2049" s="27" t="str">
        <x:v>S20-MATH-06</x:v>
      </x:c>
      <x:c r="C2049" s="27" t="str">
        <x:v>Bivariate data and association</x:v>
      </x:c>
      <x:c r="D2049" s="27" t="str">
        <x:v>VERIFIED_BY</x:v>
      </x:c>
      <x:c r="E2049" s="27" t="str">
        <x:v>S20-MATH-06:EVIDENCE</x:v>
      </x:c>
      <x:c r="F2049" s="27" t="str">
        <x:v>Describes association, uses a model for prediction, and states an appropriate causal limitation.</x:v>
      </x:c>
      <x:c r="G2049" s="27" t="str">
        <x:v>S20</x:v>
      </x:c>
      <x:c r="H2049" s="27" t="str">
        <x:v>Mathematics</x:v>
      </x:c>
      <x:c r="I2049" s="27" t="str">
        <x:v>SRC09</x:v>
      </x:c>
      <x:c r="J2049" s="27" t="str">
        <x:v>Observable evidence of usable learning.</x:v>
      </x:c>
    </x:row>
    <x:row r="2050">
      <x:c r="A2050" s="27" t="str">
        <x:v>E02046</x:v>
      </x:c>
      <x:c r="B2050" s="27" t="str">
        <x:v>S19-SCI-03</x:v>
      </x:c>
      <x:c r="C2050" s="27" t="str">
        <x:v>Previous node in domain progression</x:v>
      </x:c>
      <x:c r="D2050" s="27" t="str">
        <x:v>DOMAIN_SEQUENCE</x:v>
      </x:c>
      <x:c r="E2050" s="27" t="str">
        <x:v>S20-SCI-01</x:v>
      </x:c>
      <x:c r="F2050" s="27" t="str">
        <x:v>Forces, energy, and waves</x:v>
      </x:c>
      <x:c r="G2050" s="27" t="str">
        <x:v>S20</x:v>
      </x:c>
      <x:c r="H2050" s="27" t="str">
        <x:v>Science &amp; Engineering</x:v>
      </x:c>
      <x:c r="I2050" s="27" t="str">
        <x:v>SRC11</x:v>
      </x:c>
      <x:c r="J2050" s="27" t="str">
        <x:v>Ordered spiral link; consult explicit prerequisites for logical dependency.</x:v>
      </x:c>
    </x:row>
    <x:row r="2051">
      <x:c r="A2051" s="27" t="str">
        <x:v>E02047</x:v>
      </x:c>
      <x:c r="B2051" s="27" t="str">
        <x:v>S20-SCI-01:PREREQ</x:v>
      </x:c>
      <x:c r="C2051" s="27" t="str">
        <x:v>Grade 7 systems/conservation, Grade 8 linear/proportional math, and Grade 6 particle/energy models.</x:v>
      </x:c>
      <x:c r="D2051" s="27" t="str">
        <x:v>PREREQUISITE</x:v>
      </x:c>
      <x:c r="E2051" s="27" t="str">
        <x:v>S20-SCI-01</x:v>
      </x:c>
      <x:c r="F2051" s="27" t="str">
        <x:v>Forces, energy, and waves</x:v>
      </x:c>
      <x:c r="G2051" s="27" t="str">
        <x:v>S20</x:v>
      </x:c>
      <x:c r="H2051" s="27" t="str">
        <x:v>Science &amp; Engineering</x:v>
      </x:c>
      <x:c r="I2051" s="27" t="str">
        <x:v>SRC11</x:v>
      </x:c>
      <x:c r="J2051" s="27" t="str">
        <x:v>Incoming prerequisite relationship.</x:v>
      </x:c>
    </x:row>
    <x:row r="2052">
      <x:c r="A2052" s="27" t="str">
        <x:v>E02048</x:v>
      </x:c>
      <x:c r="B2052" s="27" t="str">
        <x:v>S20-SCI-01:GROUND</x:v>
      </x:c>
      <x:c r="C2052" s="27" t="str">
        <x:v>G5/G6 — Coordinated representations within an evidence-based formal system</x:v>
      </x:c>
      <x:c r="D2052" s="27" t="str">
        <x:v>GROUNDED_BY</x:v>
      </x:c>
      <x:c r="E2052" s="27" t="str">
        <x:v>S20-SCI-01</x:v>
      </x:c>
      <x:c r="F2052" s="27" t="str">
        <x:v>Forces, energy, and waves</x:v>
      </x:c>
      <x:c r="G2052" s="27" t="str">
        <x:v>S20</x:v>
      </x:c>
      <x:c r="H2052" s="27" t="str">
        <x:v>Science &amp; Engineering</x:v>
      </x:c>
      <x:c r="I2052" s="27" t="str">
        <x:v>SRC11</x:v>
      </x:c>
      <x:c r="J2052" s="27" t="str">
        <x:v>Grounding form used to preserve meaning.</x:v>
      </x:c>
    </x:row>
    <x:row r="2053">
      <x:c r="A2053" s="27" t="str">
        <x:v>E02049</x:v>
      </x:c>
      <x:c r="B2053" s="27" t="str">
        <x:v>S20-SCI-01</x:v>
      </x:c>
      <x:c r="C2053" s="27" t="str">
        <x:v>Forces, energy, and waves</x:v>
      </x:c>
      <x:c r="D2053" s="27" t="str">
        <x:v>CONNECTS_TO</x:v>
      </x:c>
      <x:c r="E2053" s="27" t="str">
        <x:v>S20-SCI-01:CROSS</x:v>
      </x:c>
      <x:c r="F2053" s="27" t="str">
        <x:v>Sensory observation and action; mathematics/data; reading/writing evidence; computing/models; health and environmental/civic decisions.</x:v>
      </x:c>
      <x:c r="G2053" s="27" t="str">
        <x:v>S20</x:v>
      </x:c>
      <x:c r="H2053" s="27" t="str">
        <x:v>Science &amp; Engineering</x:v>
      </x:c>
      <x:c r="I2053" s="27" t="str">
        <x:v>SRC11</x:v>
      </x:c>
      <x:c r="J2053" s="27" t="str">
        <x:v>Parallel subject and representation links.</x:v>
      </x:c>
    </x:row>
    <x:row r="2054">
      <x:c r="A2054" s="27" t="str">
        <x:v>E02050</x:v>
      </x:c>
      <x:c r="B2054" s="27" t="str">
        <x:v>S20-SCI-01</x:v>
      </x:c>
      <x:c r="C2054" s="27" t="str">
        <x:v>Forces, energy, and waves</x:v>
      </x:c>
      <x:c r="D2054" s="27" t="str">
        <x:v>UNLOCKS</x:v>
      </x:c>
      <x:c r="E2054" s="27" t="str">
        <x:v>S20-SCI-01:NEXT</x:v>
      </x:c>
      <x:c r="F2054" s="27" t="str">
        <x:v>Quantitative system models prepare high-school physics.</x:v>
      </x:c>
      <x:c r="G2054" s="27" t="str">
        <x:v>S20</x:v>
      </x:c>
      <x:c r="H2054" s="27" t="str">
        <x:v>Science &amp; Engineering</x:v>
      </x:c>
      <x:c r="I2054" s="27" t="str">
        <x:v>SRC11</x:v>
      </x:c>
      <x:c r="J2054" s="27" t="str">
        <x:v>Outgoing use and placement rationale.</x:v>
      </x:c>
    </x:row>
    <x:row r="2055">
      <x:c r="A2055" s="27" t="str">
        <x:v>E02051</x:v>
      </x:c>
      <x:c r="B2055" s="27" t="str">
        <x:v>S20-SCI-01</x:v>
      </x:c>
      <x:c r="C2055" s="27" t="str">
        <x:v>Forces, energy, and waves</x:v>
      </x:c>
      <x:c r="D2055" s="27" t="str">
        <x:v>VERIFIED_BY</x:v>
      </x:c>
      <x:c r="E2055" s="27" t="str">
        <x:v>S20-SCI-01:EVIDENCE</x:v>
      </x:c>
      <x:c r="F2055" s="27" t="str">
        <x:v>Uses equations/graphs/models and evidence to explain or predict a physical interaction.</x:v>
      </x:c>
      <x:c r="G2055" s="27" t="str">
        <x:v>S20</x:v>
      </x:c>
      <x:c r="H2055" s="27" t="str">
        <x:v>Science &amp; Engineering</x:v>
      </x:c>
      <x:c r="I2055" s="27" t="str">
        <x:v>SRC11</x:v>
      </x:c>
      <x:c r="J2055" s="27" t="str">
        <x:v>Observable evidence of usable learning.</x:v>
      </x:c>
    </x:row>
    <x:row r="2056">
      <x:c r="A2056" s="27" t="str">
        <x:v>E02052</x:v>
      </x:c>
      <x:c r="B2056" s="27" t="str">
        <x:v>S20-SCI-01</x:v>
      </x:c>
      <x:c r="C2056" s="27" t="str">
        <x:v>Previous node in domain progression</x:v>
      </x:c>
      <x:c r="D2056" s="27" t="str">
        <x:v>DOMAIN_SEQUENCE</x:v>
      </x:c>
      <x:c r="E2056" s="27" t="str">
        <x:v>S20-SCI-02</x:v>
      </x:c>
      <x:c r="F2056" s="27" t="str">
        <x:v>Natural selection and adaptation</x:v>
      </x:c>
      <x:c r="G2056" s="27" t="str">
        <x:v>S20</x:v>
      </x:c>
      <x:c r="H2056" s="27" t="str">
        <x:v>Science &amp; Engineering</x:v>
      </x:c>
      <x:c r="I2056" s="27" t="str">
        <x:v>SRC11</x:v>
      </x:c>
      <x:c r="J2056" s="27" t="str">
        <x:v>Ordered spiral link; consult explicit prerequisites for logical dependency.</x:v>
      </x:c>
    </x:row>
    <x:row r="2057">
      <x:c r="A2057" s="27" t="str">
        <x:v>E02053</x:v>
      </x:c>
      <x:c r="B2057" s="27" t="str">
        <x:v>S20-SCI-02:PREREQ</x:v>
      </x:c>
      <x:c r="C2057" s="27" t="str">
        <x:v>Grade 7 heredity/variation and ecosystem dynamics.</x:v>
      </x:c>
      <x:c r="D2057" s="27" t="str">
        <x:v>PREREQUISITE</x:v>
      </x:c>
      <x:c r="E2057" s="27" t="str">
        <x:v>S20-SCI-02</x:v>
      </x:c>
      <x:c r="F2057" s="27" t="str">
        <x:v>Natural selection and adaptation</x:v>
      </x:c>
      <x:c r="G2057" s="27" t="str">
        <x:v>S20</x:v>
      </x:c>
      <x:c r="H2057" s="27" t="str">
        <x:v>Science &amp; Engineering</x:v>
      </x:c>
      <x:c r="I2057" s="27" t="str">
        <x:v>SRC11</x:v>
      </x:c>
      <x:c r="J2057" s="27" t="str">
        <x:v>Incoming prerequisite relationship.</x:v>
      </x:c>
    </x:row>
    <x:row r="2058">
      <x:c r="A2058" s="27" t="str">
        <x:v>E02054</x:v>
      </x:c>
      <x:c r="B2058" s="27" t="str">
        <x:v>S20-SCI-02:GROUND</x:v>
      </x:c>
      <x:c r="C2058" s="27" t="str">
        <x:v>G5/G6 — Coordinated representations within an evidence-based formal system</x:v>
      </x:c>
      <x:c r="D2058" s="27" t="str">
        <x:v>GROUNDED_BY</x:v>
      </x:c>
      <x:c r="E2058" s="27" t="str">
        <x:v>S20-SCI-02</x:v>
      </x:c>
      <x:c r="F2058" s="27" t="str">
        <x:v>Natural selection and adaptation</x:v>
      </x:c>
      <x:c r="G2058" s="27" t="str">
        <x:v>S20</x:v>
      </x:c>
      <x:c r="H2058" s="27" t="str">
        <x:v>Science &amp; Engineering</x:v>
      </x:c>
      <x:c r="I2058" s="27" t="str">
        <x:v>SRC11</x:v>
      </x:c>
      <x:c r="J2058" s="27" t="str">
        <x:v>Grounding form used to preserve meaning.</x:v>
      </x:c>
    </x:row>
    <x:row r="2059">
      <x:c r="A2059" s="27" t="str">
        <x:v>E02055</x:v>
      </x:c>
      <x:c r="B2059" s="27" t="str">
        <x:v>S20-SCI-02</x:v>
      </x:c>
      <x:c r="C2059" s="27" t="str">
        <x:v>Natural selection and adaptation</x:v>
      </x:c>
      <x:c r="D2059" s="27" t="str">
        <x:v>CONNECTS_TO</x:v>
      </x:c>
      <x:c r="E2059" s="27" t="str">
        <x:v>S20-SCI-02:CROSS</x:v>
      </x:c>
      <x:c r="F2059" s="27" t="str">
        <x:v>Sensory observation and action; mathematics/data; reading/writing evidence; computing/models; health and environmental/civic decisions.</x:v>
      </x:c>
      <x:c r="G2059" s="27" t="str">
        <x:v>S20</x:v>
      </x:c>
      <x:c r="H2059" s="27" t="str">
        <x:v>Science &amp; Engineering</x:v>
      </x:c>
      <x:c r="I2059" s="27" t="str">
        <x:v>SRC11</x:v>
      </x:c>
      <x:c r="J2059" s="27" t="str">
        <x:v>Parallel subject and representation links.</x:v>
      </x:c>
    </x:row>
    <x:row r="2060">
      <x:c r="A2060" s="27" t="str">
        <x:v>E02056</x:v>
      </x:c>
      <x:c r="B2060" s="27" t="str">
        <x:v>S20-SCI-02</x:v>
      </x:c>
      <x:c r="C2060" s="27" t="str">
        <x:v>Natural selection and adaptation</x:v>
      </x:c>
      <x:c r="D2060" s="27" t="str">
        <x:v>UNLOCKS</x:v>
      </x:c>
      <x:c r="E2060" s="27" t="str">
        <x:v>S20-SCI-02:NEXT</x:v>
      </x:c>
      <x:c r="F2060" s="27" t="str">
        <x:v>Population-level change integrates inheritance, environment, probability, and deep time.</x:v>
      </x:c>
      <x:c r="G2060" s="27" t="str">
        <x:v>S20</x:v>
      </x:c>
      <x:c r="H2060" s="27" t="str">
        <x:v>Science &amp; Engineering</x:v>
      </x:c>
      <x:c r="I2060" s="27" t="str">
        <x:v>SRC11</x:v>
      </x:c>
      <x:c r="J2060" s="27" t="str">
        <x:v>Outgoing use and placement rationale.</x:v>
      </x:c>
    </x:row>
    <x:row r="2061">
      <x:c r="A2061" s="27" t="str">
        <x:v>E02057</x:v>
      </x:c>
      <x:c r="B2061" s="27" t="str">
        <x:v>S20-SCI-02</x:v>
      </x:c>
      <x:c r="C2061" s="27" t="str">
        <x:v>Natural selection and adaptation</x:v>
      </x:c>
      <x:c r="D2061" s="27" t="str">
        <x:v>VERIFIED_BY</x:v>
      </x:c>
      <x:c r="E2061" s="27" t="str">
        <x:v>S20-SCI-02:EVIDENCE</x:v>
      </x:c>
      <x:c r="F2061" s="27" t="str">
        <x:v>Constructs a claim-evidence-reasoning explanation that distinguishes individual development from population change.</x:v>
      </x:c>
      <x:c r="G2061" s="27" t="str">
        <x:v>S20</x:v>
      </x:c>
      <x:c r="H2061" s="27" t="str">
        <x:v>Science &amp; Engineering</x:v>
      </x:c>
      <x:c r="I2061" s="27" t="str">
        <x:v>SRC11</x:v>
      </x:c>
      <x:c r="J2061" s="27" t="str">
        <x:v>Observable evidence of usable learning.</x:v>
      </x:c>
    </x:row>
    <x:row r="2062">
      <x:c r="A2062" s="27" t="str">
        <x:v>E02058</x:v>
      </x:c>
      <x:c r="B2062" s="27" t="str">
        <x:v>S20-SCI-02</x:v>
      </x:c>
      <x:c r="C2062" s="27" t="str">
        <x:v>Previous node in domain progression</x:v>
      </x:c>
      <x:c r="D2062" s="27" t="str">
        <x:v>DOMAIN_SEQUENCE</x:v>
      </x:c>
      <x:c r="E2062" s="27" t="str">
        <x:v>S20-SCI-03</x:v>
      </x:c>
      <x:c r="F2062" s="27" t="str">
        <x:v>Solar system, Earth history, climate, and solutions</x:v>
      </x:c>
      <x:c r="G2062" s="27" t="str">
        <x:v>S20</x:v>
      </x:c>
      <x:c r="H2062" s="27" t="str">
        <x:v>Science &amp; Engineering</x:v>
      </x:c>
      <x:c r="I2062" s="27" t="str">
        <x:v>SRC11</x:v>
      </x:c>
      <x:c r="J2062" s="27" t="str">
        <x:v>Ordered spiral link; consult explicit prerequisites for logical dependency.</x:v>
      </x:c>
    </x:row>
    <x:row r="2063">
      <x:c r="A2063" s="27" t="str">
        <x:v>E02059</x:v>
      </x:c>
      <x:c r="B2063" s="27" t="str">
        <x:v>S20-SCI-03:PREREQ</x:v>
      </x:c>
      <x:c r="C2063" s="27" t="str">
        <x:v>Grade 7 Earth/space systems, functions, statistics, and decision models.</x:v>
      </x:c>
      <x:c r="D2063" s="27" t="str">
        <x:v>PREREQUISITE</x:v>
      </x:c>
      <x:c r="E2063" s="27" t="str">
        <x:v>S20-SCI-03</x:v>
      </x:c>
      <x:c r="F2063" s="27" t="str">
        <x:v>Solar system, Earth history, climate, and solutions</x:v>
      </x:c>
      <x:c r="G2063" s="27" t="str">
        <x:v>S20</x:v>
      </x:c>
      <x:c r="H2063" s="27" t="str">
        <x:v>Science &amp; Engineering</x:v>
      </x:c>
      <x:c r="I2063" s="27" t="str">
        <x:v>SRC11</x:v>
      </x:c>
      <x:c r="J2063" s="27" t="str">
        <x:v>Incoming prerequisite relationship.</x:v>
      </x:c>
    </x:row>
    <x:row r="2064">
      <x:c r="A2064" s="27" t="str">
        <x:v>E02060</x:v>
      </x:c>
      <x:c r="B2064" s="27" t="str">
        <x:v>S20-SCI-03:GROUND</x:v>
      </x:c>
      <x:c r="C2064" s="27" t="str">
        <x:v>G5/G6 — Coordinated representations within an evidence-based formal system</x:v>
      </x:c>
      <x:c r="D2064" s="27" t="str">
        <x:v>GROUNDED_BY</x:v>
      </x:c>
      <x:c r="E2064" s="27" t="str">
        <x:v>S20-SCI-03</x:v>
      </x:c>
      <x:c r="F2064" s="27" t="str">
        <x:v>Solar system, Earth history, climate, and solutions</x:v>
      </x:c>
      <x:c r="G2064" s="27" t="str">
        <x:v>S20</x:v>
      </x:c>
      <x:c r="H2064" s="27" t="str">
        <x:v>Science &amp; Engineering</x:v>
      </x:c>
      <x:c r="I2064" s="27" t="str">
        <x:v>SRC11</x:v>
      </x:c>
      <x:c r="J2064" s="27" t="str">
        <x:v>Grounding form used to preserve meaning.</x:v>
      </x:c>
    </x:row>
    <x:row r="2065">
      <x:c r="A2065" s="27" t="str">
        <x:v>E02061</x:v>
      </x:c>
      <x:c r="B2065" s="27" t="str">
        <x:v>S20-SCI-03</x:v>
      </x:c>
      <x:c r="C2065" s="27" t="str">
        <x:v>Solar system, Earth history, climate, and solutions</x:v>
      </x:c>
      <x:c r="D2065" s="27" t="str">
        <x:v>CONNECTS_TO</x:v>
      </x:c>
      <x:c r="E2065" s="27" t="str">
        <x:v>S20-SCI-03:CROSS</x:v>
      </x:c>
      <x:c r="F2065" s="27" t="str">
        <x:v>Sensory observation and action; mathematics/data; reading/writing evidence; computing/models; health and environmental/civic decisions.</x:v>
      </x:c>
      <x:c r="G2065" s="27" t="str">
        <x:v>S20</x:v>
      </x:c>
      <x:c r="H2065" s="27" t="str">
        <x:v>Science &amp; Engineering</x:v>
      </x:c>
      <x:c r="I2065" s="27" t="str">
        <x:v>SRC11</x:v>
      </x:c>
      <x:c r="J2065" s="27" t="str">
        <x:v>Parallel subject and representation links.</x:v>
      </x:c>
    </x:row>
    <x:row r="2066">
      <x:c r="A2066" s="27" t="str">
        <x:v>E02062</x:v>
      </x:c>
      <x:c r="B2066" s="27" t="str">
        <x:v>S20-SCI-03</x:v>
      </x:c>
      <x:c r="C2066" s="27" t="str">
        <x:v>Solar system, Earth history, climate, and solutions</x:v>
      </x:c>
      <x:c r="D2066" s="27" t="str">
        <x:v>UNLOCKS</x:v>
      </x:c>
      <x:c r="E2066" s="27" t="str">
        <x:v>S20-SCI-03:NEXT</x:v>
      </x:c>
      <x:c r="F2066" s="27" t="str">
        <x:v>Large-scale coupled systems demand model comparison, uncertainty, and tradeoff reasoning.</x:v>
      </x:c>
      <x:c r="G2066" s="27" t="str">
        <x:v>S20</x:v>
      </x:c>
      <x:c r="H2066" s="27" t="str">
        <x:v>Science &amp; Engineering</x:v>
      </x:c>
      <x:c r="I2066" s="27" t="str">
        <x:v>SRC11</x:v>
      </x:c>
      <x:c r="J2066" s="27" t="str">
        <x:v>Outgoing use and placement rationale.</x:v>
      </x:c>
    </x:row>
    <x:row r="2067">
      <x:c r="A2067" s="27" t="str">
        <x:v>E02063</x:v>
      </x:c>
      <x:c r="B2067" s="27" t="str">
        <x:v>S20-SCI-03</x:v>
      </x:c>
      <x:c r="C2067" s="27" t="str">
        <x:v>Solar system, Earth history, climate, and solutions</x:v>
      </x:c>
      <x:c r="D2067" s="27" t="str">
        <x:v>VERIFIED_BY</x:v>
      </x:c>
      <x:c r="E2067" s="27" t="str">
        <x:v>S20-SCI-03:EVIDENCE</x:v>
      </x:c>
      <x:c r="F2067" s="27" t="str">
        <x:v>Evaluates a solution using system evidence, criteria, constraints, and unintended effects.</x:v>
      </x:c>
      <x:c r="G2067" s="27" t="str">
        <x:v>S20</x:v>
      </x:c>
      <x:c r="H2067" s="27" t="str">
        <x:v>Science &amp; Engineering</x:v>
      </x:c>
      <x:c r="I2067" s="27" t="str">
        <x:v>SRC11</x:v>
      </x:c>
      <x:c r="J2067" s="27" t="str">
        <x:v>Observable evidence of usable learning.</x:v>
      </x:c>
    </x:row>
    <x:row r="2068">
      <x:c r="A2068" s="27" t="str">
        <x:v>E02064</x:v>
      </x:c>
      <x:c r="B2068" s="27" t="str">
        <x:v>S19-SST-02</x:v>
      </x:c>
      <x:c r="C2068" s="27" t="str">
        <x:v>Previous node in domain progression</x:v>
      </x:c>
      <x:c r="D2068" s="27" t="str">
        <x:v>DOMAIN_SEQUENCE</x:v>
      </x:c>
      <x:c r="E2068" s="27" t="str">
        <x:v>S20-SST-01</x:v>
      </x:c>
      <x:c r="F2068" s="27" t="str">
        <x:v>Revolutions, industrialization, imperialism, and global change</x:v>
      </x:c>
      <x:c r="G2068" s="27" t="str">
        <x:v>S20</x:v>
      </x:c>
      <x:c r="H2068" s="27" t="str">
        <x:v>Social Studies</x:v>
      </x:c>
      <x:c r="I2068" s="27" t="str">
        <x:v>SRC12; SRC24</x:v>
      </x:c>
      <x:c r="J2068" s="27" t="str">
        <x:v>Ordered spiral link; consult explicit prerequisites for logical dependency.</x:v>
      </x:c>
    </x:row>
    <x:row r="2069">
      <x:c r="A2069" s="27" t="str">
        <x:v>E02065</x:v>
      </x:c>
      <x:c r="B2069" s="27" t="str">
        <x:v>S20-SST-01:PREREQ</x:v>
      </x:c>
      <x:c r="C2069" s="27" t="str">
        <x:v>Grade 7 global networks/rights, causal networks, and source disagreement.</x:v>
      </x:c>
      <x:c r="D2069" s="27" t="str">
        <x:v>PREREQUISITE</x:v>
      </x:c>
      <x:c r="E2069" s="27" t="str">
        <x:v>S20-SST-01</x:v>
      </x:c>
      <x:c r="F2069" s="27" t="str">
        <x:v>Revolutions, industrialization, imperialism, and global change</x:v>
      </x:c>
      <x:c r="G2069" s="27" t="str">
        <x:v>S20</x:v>
      </x:c>
      <x:c r="H2069" s="27" t="str">
        <x:v>Social Studies</x:v>
      </x:c>
      <x:c r="I2069" s="27" t="str">
        <x:v>SRC12; SRC24</x:v>
      </x:c>
      <x:c r="J2069" s="27" t="str">
        <x:v>Incoming prerequisite relationship.</x:v>
      </x:c>
    </x:row>
    <x:row r="2070">
      <x:c r="A2070" s="27" t="str">
        <x:v>E02066</x:v>
      </x:c>
      <x:c r="B2070" s="27" t="str">
        <x:v>S20-SST-01:GROUND</x:v>
      </x:c>
      <x:c r="C2070" s="27" t="str">
        <x:v>G5/G6 — Coordinated representations within an evidence-based formal system</x:v>
      </x:c>
      <x:c r="D2070" s="27" t="str">
        <x:v>GROUNDED_BY</x:v>
      </x:c>
      <x:c r="E2070" s="27" t="str">
        <x:v>S20-SST-01</x:v>
      </x:c>
      <x:c r="F2070" s="27" t="str">
        <x:v>Revolutions, industrialization, imperialism, and global change</x:v>
      </x:c>
      <x:c r="G2070" s="27" t="str">
        <x:v>S20</x:v>
      </x:c>
      <x:c r="H2070" s="27" t="str">
        <x:v>Social Studies</x:v>
      </x:c>
      <x:c r="I2070" s="27" t="str">
        <x:v>SRC12; SRC24</x:v>
      </x:c>
      <x:c r="J2070" s="27" t="str">
        <x:v>Grounding form used to preserve meaning.</x:v>
      </x:c>
    </x:row>
    <x:row r="2071">
      <x:c r="A2071" s="27" t="str">
        <x:v>E02067</x:v>
      </x:c>
      <x:c r="B2071" s="27" t="str">
        <x:v>S20-SST-01</x:v>
      </x:c>
      <x:c r="C2071" s="27" t="str">
        <x:v>Revolutions, industrialization, imperialism, and global change</x:v>
      </x:c>
      <x:c r="D2071" s="27" t="str">
        <x:v>CONNECTS_TO</x:v>
      </x:c>
      <x:c r="E2071" s="27" t="str">
        <x:v>S20-SST-01:CROSS</x:v>
      </x:c>
      <x:c r="F2071" s="27" t="str">
        <x:v>Language/literacy and source evidence; maps/data/economics; ethics/SEL; media literacy; arts/culture; civic action.</x:v>
      </x:c>
      <x:c r="G2071" s="27" t="str">
        <x:v>S20</x:v>
      </x:c>
      <x:c r="H2071" s="27" t="str">
        <x:v>Social Studies</x:v>
      </x:c>
      <x:c r="I2071" s="27" t="str">
        <x:v>SRC12; SRC24</x:v>
      </x:c>
      <x:c r="J2071" s="27" t="str">
        <x:v>Parallel subject and representation links.</x:v>
      </x:c>
    </x:row>
    <x:row r="2072">
      <x:c r="A2072" s="27" t="str">
        <x:v>E02068</x:v>
      </x:c>
      <x:c r="B2072" s="27" t="str">
        <x:v>S20-SST-01</x:v>
      </x:c>
      <x:c r="C2072" s="27" t="str">
        <x:v>Revolutions, industrialization, imperialism, and global change</x:v>
      </x:c>
      <x:c r="D2072" s="27" t="str">
        <x:v>UNLOCKS</x:v>
      </x:c>
      <x:c r="E2072" s="27" t="str">
        <x:v>S20-SST-01:NEXT</x:v>
      </x:c>
      <x:c r="F2072" s="27" t="str">
        <x:v>Multiple interacting causes and unequal outcomes prepare modern history and civic analysis.</x:v>
      </x:c>
      <x:c r="G2072" s="27" t="str">
        <x:v>S20</x:v>
      </x:c>
      <x:c r="H2072" s="27" t="str">
        <x:v>Social Studies</x:v>
      </x:c>
      <x:c r="I2072" s="27" t="str">
        <x:v>SRC12; SRC24</x:v>
      </x:c>
      <x:c r="J2072" s="27" t="str">
        <x:v>Outgoing use and placement rationale.</x:v>
      </x:c>
    </x:row>
    <x:row r="2073">
      <x:c r="A2073" s="27" t="str">
        <x:v>E02069</x:v>
      </x:c>
      <x:c r="B2073" s="27" t="str">
        <x:v>S20-SST-01</x:v>
      </x:c>
      <x:c r="C2073" s="27" t="str">
        <x:v>Revolutions, industrialization, imperialism, and global change</x:v>
      </x:c>
      <x:c r="D2073" s="27" t="str">
        <x:v>VERIFIED_BY</x:v>
      </x:c>
      <x:c r="E2073" s="27" t="str">
        <x:v>S20-SST-01:EVIDENCE</x:v>
      </x:c>
      <x:c r="F2073" s="27" t="str">
        <x:v>Develops a multi-causal claim with evidence from affected groups and institutions.</x:v>
      </x:c>
      <x:c r="G2073" s="27" t="str">
        <x:v>S20</x:v>
      </x:c>
      <x:c r="H2073" s="27" t="str">
        <x:v>Social Studies</x:v>
      </x:c>
      <x:c r="I2073" s="27" t="str">
        <x:v>SRC12; SRC24</x:v>
      </x:c>
      <x:c r="J2073" s="27" t="str">
        <x:v>Observable evidence of usable learning.</x:v>
      </x:c>
    </x:row>
    <x:row r="2074">
      <x:c r="A2074" s="27" t="str">
        <x:v>E02070</x:v>
      </x:c>
      <x:c r="B2074" s="27" t="str">
        <x:v>S20-SST-01</x:v>
      </x:c>
      <x:c r="C2074" s="27" t="str">
        <x:v>Previous node in domain progression</x:v>
      </x:c>
      <x:c r="D2074" s="27" t="str">
        <x:v>DOMAIN_SEQUENCE</x:v>
      </x:c>
      <x:c r="E2074" s="27" t="str">
        <x:v>S20-SST-02</x:v>
      </x:c>
      <x:c r="F2074" s="27" t="str">
        <x:v>Constitutional principles and civic participation</x:v>
      </x:c>
      <x:c r="G2074" s="27" t="str">
        <x:v>S20</x:v>
      </x:c>
      <x:c r="H2074" s="27" t="str">
        <x:v>Social Studies</x:v>
      </x:c>
      <x:c r="I2074" s="27" t="str">
        <x:v>SRC12; SRC24</x:v>
      </x:c>
      <x:c r="J2074" s="27" t="str">
        <x:v>Ordered spiral link; consult explicit prerequisites for logical dependency.</x:v>
      </x:c>
    </x:row>
    <x:row r="2075">
      <x:c r="A2075" s="27" t="str">
        <x:v>E02071</x:v>
      </x:c>
      <x:c r="B2075" s="27" t="str">
        <x:v>S20-SST-02:PREREQ</x:v>
      </x:c>
      <x:c r="C2075" s="27" t="str">
        <x:v>Grade 7 rights/law/collective action, argument validity, and source evaluation.</x:v>
      </x:c>
      <x:c r="D2075" s="27" t="str">
        <x:v>PREREQUISITE</x:v>
      </x:c>
      <x:c r="E2075" s="27" t="str">
        <x:v>S20-SST-02</x:v>
      </x:c>
      <x:c r="F2075" s="27" t="str">
        <x:v>Constitutional principles and civic participation</x:v>
      </x:c>
      <x:c r="G2075" s="27" t="str">
        <x:v>S20</x:v>
      </x:c>
      <x:c r="H2075" s="27" t="str">
        <x:v>Social Studies</x:v>
      </x:c>
      <x:c r="I2075" s="27" t="str">
        <x:v>SRC12; SRC24</x:v>
      </x:c>
      <x:c r="J2075" s="27" t="str">
        <x:v>Incoming prerequisite relationship.</x:v>
      </x:c>
    </x:row>
    <x:row r="2076">
      <x:c r="A2076" s="27" t="str">
        <x:v>E02072</x:v>
      </x:c>
      <x:c r="B2076" s="27" t="str">
        <x:v>S20-SST-02:GROUND</x:v>
      </x:c>
      <x:c r="C2076" s="27" t="str">
        <x:v>G5/G6 — Coordinated representations within an evidence-based formal system</x:v>
      </x:c>
      <x:c r="D2076" s="27" t="str">
        <x:v>GROUNDED_BY</x:v>
      </x:c>
      <x:c r="E2076" s="27" t="str">
        <x:v>S20-SST-02</x:v>
      </x:c>
      <x:c r="F2076" s="27" t="str">
        <x:v>Constitutional principles and civic participation</x:v>
      </x:c>
      <x:c r="G2076" s="27" t="str">
        <x:v>S20</x:v>
      </x:c>
      <x:c r="H2076" s="27" t="str">
        <x:v>Social Studies</x:v>
      </x:c>
      <x:c r="I2076" s="27" t="str">
        <x:v>SRC12; SRC24</x:v>
      </x:c>
      <x:c r="J2076" s="27" t="str">
        <x:v>Grounding form used to preserve meaning.</x:v>
      </x:c>
    </x:row>
    <x:row r="2077">
      <x:c r="A2077" s="27" t="str">
        <x:v>E02073</x:v>
      </x:c>
      <x:c r="B2077" s="27" t="str">
        <x:v>S20-SST-02</x:v>
      </x:c>
      <x:c r="C2077" s="27" t="str">
        <x:v>Constitutional principles and civic participation</x:v>
      </x:c>
      <x:c r="D2077" s="27" t="str">
        <x:v>CONNECTS_TO</x:v>
      </x:c>
      <x:c r="E2077" s="27" t="str">
        <x:v>S20-SST-02:CROSS</x:v>
      </x:c>
      <x:c r="F2077" s="27" t="str">
        <x:v>Language/literacy and source evidence; maps/data/economics; ethics/SEL; media literacy; arts/culture; civic action.</x:v>
      </x:c>
      <x:c r="G2077" s="27" t="str">
        <x:v>S20</x:v>
      </x:c>
      <x:c r="H2077" s="27" t="str">
        <x:v>Social Studies</x:v>
      </x:c>
      <x:c r="I2077" s="27" t="str">
        <x:v>SRC12; SRC24</x:v>
      </x:c>
      <x:c r="J2077" s="27" t="str">
        <x:v>Parallel subject and representation links.</x:v>
      </x:c>
    </x:row>
    <x:row r="2078">
      <x:c r="A2078" s="27" t="str">
        <x:v>E02074</x:v>
      </x:c>
      <x:c r="B2078" s="27" t="str">
        <x:v>S20-SST-02</x:v>
      </x:c>
      <x:c r="C2078" s="27" t="str">
        <x:v>Constitutional principles and civic participation</x:v>
      </x:c>
      <x:c r="D2078" s="27" t="str">
        <x:v>UNLOCKS</x:v>
      </x:c>
      <x:c r="E2078" s="27" t="str">
        <x:v>S20-SST-02:NEXT</x:v>
      </x:c>
      <x:c r="F2078" s="27" t="str">
        <x:v>Institutional mechanisms connect constitutional ideas to public outcomes and action.</x:v>
      </x:c>
      <x:c r="G2078" s="27" t="str">
        <x:v>S20</x:v>
      </x:c>
      <x:c r="H2078" s="27" t="str">
        <x:v>Social Studies</x:v>
      </x:c>
      <x:c r="I2078" s="27" t="str">
        <x:v>SRC12; SRC24</x:v>
      </x:c>
      <x:c r="J2078" s="27" t="str">
        <x:v>Outgoing use and placement rationale.</x:v>
      </x:c>
    </x:row>
    <x:row r="2079">
      <x:c r="A2079" s="27" t="str">
        <x:v>E02075</x:v>
      </x:c>
      <x:c r="B2079" s="27" t="str">
        <x:v>S20-SST-02</x:v>
      </x:c>
      <x:c r="C2079" s="27" t="str">
        <x:v>Constitutional principles and civic participation</x:v>
      </x:c>
      <x:c r="D2079" s="27" t="str">
        <x:v>VERIFIED_BY</x:v>
      </x:c>
      <x:c r="E2079" s="27" t="str">
        <x:v>S20-SST-02:EVIDENCE</x:v>
      </x:c>
      <x:c r="F2079" s="27" t="str">
        <x:v>Uses constitutional/institutional evidence to evaluate a public issue and proposed action.</x:v>
      </x:c>
      <x:c r="G2079" s="27" t="str">
        <x:v>S20</x:v>
      </x:c>
      <x:c r="H2079" s="27" t="str">
        <x:v>Social Studies</x:v>
      </x:c>
      <x:c r="I2079" s="27" t="str">
        <x:v>SRC12; SRC24</x:v>
      </x:c>
      <x:c r="J2079" s="27" t="str">
        <x:v>Observable evidence of usable learning.</x:v>
      </x:c>
    </x:row>
    <x:row r="2080">
      <x:c r="A2080" s="27" t="str">
        <x:v>E02076</x:v>
      </x:c>
      <x:c r="B2080" s="27" t="str">
        <x:v>S19-ARTS-01</x:v>
      </x:c>
      <x:c r="C2080" s="27" t="str">
        <x:v>Previous node in domain progression</x:v>
      </x:c>
      <x:c r="D2080" s="27" t="str">
        <x:v>DOMAIN_SEQUENCE</x:v>
      </x:c>
      <x:c r="E2080" s="27" t="str">
        <x:v>S20-ARTS-01</x:v>
      </x:c>
      <x:c r="F2080" s="27" t="str">
        <x:v>Advanced middle-school performance/composition pathway</x:v>
      </x:c>
      <x:c r="G2080" s="27" t="str">
        <x:v>S20</x:v>
      </x:c>
      <x:c r="H2080" s="27" t="str">
        <x:v>Music &amp; Arts</x:v>
      </x:c>
      <x:c r="I2080" s="27" t="str">
        <x:v>SRC13</x:v>
      </x:c>
      <x:c r="J2080" s="27" t="str">
        <x:v>Ordered spiral link; consult explicit prerequisites for logical dependency.</x:v>
      </x:c>
    </x:row>
    <x:row r="2081">
      <x:c r="A2081" s="27" t="str">
        <x:v>E02077</x:v>
      </x:c>
      <x:c r="B2081" s="27" t="str">
        <x:v>S20-ARTS-01:PREREQ</x:v>
      </x:c>
      <x:c r="C2081" s="27" t="str">
        <x:v>Grade 7 harmony/improvisation/analysis and independent project habits.</x:v>
      </x:c>
      <x:c r="D2081" s="27" t="str">
        <x:v>PREREQUISITE</x:v>
      </x:c>
      <x:c r="E2081" s="27" t="str">
        <x:v>S20-ARTS-01</x:v>
      </x:c>
      <x:c r="F2081" s="27" t="str">
        <x:v>Advanced middle-school performance/composition pathway</x:v>
      </x:c>
      <x:c r="G2081" s="27" t="str">
        <x:v>S20</x:v>
      </x:c>
      <x:c r="H2081" s="27" t="str">
        <x:v>Music &amp; Arts</x:v>
      </x:c>
      <x:c r="I2081" s="27" t="str">
        <x:v>SRC13</x:v>
      </x:c>
      <x:c r="J2081" s="27" t="str">
        <x:v>Incoming prerequisite relationship.</x:v>
      </x:c>
    </x:row>
    <x:row r="2082">
      <x:c r="A2082" s="27" t="str">
        <x:v>E02078</x:v>
      </x:c>
      <x:c r="B2082" s="27" t="str">
        <x:v>S20-ARTS-01:GROUND</x:v>
      </x:c>
      <x:c r="C2082" s="27" t="str">
        <x:v>G5/G6 — Coordinated representations within an evidence-based formal system</x:v>
      </x:c>
      <x:c r="D2082" s="27" t="str">
        <x:v>GROUNDED_BY</x:v>
      </x:c>
      <x:c r="E2082" s="27" t="str">
        <x:v>S20-ARTS-01</x:v>
      </x:c>
      <x:c r="F2082" s="27" t="str">
        <x:v>Advanced middle-school performance/composition pathway</x:v>
      </x:c>
      <x:c r="G2082" s="27" t="str">
        <x:v>S20</x:v>
      </x:c>
      <x:c r="H2082" s="27" t="str">
        <x:v>Music &amp; Arts</x:v>
      </x:c>
      <x:c r="I2082" s="27" t="str">
        <x:v>SRC13</x:v>
      </x:c>
      <x:c r="J2082" s="27" t="str">
        <x:v>Grounding form used to preserve meaning.</x:v>
      </x:c>
    </x:row>
    <x:row r="2083">
      <x:c r="A2083" s="27" t="str">
        <x:v>E02079</x:v>
      </x:c>
      <x:c r="B2083" s="27" t="str">
        <x:v>S20-ARTS-01</x:v>
      </x:c>
      <x:c r="C2083" s="27" t="str">
        <x:v>Advanced middle-school performance/composition pathway</x:v>
      </x:c>
      <x:c r="D2083" s="27" t="str">
        <x:v>CONNECTS_TO</x:v>
      </x:c>
      <x:c r="E2083" s="27" t="str">
        <x:v>S20-ARTS-01:CROSS</x:v>
      </x:c>
      <x:c r="F2083" s="27" t="str">
        <x:v>Sensory discrimination; motor timing; language/prosody; mathematics/pattern; history/culture; emotion, design, and technology.</x:v>
      </x:c>
      <x:c r="G2083" s="27" t="str">
        <x:v>S20</x:v>
      </x:c>
      <x:c r="H2083" s="27" t="str">
        <x:v>Music &amp; Arts</x:v>
      </x:c>
      <x:c r="I2083" s="27" t="str">
        <x:v>SRC13</x:v>
      </x:c>
      <x:c r="J2083" s="27" t="str">
        <x:v>Parallel subject and representation links.</x:v>
      </x:c>
    </x:row>
    <x:row r="2084">
      <x:c r="A2084" s="27" t="str">
        <x:v>E02080</x:v>
      </x:c>
      <x:c r="B2084" s="27" t="str">
        <x:v>S20-ARTS-01</x:v>
      </x:c>
      <x:c r="C2084" s="27" t="str">
        <x:v>Advanced middle-school performance/composition pathway</x:v>
      </x:c>
      <x:c r="D2084" s="27" t="str">
        <x:v>UNLOCKS</x:v>
      </x:c>
      <x:c r="E2084" s="27" t="str">
        <x:v>S20-ARTS-01:NEXT</x:v>
      </x:c>
      <x:c r="F2084" s="27" t="str">
        <x:v>Integrated musicianship supports high-school specialization in ensemble, theory, composition, or technology.</x:v>
      </x:c>
      <x:c r="G2084" s="27" t="str">
        <x:v>S20</x:v>
      </x:c>
      <x:c r="H2084" s="27" t="str">
        <x:v>Music &amp; Arts</x:v>
      </x:c>
      <x:c r="I2084" s="27" t="str">
        <x:v>SRC13</x:v>
      </x:c>
      <x:c r="J2084" s="27" t="str">
        <x:v>Outgoing use and placement rationale.</x:v>
      </x:c>
    </x:row>
    <x:row r="2085">
      <x:c r="A2085" s="27" t="str">
        <x:v>E02081</x:v>
      </x:c>
      <x:c r="B2085" s="27" t="str">
        <x:v>S20-ARTS-01</x:v>
      </x:c>
      <x:c r="C2085" s="27" t="str">
        <x:v>Advanced middle-school performance/composition pathway</x:v>
      </x:c>
      <x:c r="D2085" s="27" t="str">
        <x:v>VERIFIED_BY</x:v>
      </x:c>
      <x:c r="E2085" s="27" t="str">
        <x:v>S20-ARTS-01:EVIDENCE</x:v>
      </x:c>
      <x:c r="F2085" s="27" t="str">
        <x:v>Presents a polished work plus process evidence and a standards-based self-assessment.</x:v>
      </x:c>
      <x:c r="G2085" s="27" t="str">
        <x:v>S20</x:v>
      </x:c>
      <x:c r="H2085" s="27" t="str">
        <x:v>Music &amp; Arts</x:v>
      </x:c>
      <x:c r="I2085" s="27" t="str">
        <x:v>SRC13</x:v>
      </x:c>
      <x:c r="J2085" s="27" t="str">
        <x:v>Observable evidence of usable learning.</x:v>
      </x:c>
    </x:row>
    <x:row r="2086">
      <x:c r="A2086" s="27" t="str">
        <x:v>E02082</x:v>
      </x:c>
      <x:c r="B2086" s="27" t="str">
        <x:v>S19-HLTH-01</x:v>
      </x:c>
      <x:c r="C2086" s="27" t="str">
        <x:v>Previous node in domain progression</x:v>
      </x:c>
      <x:c r="D2086" s="27" t="str">
        <x:v>DOMAIN_SEQUENCE</x:v>
      </x:c>
      <x:c r="E2086" s="27" t="str">
        <x:v>S20-HLTH-01</x:v>
      </x:c>
      <x:c r="F2086" s="27" t="str">
        <x:v>Training principles and health action plan</x:v>
      </x:c>
      <x:c r="G2086" s="27" t="str">
        <x:v>S20</x:v>
      </x:c>
      <x:c r="H2086" s="27" t="str">
        <x:v>Physical &amp; Health</x:v>
      </x:c>
      <x:c r="I2086" s="27" t="str">
        <x:v>SRC14; SRC15</x:v>
      </x:c>
      <x:c r="J2086" s="27" t="str">
        <x:v>Ordered spiral link; consult explicit prerequisites for logical dependency.</x:v>
      </x:c>
    </x:row>
    <x:row r="2087">
      <x:c r="A2087" s="27" t="str">
        <x:v>E02083</x:v>
      </x:c>
      <x:c r="B2087" s="27" t="str">
        <x:v>S20-HLTH-01:PREREQ</x:v>
      </x:c>
      <x:c r="C2087" s="27" t="str">
        <x:v>Grade 7 health goals, statistics, and decision record.</x:v>
      </x:c>
      <x:c r="D2087" s="27" t="str">
        <x:v>PREREQUISITE</x:v>
      </x:c>
      <x:c r="E2087" s="27" t="str">
        <x:v>S20-HLTH-01</x:v>
      </x:c>
      <x:c r="F2087" s="27" t="str">
        <x:v>Training principles and health action plan</x:v>
      </x:c>
      <x:c r="G2087" s="27" t="str">
        <x:v>S20</x:v>
      </x:c>
      <x:c r="H2087" s="27" t="str">
        <x:v>Physical &amp; Health</x:v>
      </x:c>
      <x:c r="I2087" s="27" t="str">
        <x:v>SRC14; SRC15</x:v>
      </x:c>
      <x:c r="J2087" s="27" t="str">
        <x:v>Incoming prerequisite relationship.</x:v>
      </x:c>
    </x:row>
    <x:row r="2088">
      <x:c r="A2088" s="27" t="str">
        <x:v>E02084</x:v>
      </x:c>
      <x:c r="B2088" s="27" t="str">
        <x:v>S20-HLTH-01:GROUND</x:v>
      </x:c>
      <x:c r="C2088" s="27" t="str">
        <x:v>G5/G6 — Coordinated representations within an evidence-based formal system</x:v>
      </x:c>
      <x:c r="D2088" s="27" t="str">
        <x:v>GROUNDED_BY</x:v>
      </x:c>
      <x:c r="E2088" s="27" t="str">
        <x:v>S20-HLTH-01</x:v>
      </x:c>
      <x:c r="F2088" s="27" t="str">
        <x:v>Training principles and health action plan</x:v>
      </x:c>
      <x:c r="G2088" s="27" t="str">
        <x:v>S20</x:v>
      </x:c>
      <x:c r="H2088" s="27" t="str">
        <x:v>Physical &amp; Health</x:v>
      </x:c>
      <x:c r="I2088" s="27" t="str">
        <x:v>SRC14; SRC15</x:v>
      </x:c>
      <x:c r="J2088" s="27" t="str">
        <x:v>Grounding form used to preserve meaning.</x:v>
      </x:c>
    </x:row>
    <x:row r="2089">
      <x:c r="A2089" s="27" t="str">
        <x:v>E02085</x:v>
      </x:c>
      <x:c r="B2089" s="27" t="str">
        <x:v>S20-HLTH-01</x:v>
      </x:c>
      <x:c r="C2089" s="27" t="str">
        <x:v>Training principles and health action plan</x:v>
      </x:c>
      <x:c r="D2089" s="27" t="str">
        <x:v>CONNECTS_TO</x:v>
      </x:c>
      <x:c r="E2089" s="27" t="str">
        <x:v>S20-HLTH-01:CROSS</x:v>
      </x:c>
      <x:c r="F2089" s="27" t="str">
        <x:v>Motor/sensory development; life science; measurement/data; SEL/self-management; communication, safety, and decision-making.</x:v>
      </x:c>
      <x:c r="G2089" s="27" t="str">
        <x:v>S20</x:v>
      </x:c>
      <x:c r="H2089" s="27" t="str">
        <x:v>Physical &amp; Health</x:v>
      </x:c>
      <x:c r="I2089" s="27" t="str">
        <x:v>SRC14; SRC15</x:v>
      </x:c>
      <x:c r="J2089" s="27" t="str">
        <x:v>Parallel subject and representation links.</x:v>
      </x:c>
    </x:row>
    <x:row r="2090">
      <x:c r="A2090" s="27" t="str">
        <x:v>E02086</x:v>
      </x:c>
      <x:c r="B2090" s="27" t="str">
        <x:v>S20-HLTH-01</x:v>
      </x:c>
      <x:c r="C2090" s="27" t="str">
        <x:v>Training principles and health action plan</x:v>
      </x:c>
      <x:c r="D2090" s="27" t="str">
        <x:v>UNLOCKS</x:v>
      </x:c>
      <x:c r="E2090" s="27" t="str">
        <x:v>S20-HLTH-01:NEXT</x:v>
      </x:c>
      <x:c r="F2090" s="27" t="str">
        <x:v>Training and health literacy become self-managed systems rather than isolated activities.</x:v>
      </x:c>
      <x:c r="G2090" s="27" t="str">
        <x:v>S20</x:v>
      </x:c>
      <x:c r="H2090" s="27" t="str">
        <x:v>Physical &amp; Health</x:v>
      </x:c>
      <x:c r="I2090" s="27" t="str">
        <x:v>SRC14; SRC15</x:v>
      </x:c>
      <x:c r="J2090" s="27" t="str">
        <x:v>Outgoing use and placement rationale.</x:v>
      </x:c>
    </x:row>
    <x:row r="2091">
      <x:c r="A2091" s="27" t="str">
        <x:v>E02087</x:v>
      </x:c>
      <x:c r="B2091" s="27" t="str">
        <x:v>S20-HLTH-01</x:v>
      </x:c>
      <x:c r="C2091" s="27" t="str">
        <x:v>Training principles and health action plan</x:v>
      </x:c>
      <x:c r="D2091" s="27" t="str">
        <x:v>VERIFIED_BY</x:v>
      </x:c>
      <x:c r="E2091" s="27" t="str">
        <x:v>S20-HLTH-01:EVIDENCE</x:v>
      </x:c>
      <x:c r="F2091" s="27" t="str">
        <x:v>Implements, monitors, and safely revises a plan using performance and well-being evidence.</x:v>
      </x:c>
      <x:c r="G2091" s="27" t="str">
        <x:v>S20</x:v>
      </x:c>
      <x:c r="H2091" s="27" t="str">
        <x:v>Physical &amp; Health</x:v>
      </x:c>
      <x:c r="I2091" s="27" t="str">
        <x:v>SRC14; SRC15</x:v>
      </x:c>
      <x:c r="J2091" s="27" t="str">
        <x:v>Observable evidence of usable learning.</x:v>
      </x:c>
    </x:row>
    <x:row r="2092">
      <x:c r="A2092" s="27" t="str">
        <x:v>E02088</x:v>
      </x:c>
      <x:c r="B2092" s="27" t="str">
        <x:v>S19-COMP-02</x:v>
      </x:c>
      <x:c r="C2092" s="27" t="str">
        <x:v>Previous node in domain progression</x:v>
      </x:c>
      <x:c r="D2092" s="27" t="str">
        <x:v>DOMAIN_SEQUENCE</x:v>
      </x:c>
      <x:c r="E2092" s="27" t="str">
        <x:v>S20-COMP-01</x:v>
      </x:c>
      <x:c r="F2092" s="27" t="str">
        <x:v>Algorithm complexity, data structures, and collaborative development</x:v>
      </x:c>
      <x:c r="G2092" s="27" t="str">
        <x:v>S20</x:v>
      </x:c>
      <x:c r="H2092" s="27" t="str">
        <x:v>Computing &amp; Media</x:v>
      </x:c>
      <x:c r="I2092" s="27" t="str">
        <x:v>SRC16</x:v>
      </x:c>
      <x:c r="J2092" s="27" t="str">
        <x:v>Ordered spiral link; consult explicit prerequisites for logical dependency.</x:v>
      </x:c>
    </x:row>
    <x:row r="2093">
      <x:c r="A2093" s="27" t="str">
        <x:v>E02089</x:v>
      </x:c>
      <x:c r="B2093" s="27" t="str">
        <x:v>S20-COMP-01:PREREQ</x:v>
      </x:c>
      <x:c r="C2093" s="27" t="str">
        <x:v>Grade 7 collections/functions/testing and linear/exponential reasoning.</x:v>
      </x:c>
      <x:c r="D2093" s="27" t="str">
        <x:v>PREREQUISITE</x:v>
      </x:c>
      <x:c r="E2093" s="27" t="str">
        <x:v>S20-COMP-01</x:v>
      </x:c>
      <x:c r="F2093" s="27" t="str">
        <x:v>Algorithm complexity, data structures, and collaborative development</x:v>
      </x:c>
      <x:c r="G2093" s="27" t="str">
        <x:v>S20</x:v>
      </x:c>
      <x:c r="H2093" s="27" t="str">
        <x:v>Computing &amp; Media</x:v>
      </x:c>
      <x:c r="I2093" s="27" t="str">
        <x:v>SRC16</x:v>
      </x:c>
      <x:c r="J2093" s="27" t="str">
        <x:v>Incoming prerequisite relationship.</x:v>
      </x:c>
    </x:row>
    <x:row r="2094">
      <x:c r="A2094" s="27" t="str">
        <x:v>E02090</x:v>
      </x:c>
      <x:c r="B2094" s="27" t="str">
        <x:v>S20-COMP-01:GROUND</x:v>
      </x:c>
      <x:c r="C2094" s="27" t="str">
        <x:v>G5/G6 — Coordinated representations within an evidence-based formal system</x:v>
      </x:c>
      <x:c r="D2094" s="27" t="str">
        <x:v>GROUNDED_BY</x:v>
      </x:c>
      <x:c r="E2094" s="27" t="str">
        <x:v>S20-COMP-01</x:v>
      </x:c>
      <x:c r="F2094" s="27" t="str">
        <x:v>Algorithm complexity, data structures, and collaborative development</x:v>
      </x:c>
      <x:c r="G2094" s="27" t="str">
        <x:v>S20</x:v>
      </x:c>
      <x:c r="H2094" s="27" t="str">
        <x:v>Computing &amp; Media</x:v>
      </x:c>
      <x:c r="I2094" s="27" t="str">
        <x:v>SRC16</x:v>
      </x:c>
      <x:c r="J2094" s="27" t="str">
        <x:v>Grounding form used to preserve meaning.</x:v>
      </x:c>
    </x:row>
    <x:row r="2095">
      <x:c r="A2095" s="27" t="str">
        <x:v>E02091</x:v>
      </x:c>
      <x:c r="B2095" s="27" t="str">
        <x:v>S20-COMP-01</x:v>
      </x:c>
      <x:c r="C2095" s="27" t="str">
        <x:v>Algorithm complexity, data structures, and collaborative development</x:v>
      </x:c>
      <x:c r="D2095" s="27" t="str">
        <x:v>CONNECTS_TO</x:v>
      </x:c>
      <x:c r="E2095" s="27" t="str">
        <x:v>S20-COMP-01:CROSS</x:v>
      </x:c>
      <x:c r="F2095" s="27" t="str">
        <x:v>Mathematics/logic/data; language and media evidence; science/engineering models; art/design; civics, privacy, finance, and ethics.</x:v>
      </x:c>
      <x:c r="G2095" s="27" t="str">
        <x:v>S20</x:v>
      </x:c>
      <x:c r="H2095" s="27" t="str">
        <x:v>Computing &amp; Media</x:v>
      </x:c>
      <x:c r="I2095" s="27" t="str">
        <x:v>SRC16</x:v>
      </x:c>
      <x:c r="J2095" s="27" t="str">
        <x:v>Parallel subject and representation links.</x:v>
      </x:c>
    </x:row>
    <x:row r="2096">
      <x:c r="A2096" s="27" t="str">
        <x:v>E02092</x:v>
      </x:c>
      <x:c r="B2096" s="27" t="str">
        <x:v>S20-COMP-01</x:v>
      </x:c>
      <x:c r="C2096" s="27" t="str">
        <x:v>Algorithm complexity, data structures, and collaborative development</x:v>
      </x:c>
      <x:c r="D2096" s="27" t="str">
        <x:v>UNLOCKS</x:v>
      </x:c>
      <x:c r="E2096" s="27" t="str">
        <x:v>S20-COMP-01:NEXT</x:v>
      </x:c>
      <x:c r="F2096" s="27" t="str">
        <x:v>Tradeoffs, abstraction, testing, and collaboration prepare formal high-school CS.</x:v>
      </x:c>
      <x:c r="G2096" s="27" t="str">
        <x:v>S20</x:v>
      </x:c>
      <x:c r="H2096" s="27" t="str">
        <x:v>Computing &amp; Media</x:v>
      </x:c>
      <x:c r="I2096" s="27" t="str">
        <x:v>SRC16</x:v>
      </x:c>
      <x:c r="J2096" s="27" t="str">
        <x:v>Outgoing use and placement rationale.</x:v>
      </x:c>
    </x:row>
    <x:row r="2097">
      <x:c r="A2097" s="27" t="str">
        <x:v>E02093</x:v>
      </x:c>
      <x:c r="B2097" s="27" t="str">
        <x:v>S20-COMP-01</x:v>
      </x:c>
      <x:c r="C2097" s="27" t="str">
        <x:v>Algorithm complexity, data structures, and collaborative development</x:v>
      </x:c>
      <x:c r="D2097" s="27" t="str">
        <x:v>VERIFIED_BY</x:v>
      </x:c>
      <x:c r="E2097" s="27" t="str">
        <x:v>S20-COMP-01:EVIDENCE</x:v>
      </x:c>
      <x:c r="F2097" s="27" t="str">
        <x:v>Delivers a tested program with design rationale, version history, and known limitations.</x:v>
      </x:c>
      <x:c r="G2097" s="27" t="str">
        <x:v>S20</x:v>
      </x:c>
      <x:c r="H2097" s="27" t="str">
        <x:v>Computing &amp; Media</x:v>
      </x:c>
      <x:c r="I2097" s="27" t="str">
        <x:v>SRC16</x:v>
      </x:c>
      <x:c r="J2097" s="27" t="str">
        <x:v>Observable evidence of usable learning.</x:v>
      </x:c>
    </x:row>
    <x:row r="2098">
      <x:c r="A2098" s="27" t="str">
        <x:v>E02094</x:v>
      </x:c>
      <x:c r="B2098" s="27" t="str">
        <x:v>S20-COMP-01</x:v>
      </x:c>
      <x:c r="C2098" s="27" t="str">
        <x:v>Previous node in domain progression</x:v>
      </x:c>
      <x:c r="D2098" s="27" t="str">
        <x:v>DOMAIN_SEQUENCE</x:v>
      </x:c>
      <x:c r="E2098" s="27" t="str">
        <x:v>S20-COMP-02</x:v>
      </x:c>
      <x:c r="F2098" s="27" t="str">
        <x:v>Verification, algorithms, privacy, and civic information</x:v>
      </x:c>
      <x:c r="G2098" s="27" t="str">
        <x:v>S20</x:v>
      </x:c>
      <x:c r="H2098" s="27" t="str">
        <x:v>Computing &amp; Media</x:v>
      </x:c>
      <x:c r="I2098" s="27" t="str">
        <x:v>SRC16; SRC20</x:v>
      </x:c>
      <x:c r="J2098" s="27" t="str">
        <x:v>Ordered spiral link; consult explicit prerequisites for logical dependency.</x:v>
      </x:c>
    </x:row>
    <x:row r="2099">
      <x:c r="A2099" s="27" t="str">
        <x:v>E02095</x:v>
      </x:c>
      <x:c r="B2099" s="27" t="str">
        <x:v>S20-COMP-02:PREREQ</x:v>
      </x:c>
      <x:c r="C2099" s="27" t="str">
        <x:v>Grade 7 AI/media systems, source disagreement, and cybersecurity.</x:v>
      </x:c>
      <x:c r="D2099" s="27" t="str">
        <x:v>PREREQUISITE</x:v>
      </x:c>
      <x:c r="E2099" s="27" t="str">
        <x:v>S20-COMP-02</x:v>
      </x:c>
      <x:c r="F2099" s="27" t="str">
        <x:v>Verification, algorithms, privacy, and civic information</x:v>
      </x:c>
      <x:c r="G2099" s="27" t="str">
        <x:v>S20</x:v>
      </x:c>
      <x:c r="H2099" s="27" t="str">
        <x:v>Computing &amp; Media</x:v>
      </x:c>
      <x:c r="I2099" s="27" t="str">
        <x:v>SRC16; SRC20</x:v>
      </x:c>
      <x:c r="J2099" s="27" t="str">
        <x:v>Incoming prerequisite relationship.</x:v>
      </x:c>
    </x:row>
    <x:row r="2100">
      <x:c r="A2100" s="27" t="str">
        <x:v>E02096</x:v>
      </x:c>
      <x:c r="B2100" s="27" t="str">
        <x:v>S20-COMP-02:GROUND</x:v>
      </x:c>
      <x:c r="C2100" s="27" t="str">
        <x:v>G5/G6 — Coordinated representations within an evidence-based formal system</x:v>
      </x:c>
      <x:c r="D2100" s="27" t="str">
        <x:v>GROUNDED_BY</x:v>
      </x:c>
      <x:c r="E2100" s="27" t="str">
        <x:v>S20-COMP-02</x:v>
      </x:c>
      <x:c r="F2100" s="27" t="str">
        <x:v>Verification, algorithms, privacy, and civic information</x:v>
      </x:c>
      <x:c r="G2100" s="27" t="str">
        <x:v>S20</x:v>
      </x:c>
      <x:c r="H2100" s="27" t="str">
        <x:v>Computing &amp; Media</x:v>
      </x:c>
      <x:c r="I2100" s="27" t="str">
        <x:v>SRC16; SRC20</x:v>
      </x:c>
      <x:c r="J2100" s="27" t="str">
        <x:v>Grounding form used to preserve meaning.</x:v>
      </x:c>
    </x:row>
    <x:row r="2101">
      <x:c r="A2101" s="27" t="str">
        <x:v>E02097</x:v>
      </x:c>
      <x:c r="B2101" s="27" t="str">
        <x:v>S20-COMP-02</x:v>
      </x:c>
      <x:c r="C2101" s="27" t="str">
        <x:v>Verification, algorithms, privacy, and civic information</x:v>
      </x:c>
      <x:c r="D2101" s="27" t="str">
        <x:v>CONNECTS_TO</x:v>
      </x:c>
      <x:c r="E2101" s="27" t="str">
        <x:v>S20-COMP-02:CROSS</x:v>
      </x:c>
      <x:c r="F2101" s="27" t="str">
        <x:v>Mathematics/logic/data; language and media evidence; science/engineering models; art/design; civics, privacy, finance, and ethics.</x:v>
      </x:c>
      <x:c r="G2101" s="27" t="str">
        <x:v>S20</x:v>
      </x:c>
      <x:c r="H2101" s="27" t="str">
        <x:v>Computing &amp; Media</x:v>
      </x:c>
      <x:c r="I2101" s="27" t="str">
        <x:v>SRC16; SRC20</x:v>
      </x:c>
      <x:c r="J2101" s="27" t="str">
        <x:v>Parallel subject and representation links.</x:v>
      </x:c>
    </x:row>
    <x:row r="2102">
      <x:c r="A2102" s="27" t="str">
        <x:v>E02098</x:v>
      </x:c>
      <x:c r="B2102" s="27" t="str">
        <x:v>S20-COMP-02</x:v>
      </x:c>
      <x:c r="C2102" s="27" t="str">
        <x:v>Verification, algorithms, privacy, and civic information</x:v>
      </x:c>
      <x:c r="D2102" s="27" t="str">
        <x:v>UNLOCKS</x:v>
      </x:c>
      <x:c r="E2102" s="27" t="str">
        <x:v>S20-COMP-02:NEXT</x:v>
      </x:c>
      <x:c r="F2102" s="27" t="str">
        <x:v>Verification plus system awareness supports informed participation in networked public life.</x:v>
      </x:c>
      <x:c r="G2102" s="27" t="str">
        <x:v>S20</x:v>
      </x:c>
      <x:c r="H2102" s="27" t="str">
        <x:v>Computing &amp; Media</x:v>
      </x:c>
      <x:c r="I2102" s="27" t="str">
        <x:v>SRC16; SRC20</x:v>
      </x:c>
      <x:c r="J2102" s="27" t="str">
        <x:v>Outgoing use and placement rationale.</x:v>
      </x:c>
    </x:row>
    <x:row r="2103">
      <x:c r="A2103" s="27" t="str">
        <x:v>E02099</x:v>
      </x:c>
      <x:c r="B2103" s="27" t="str">
        <x:v>S20-COMP-02</x:v>
      </x:c>
      <x:c r="C2103" s="27" t="str">
        <x:v>Verification, algorithms, privacy, and civic information</x:v>
      </x:c>
      <x:c r="D2103" s="27" t="str">
        <x:v>VERIFIED_BY</x:v>
      </x:c>
      <x:c r="E2103" s="27" t="str">
        <x:v>S20-COMP-02:EVIDENCE</x:v>
      </x:c>
      <x:c r="F2103" s="27" t="str">
        <x:v>Produces a verification trail and a reasoned share/do-not-share decision with privacy/impact analysis.</x:v>
      </x:c>
      <x:c r="G2103" s="27" t="str">
        <x:v>S20</x:v>
      </x:c>
      <x:c r="H2103" s="27" t="str">
        <x:v>Computing &amp; Media</x:v>
      </x:c>
      <x:c r="I2103" s="27" t="str">
        <x:v>SRC16; SRC20</x:v>
      </x:c>
      <x:c r="J2103" s="27" t="str">
        <x:v>Observable evidence of usable learning.</x:v>
      </x:c>
    </x:row>
    <x:row r="2104">
      <x:c r="A2104" s="27" t="str">
        <x:v>E02100</x:v>
      </x:c>
      <x:c r="B2104" s="27" t="str">
        <x:v>S19-WLANG-01</x:v>
      </x:c>
      <x:c r="C2104" s="27" t="str">
        <x:v>Previous node in domain progression</x:v>
      </x:c>
      <x:c r="D2104" s="27" t="str">
        <x:v>DOMAIN_SEQUENCE</x:v>
      </x:c>
      <x:c r="E2104" s="27" t="str">
        <x:v>S20-WLANG-01</x:v>
      </x:c>
      <x:c r="F2104" s="27" t="str">
        <x:v>Intermediate-mid narration and interaction</x:v>
      </x:c>
      <x:c r="G2104" s="27" t="str">
        <x:v>S20</x:v>
      </x:c>
      <x:c r="H2104" s="27" t="str">
        <x:v>World Languages</x:v>
      </x:c>
      <x:c r="I2104" s="27" t="str">
        <x:v>SRC17</x:v>
      </x:c>
      <x:c r="J2104" s="27" t="str">
        <x:v>Ordered spiral link; consult explicit prerequisites for logical dependency.</x:v>
      </x:c>
    </x:row>
    <x:row r="2105">
      <x:c r="A2105" s="27" t="str">
        <x:v>E02101</x:v>
      </x:c>
      <x:c r="B2105" s="27" t="str">
        <x:v>S20-WLANG-01:PREREQ</x:v>
      </x:c>
      <x:c r="C2105" s="27" t="str">
        <x:v>Grade 7 intermediate-low communication and narrative/analytical structures.</x:v>
      </x:c>
      <x:c r="D2105" s="27" t="str">
        <x:v>PREREQUISITE</x:v>
      </x:c>
      <x:c r="E2105" s="27" t="str">
        <x:v>S20-WLANG-01</x:v>
      </x:c>
      <x:c r="F2105" s="27" t="str">
        <x:v>Intermediate-mid narration and interaction</x:v>
      </x:c>
      <x:c r="G2105" s="27" t="str">
        <x:v>S20</x:v>
      </x:c>
      <x:c r="H2105" s="27" t="str">
        <x:v>World Languages</x:v>
      </x:c>
      <x:c r="I2105" s="27" t="str">
        <x:v>SRC17</x:v>
      </x:c>
      <x:c r="J2105" s="27" t="str">
        <x:v>Incoming prerequisite relationship.</x:v>
      </x:c>
    </x:row>
    <x:row r="2106">
      <x:c r="A2106" s="27" t="str">
        <x:v>E02102</x:v>
      </x:c>
      <x:c r="B2106" s="27" t="str">
        <x:v>S20-WLANG-01:GROUND</x:v>
      </x:c>
      <x:c r="C2106" s="27" t="str">
        <x:v>G5/G6 — Coordinated representations within an evidence-based formal system</x:v>
      </x:c>
      <x:c r="D2106" s="27" t="str">
        <x:v>GROUNDED_BY</x:v>
      </x:c>
      <x:c r="E2106" s="27" t="str">
        <x:v>S20-WLANG-01</x:v>
      </x:c>
      <x:c r="F2106" s="27" t="str">
        <x:v>Intermediate-mid narration and interaction</x:v>
      </x:c>
      <x:c r="G2106" s="27" t="str">
        <x:v>S20</x:v>
      </x:c>
      <x:c r="H2106" s="27" t="str">
        <x:v>World Languages</x:v>
      </x:c>
      <x:c r="I2106" s="27" t="str">
        <x:v>SRC17</x:v>
      </x:c>
      <x:c r="J2106" s="27" t="str">
        <x:v>Grounding form used to preserve meaning.</x:v>
      </x:c>
    </x:row>
    <x:row r="2107">
      <x:c r="A2107" s="27" t="str">
        <x:v>E02103</x:v>
      </x:c>
      <x:c r="B2107" s="27" t="str">
        <x:v>S20-WLANG-01</x:v>
      </x:c>
      <x:c r="C2107" s="27" t="str">
        <x:v>Intermediate-mid narration and interaction</x:v>
      </x:c>
      <x:c r="D2107" s="27" t="str">
        <x:v>CONNECTS_TO</x:v>
      </x:c>
      <x:c r="E2107" s="27" t="str">
        <x:v>S20-WLANG-01:CROSS</x:v>
      </x:c>
      <x:c r="F2107" s="27" t="str">
        <x:v>Oral language, reading, and writing; memory/retrieval; social interaction; history/geography/arts; intercultural perspective.</x:v>
      </x:c>
      <x:c r="G2107" s="27" t="str">
        <x:v>S20</x:v>
      </x:c>
      <x:c r="H2107" s="27" t="str">
        <x:v>World Languages</x:v>
      </x:c>
      <x:c r="I2107" s="27" t="str">
        <x:v>SRC17</x:v>
      </x:c>
      <x:c r="J2107" s="27" t="str">
        <x:v>Parallel subject and representation links.</x:v>
      </x:c>
    </x:row>
    <x:row r="2108">
      <x:c r="A2108" s="27" t="str">
        <x:v>E02104</x:v>
      </x:c>
      <x:c r="B2108" s="27" t="str">
        <x:v>S20-WLANG-01</x:v>
      </x:c>
      <x:c r="C2108" s="27" t="str">
        <x:v>Intermediate-mid narration and interaction</x:v>
      </x:c>
      <x:c r="D2108" s="27" t="str">
        <x:v>UNLOCKS</x:v>
      </x:c>
      <x:c r="E2108" s="27" t="str">
        <x:v>S20-WLANG-01:NEXT</x:v>
      </x:c>
      <x:c r="F2108" s="27" t="str">
        <x:v>Time-frame control and connected discourse prepare advanced proficiency growth.</x:v>
      </x:c>
      <x:c r="G2108" s="27" t="str">
        <x:v>S20</x:v>
      </x:c>
      <x:c r="H2108" s="27" t="str">
        <x:v>World Languages</x:v>
      </x:c>
      <x:c r="I2108" s="27" t="str">
        <x:v>SRC17</x:v>
      </x:c>
      <x:c r="J2108" s="27" t="str">
        <x:v>Outgoing use and placement rationale.</x:v>
      </x:c>
    </x:row>
    <x:row r="2109">
      <x:c r="A2109" s="27" t="str">
        <x:v>E02105</x:v>
      </x:c>
      <x:c r="B2109" s="27" t="str">
        <x:v>S20-WLANG-01</x:v>
      </x:c>
      <x:c r="C2109" s="27" t="str">
        <x:v>Intermediate-mid narration and interaction</x:v>
      </x:c>
      <x:c r="D2109" s="27" t="str">
        <x:v>VERIFIED_BY</x:v>
      </x:c>
      <x:c r="E2109" s="27" t="str">
        <x:v>S20-WLANG-01:EVIDENCE</x:v>
      </x:c>
      <x:c r="F2109" s="27" t="str">
        <x:v>Handles an unrehearsed familiar situation and narrates a coherent event sequence.</x:v>
      </x:c>
      <x:c r="G2109" s="27" t="str">
        <x:v>S20</x:v>
      </x:c>
      <x:c r="H2109" s="27" t="str">
        <x:v>World Languages</x:v>
      </x:c>
      <x:c r="I2109" s="27" t="str">
        <x:v>SRC17</x:v>
      </x:c>
      <x:c r="J2109" s="27" t="str">
        <x:v>Observable evidence of usable learning.</x:v>
      </x:c>
    </x:row>
    <x:row r="2110">
      <x:c r="A2110" s="27" t="str">
        <x:v>E02106</x:v>
      </x:c>
      <x:c r="B2110" s="27" t="str">
        <x:v>S19-LIFE-01</x:v>
      </x:c>
      <x:c r="C2110" s="27" t="str">
        <x:v>Previous node in domain progression</x:v>
      </x:c>
      <x:c r="D2110" s="27" t="str">
        <x:v>DOMAIN_SEQUENCE</x:v>
      </x:c>
      <x:c r="E2110" s="27" t="str">
        <x:v>S20-LIFE-01</x:v>
      </x:c>
      <x:c r="F2110" s="27" t="str">
        <x:v>Pathways, employability, banking, and fraud prevention</x:v>
      </x:c>
      <x:c r="G2110" s="27" t="str">
        <x:v>S20</x:v>
      </x:c>
      <x:c r="H2110" s="27" t="str">
        <x:v>Life, Finance &amp; Career</x:v>
      </x:c>
      <x:c r="I2110" s="27" t="str">
        <x:v>SRC19</x:v>
      </x:c>
      <x:c r="J2110" s="27" t="str">
        <x:v>Ordered spiral link; consult explicit prerequisites for logical dependency.</x:v>
      </x:c>
    </x:row>
    <x:row r="2111">
      <x:c r="A2111" s="27" t="str">
        <x:v>E02107</x:v>
      </x:c>
      <x:c r="B2111" s="27" t="str">
        <x:v>S20-LIFE-01:PREREQ</x:v>
      </x:c>
      <x:c r="C2111" s="27" t="str">
        <x:v>Grade 7 credit decisions, digital verification, and project evidence.</x:v>
      </x:c>
      <x:c r="D2111" s="27" t="str">
        <x:v>PREREQUISITE</x:v>
      </x:c>
      <x:c r="E2111" s="27" t="str">
        <x:v>S20-LIFE-01</x:v>
      </x:c>
      <x:c r="F2111" s="27" t="str">
        <x:v>Pathways, employability, banking, and fraud prevention</x:v>
      </x:c>
      <x:c r="G2111" s="27" t="str">
        <x:v>S20</x:v>
      </x:c>
      <x:c r="H2111" s="27" t="str">
        <x:v>Life, Finance &amp; Career</x:v>
      </x:c>
      <x:c r="I2111" s="27" t="str">
        <x:v>SRC19</x:v>
      </x:c>
      <x:c r="J2111" s="27" t="str">
        <x:v>Incoming prerequisite relationship.</x:v>
      </x:c>
    </x:row>
    <x:row r="2112">
      <x:c r="A2112" s="27" t="str">
        <x:v>E02108</x:v>
      </x:c>
      <x:c r="B2112" s="27" t="str">
        <x:v>S20-LIFE-01:GROUND</x:v>
      </x:c>
      <x:c r="C2112" s="27" t="str">
        <x:v>G5/G6 — Coordinated representations within an evidence-based formal system</x:v>
      </x:c>
      <x:c r="D2112" s="27" t="str">
        <x:v>GROUNDED_BY</x:v>
      </x:c>
      <x:c r="E2112" s="27" t="str">
        <x:v>S20-LIFE-01</x:v>
      </x:c>
      <x:c r="F2112" s="27" t="str">
        <x:v>Pathways, employability, banking, and fraud prevention</x:v>
      </x:c>
      <x:c r="G2112" s="27" t="str">
        <x:v>S20</x:v>
      </x:c>
      <x:c r="H2112" s="27" t="str">
        <x:v>Life, Finance &amp; Career</x:v>
      </x:c>
      <x:c r="I2112" s="27" t="str">
        <x:v>SRC19</x:v>
      </x:c>
      <x:c r="J2112" s="27" t="str">
        <x:v>Grounding form used to preserve meaning.</x:v>
      </x:c>
    </x:row>
    <x:row r="2113">
      <x:c r="A2113" s="27" t="str">
        <x:v>E02109</x:v>
      </x:c>
      <x:c r="B2113" s="27" t="str">
        <x:v>S20-LIFE-01</x:v>
      </x:c>
      <x:c r="C2113" s="27" t="str">
        <x:v>Pathways, employability, banking, and fraud prevention</x:v>
      </x:c>
      <x:c r="D2113" s="27" t="str">
        <x:v>CONNECTS_TO</x:v>
      </x:c>
      <x:c r="E2113" s="27" t="str">
        <x:v>S20-LIFE-01:CROSS</x:v>
      </x:c>
      <x:c r="F2113" s="27" t="str">
        <x:v>Mathematics/percent/growth; economics/civics; reading contracts/sources; computing/privacy; SEL, planning, and risk decisions.</x:v>
      </x:c>
      <x:c r="G2113" s="27" t="str">
        <x:v>S20</x:v>
      </x:c>
      <x:c r="H2113" s="27" t="str">
        <x:v>Life, Finance &amp; Career</x:v>
      </x:c>
      <x:c r="I2113" s="27" t="str">
        <x:v>SRC19</x:v>
      </x:c>
      <x:c r="J2113" s="27" t="str">
        <x:v>Parallel subject and representation links.</x:v>
      </x:c>
    </x:row>
    <x:row r="2114">
      <x:c r="A2114" s="27" t="str">
        <x:v>E02110</x:v>
      </x:c>
      <x:c r="B2114" s="27" t="str">
        <x:v>S20-LIFE-01</x:v>
      </x:c>
      <x:c r="C2114" s="27" t="str">
        <x:v>Pathways, employability, banking, and fraud prevention</x:v>
      </x:c>
      <x:c r="D2114" s="27" t="str">
        <x:v>UNLOCKS</x:v>
      </x:c>
      <x:c r="E2114" s="27" t="str">
        <x:v>S20-LIFE-01:NEXT</x:v>
      </x:c>
      <x:c r="F2114" s="27" t="str">
        <x:v>Integrated career and account skills prepare high-school planning and adult financial systems.</x:v>
      </x:c>
      <x:c r="G2114" s="27" t="str">
        <x:v>S20</x:v>
      </x:c>
      <x:c r="H2114" s="27" t="str">
        <x:v>Life, Finance &amp; Career</x:v>
      </x:c>
      <x:c r="I2114" s="27" t="str">
        <x:v>SRC19</x:v>
      </x:c>
      <x:c r="J2114" s="27" t="str">
        <x:v>Outgoing use and placement rationale.</x:v>
      </x:c>
    </x:row>
    <x:row r="2115">
      <x:c r="A2115" s="27" t="str">
        <x:v>E02111</x:v>
      </x:c>
      <x:c r="B2115" s="27" t="str">
        <x:v>S20-LIFE-01</x:v>
      </x:c>
      <x:c r="C2115" s="27" t="str">
        <x:v>Pathways, employability, banking, and fraud prevention</x:v>
      </x:c>
      <x:c r="D2115" s="27" t="str">
        <x:v>VERIFIED_BY</x:v>
      </x:c>
      <x:c r="E2115" s="27" t="str">
        <x:v>S20-LIFE-01:EVIDENCE</x:v>
      </x:c>
      <x:c r="F2115" s="27" t="str">
        <x:v>Produces a pathway plan/portfolio item and correctly resolves an account or fraud scenario.</x:v>
      </x:c>
      <x:c r="G2115" s="27" t="str">
        <x:v>S20</x:v>
      </x:c>
      <x:c r="H2115" s="27" t="str">
        <x:v>Life, Finance &amp; Career</x:v>
      </x:c>
      <x:c r="I2115" s="27" t="str">
        <x:v>SRC19</x:v>
      </x:c>
      <x:c r="J2115" s="27" t="str">
        <x:v>Observable evidence of usable learning.</x:v>
      </x:c>
    </x:row>
    <x:row r="2116">
      <x:c r="A2116" s="27" t="str">
        <x:v>E02112</x:v>
      </x:c>
      <x:c r="B2116" s="27" t="str">
        <x:v>S20-LEARN-01</x:v>
      </x:c>
      <x:c r="C2116" s="27" t="str">
        <x:v>Previous node in domain progression</x:v>
      </x:c>
      <x:c r="D2116" s="27" t="str">
        <x:v>DOMAIN_SEQUENCE</x:v>
      </x:c>
      <x:c r="E2116" s="27" t="str">
        <x:v>S21-LEARN-01</x:v>
      </x:c>
      <x:c r="F2116" s="27" t="str">
        <x:v>Exposure–recognition–recall–explanation–transfer</x:v>
      </x:c>
      <x:c r="G2116" s="27" t="str">
        <x:v>S21</x:v>
      </x:c>
      <x:c r="H2116" s="27" t="str">
        <x:v>Learning Foundations</x:v>
      </x:c>
      <x:c r="I2116" s="27" t="str">
        <x:v>SRC23; SRC29; SRC30; SRC34</x:v>
      </x:c>
      <x:c r="J2116" s="27" t="str">
        <x:v>Ordered spiral link; consult explicit prerequisites for logical dependency.</x:v>
      </x:c>
    </x:row>
    <x:row r="2117">
      <x:c r="A2117" s="27" t="str">
        <x:v>E02113</x:v>
      </x:c>
      <x:c r="B2117" s="27" t="str">
        <x:v>S21-LEARN-01:PREREQ</x:v>
      </x:c>
      <x:c r="C2117" s="27" t="str">
        <x:v>Grade 8 transfer testing, retrieval cycles, and metacognitive judgment.</x:v>
      </x:c>
      <x:c r="D2117" s="27" t="str">
        <x:v>PREREQUISITE</x:v>
      </x:c>
      <x:c r="E2117" s="27" t="str">
        <x:v>S21-LEARN-01</x:v>
      </x:c>
      <x:c r="F2117" s="27" t="str">
        <x:v>Exposure–recognition–recall–explanation–transfer</x:v>
      </x:c>
      <x:c r="G2117" s="27" t="str">
        <x:v>S21</x:v>
      </x:c>
      <x:c r="H2117" s="27" t="str">
        <x:v>Learning Foundations</x:v>
      </x:c>
      <x:c r="I2117" s="27" t="str">
        <x:v>SRC23; SRC29; SRC30; SRC34</x:v>
      </x:c>
      <x:c r="J2117" s="27" t="str">
        <x:v>Incoming prerequisite relationship.</x:v>
      </x:c>
    </x:row>
    <x:row r="2118">
      <x:c r="A2118" s="27" t="str">
        <x:v>E02114</x:v>
      </x:c>
      <x:c r="B2118" s="27" t="str">
        <x:v>S21-LEARN-01:GROUND</x:v>
      </x:c>
      <x:c r="C2118" s="27" t="str">
        <x:v>G6/G7 — Evidence-based formal system demonstrated through authentic transfer</x:v>
      </x:c>
      <x:c r="D2118" s="27" t="str">
        <x:v>GROUNDED_BY</x:v>
      </x:c>
      <x:c r="E2118" s="27" t="str">
        <x:v>S21-LEARN-01</x:v>
      </x:c>
      <x:c r="F2118" s="27" t="str">
        <x:v>Exposure–recognition–recall–explanation–transfer</x:v>
      </x:c>
      <x:c r="G2118" s="27" t="str">
        <x:v>S21</x:v>
      </x:c>
      <x:c r="H2118" s="27" t="str">
        <x:v>Learning Foundations</x:v>
      </x:c>
      <x:c r="I2118" s="27" t="str">
        <x:v>SRC23; SRC29; SRC30; SRC34</x:v>
      </x:c>
      <x:c r="J2118" s="27" t="str">
        <x:v>Grounding form used to preserve meaning.</x:v>
      </x:c>
    </x:row>
    <x:row r="2119">
      <x:c r="A2119" s="27" t="str">
        <x:v>E02115</x:v>
      </x:c>
      <x:c r="B2119" s="27" t="str">
        <x:v>S21-LEARN-01</x:v>
      </x:c>
      <x:c r="C2119" s="27" t="str">
        <x:v>Exposure–recognition–recall–explanation–transfer</x:v>
      </x:c>
      <x:c r="D2119" s="27" t="str">
        <x:v>CONNECTS_TO</x:v>
      </x:c>
      <x:c r="E2119" s="27" t="str">
        <x:v>S21-LEARN-01:CROSS</x:v>
      </x:c>
      <x:c r="F2119" s="27" t="str">
        <x:v>All domains: attention, memory, strategy choice, monitoring, retrieval, and transfer.</x:v>
      </x:c>
      <x:c r="G2119" s="27" t="str">
        <x:v>S21</x:v>
      </x:c>
      <x:c r="H2119" s="27" t="str">
        <x:v>Learning Foundations</x:v>
      </x:c>
      <x:c r="I2119" s="27" t="str">
        <x:v>SRC23; SRC29; SRC30; SRC34</x:v>
      </x:c>
      <x:c r="J2119" s="27" t="str">
        <x:v>Parallel subject and representation links.</x:v>
      </x:c>
    </x:row>
    <x:row r="2120">
      <x:c r="A2120" s="27" t="str">
        <x:v>E02116</x:v>
      </x:c>
      <x:c r="B2120" s="27" t="str">
        <x:v>S21-LEARN-01</x:v>
      </x:c>
      <x:c r="C2120" s="27" t="str">
        <x:v>Exposure–recognition–recall–explanation–transfer</x:v>
      </x:c>
      <x:c r="D2120" s="27" t="str">
        <x:v>UNLOCKS</x:v>
      </x:c>
      <x:c r="E2120" s="27" t="str">
        <x:v>S21-LEARN-01:NEXT</x:v>
      </x:c>
      <x:c r="F2120" s="27" t="str">
        <x:v>The progression aligns study technique with the actual performance goal.</x:v>
      </x:c>
      <x:c r="G2120" s="27" t="str">
        <x:v>S21</x:v>
      </x:c>
      <x:c r="H2120" s="27" t="str">
        <x:v>Learning Foundations</x:v>
      </x:c>
      <x:c r="I2120" s="27" t="str">
        <x:v>SRC23; SRC29; SRC30; SRC34</x:v>
      </x:c>
      <x:c r="J2120" s="27" t="str">
        <x:v>Outgoing use and placement rationale.</x:v>
      </x:c>
    </x:row>
    <x:row r="2121">
      <x:c r="A2121" s="27" t="str">
        <x:v>E02117</x:v>
      </x:c>
      <x:c r="B2121" s="27" t="str">
        <x:v>S21-LEARN-01</x:v>
      </x:c>
      <x:c r="C2121" s="27" t="str">
        <x:v>Exposure–recognition–recall–explanation–transfer</x:v>
      </x:c>
      <x:c r="D2121" s="27" t="str">
        <x:v>VERIFIED_BY</x:v>
      </x:c>
      <x:c r="E2121" s="27" t="str">
        <x:v>S21-LEARN-01:EVIDENCE</x:v>
      </x:c>
      <x:c r="F2121" s="27" t="str">
        <x:v>Classifies current performance, selects the next practice type, and demonstrates improvement after delay.</x:v>
      </x:c>
      <x:c r="G2121" s="27" t="str">
        <x:v>S21</x:v>
      </x:c>
      <x:c r="H2121" s="27" t="str">
        <x:v>Learning Foundations</x:v>
      </x:c>
      <x:c r="I2121" s="27" t="str">
        <x:v>SRC23; SRC29; SRC30; SRC34</x:v>
      </x:c>
      <x:c r="J2121" s="27" t="str">
        <x:v>Observable evidence of usable learning.</x:v>
      </x:c>
    </x:row>
    <x:row r="2122">
      <x:c r="A2122" s="27" t="str">
        <x:v>E02118</x:v>
      </x:c>
      <x:c r="B2122" s="27" t="str">
        <x:v>S20-SEL-01</x:v>
      </x:c>
      <x:c r="C2122" s="27" t="str">
        <x:v>Previous node in domain progression</x:v>
      </x:c>
      <x:c r="D2122" s="27" t="str">
        <x:v>DOMAIN_SEQUENCE</x:v>
      </x:c>
      <x:c r="E2122" s="27" t="str">
        <x:v>S21-SEL-01</x:v>
      </x:c>
      <x:c r="F2122" s="27" t="str">
        <x:v>Values-based goals and workload systems</x:v>
      </x:c>
      <x:c r="G2122" s="27" t="str">
        <x:v>S21</x:v>
      </x:c>
      <x:c r="H2122" s="27" t="str">
        <x:v>Social-Emotional</x:v>
      </x:c>
      <x:c r="I2122" s="27" t="str">
        <x:v>SRC05; SRC18</x:v>
      </x:c>
      <x:c r="J2122" s="27" t="str">
        <x:v>Ordered spiral link; consult explicit prerequisites for logical dependency.</x:v>
      </x:c>
    </x:row>
    <x:row r="2123">
      <x:c r="A2123" s="27" t="str">
        <x:v>E02119</x:v>
      </x:c>
      <x:c r="B2123" s="27" t="str">
        <x:v>S21-SEL-01:PREREQ</x:v>
      </x:c>
      <x:c r="C2123" s="27" t="str">
        <x:v>Grade 8 decision record and long-term project planning.</x:v>
      </x:c>
      <x:c r="D2123" s="27" t="str">
        <x:v>PREREQUISITE</x:v>
      </x:c>
      <x:c r="E2123" s="27" t="str">
        <x:v>S21-SEL-01</x:v>
      </x:c>
      <x:c r="F2123" s="27" t="str">
        <x:v>Values-based goals and workload systems</x:v>
      </x:c>
      <x:c r="G2123" s="27" t="str">
        <x:v>S21</x:v>
      </x:c>
      <x:c r="H2123" s="27" t="str">
        <x:v>Social-Emotional</x:v>
      </x:c>
      <x:c r="I2123" s="27" t="str">
        <x:v>SRC05; SRC18</x:v>
      </x:c>
      <x:c r="J2123" s="27" t="str">
        <x:v>Incoming prerequisite relationship.</x:v>
      </x:c>
    </x:row>
    <x:row r="2124">
      <x:c r="A2124" s="27" t="str">
        <x:v>E02120</x:v>
      </x:c>
      <x:c r="B2124" s="27" t="str">
        <x:v>S21-SEL-01:GROUND</x:v>
      </x:c>
      <x:c r="C2124" s="27" t="str">
        <x:v>G6/G7 — Evidence-based formal system demonstrated through authentic transfer</x:v>
      </x:c>
      <x:c r="D2124" s="27" t="str">
        <x:v>GROUNDED_BY</x:v>
      </x:c>
      <x:c r="E2124" s="27" t="str">
        <x:v>S21-SEL-01</x:v>
      </x:c>
      <x:c r="F2124" s="27" t="str">
        <x:v>Values-based goals and workload systems</x:v>
      </x:c>
      <x:c r="G2124" s="27" t="str">
        <x:v>S21</x:v>
      </x:c>
      <x:c r="H2124" s="27" t="str">
        <x:v>Social-Emotional</x:v>
      </x:c>
      <x:c r="I2124" s="27" t="str">
        <x:v>SRC05; SRC18</x:v>
      </x:c>
      <x:c r="J2124" s="27" t="str">
        <x:v>Grounding form used to preserve meaning.</x:v>
      </x:c>
    </x:row>
    <x:row r="2125">
      <x:c r="A2125" s="27" t="str">
        <x:v>E02121</x:v>
      </x:c>
      <x:c r="B2125" s="27" t="str">
        <x:v>S21-SEL-01</x:v>
      </x:c>
      <x:c r="C2125" s="27" t="str">
        <x:v>Values-based goals and workload systems</x:v>
      </x:c>
      <x:c r="D2125" s="27" t="str">
        <x:v>CONNECTS_TO</x:v>
      </x:c>
      <x:c r="E2125" s="27" t="str">
        <x:v>S21-SEL-01:CROSS</x:v>
      </x:c>
      <x:c r="F2125" s="27" t="str">
        <x:v>Language and communication; health; collaboration in science, arts, civics, and projects; responsible digital/financial decisions.</x:v>
      </x:c>
      <x:c r="G2125" s="27" t="str">
        <x:v>S21</x:v>
      </x:c>
      <x:c r="H2125" s="27" t="str">
        <x:v>Social-Emotional</x:v>
      </x:c>
      <x:c r="I2125" s="27" t="str">
        <x:v>SRC05; SRC18</x:v>
      </x:c>
      <x:c r="J2125" s="27" t="str">
        <x:v>Parallel subject and representation links.</x:v>
      </x:c>
    </x:row>
    <x:row r="2126">
      <x:c r="A2126" s="27" t="str">
        <x:v>E02122</x:v>
      </x:c>
      <x:c r="B2126" s="27" t="str">
        <x:v>S21-SEL-01</x:v>
      </x:c>
      <x:c r="C2126" s="27" t="str">
        <x:v>Values-based goals and workload systems</x:v>
      </x:c>
      <x:c r="D2126" s="27" t="str">
        <x:v>UNLOCKS</x:v>
      </x:c>
      <x:c r="E2126" s="27" t="str">
        <x:v>S21-SEL-01:NEXT</x:v>
      </x:c>
      <x:c r="F2126" s="27" t="str">
        <x:v>Workload systems support high-school independence and protect sustained motivation/well-being.</x:v>
      </x:c>
      <x:c r="G2126" s="27" t="str">
        <x:v>S21</x:v>
      </x:c>
      <x:c r="H2126" s="27" t="str">
        <x:v>Social-Emotional</x:v>
      </x:c>
      <x:c r="I2126" s="27" t="str">
        <x:v>SRC05; SRC18</x:v>
      </x:c>
      <x:c r="J2126" s="27" t="str">
        <x:v>Outgoing use and placement rationale.</x:v>
      </x:c>
    </x:row>
    <x:row r="2127">
      <x:c r="A2127" s="27" t="str">
        <x:v>E02123</x:v>
      </x:c>
      <x:c r="B2127" s="27" t="str">
        <x:v>S21-SEL-01</x:v>
      </x:c>
      <x:c r="C2127" s="27" t="str">
        <x:v>Values-based goals and workload systems</x:v>
      </x:c>
      <x:c r="D2127" s="27" t="str">
        <x:v>VERIFIED_BY</x:v>
      </x:c>
      <x:c r="E2127" s="27" t="str">
        <x:v>S21-SEL-01:EVIDENCE</x:v>
      </x:c>
      <x:c r="F2127" s="27" t="str">
        <x:v>Maintains a realistic schedule and documents a justified priority or support adjustment.</x:v>
      </x:c>
      <x:c r="G2127" s="27" t="str">
        <x:v>S21</x:v>
      </x:c>
      <x:c r="H2127" s="27" t="str">
        <x:v>Social-Emotional</x:v>
      </x:c>
      <x:c r="I2127" s="27" t="str">
        <x:v>SRC05; SRC18</x:v>
      </x:c>
      <x:c r="J2127" s="27" t="str">
        <x:v>Observable evidence of usable learning.</x:v>
      </x:c>
    </x:row>
    <x:row r="2128">
      <x:c r="A2128" s="27" t="str">
        <x:v>E02124</x:v>
      </x:c>
      <x:c r="B2128" s="27" t="str">
        <x:v>S20-READ-02</x:v>
      </x:c>
      <x:c r="C2128" s="27" t="str">
        <x:v>Previous node in domain progression</x:v>
      </x:c>
      <x:c r="D2128" s="27" t="str">
        <x:v>DOMAIN_SEQUENCE</x:v>
      </x:c>
      <x:c r="E2128" s="27" t="str">
        <x:v>S21-READ-01</x:v>
      </x:c>
      <x:c r="F2128" s="27" t="str">
        <x:v>Complex character, theme, and structure</x:v>
      </x:c>
      <x:c r="G2128" s="27" t="str">
        <x:v>S21</x:v>
      </x:c>
      <x:c r="H2128" s="27" t="str">
        <x:v>Reading</x:v>
      </x:c>
      <x:c r="I2128" s="27" t="str">
        <x:v>SRC10</x:v>
      </x:c>
      <x:c r="J2128" s="27" t="str">
        <x:v>Ordered spiral link; consult explicit prerequisites for logical dependency.</x:v>
      </x:c>
    </x:row>
    <x:row r="2129">
      <x:c r="A2129" s="27" t="str">
        <x:v>E02125</x:v>
      </x:c>
      <x:c r="B2129" s="27" t="str">
        <x:v>S21-READ-01:PREREQ</x:v>
      </x:c>
      <x:c r="C2129" s="27" t="str">
        <x:v>Grade 8 literary analysis and contextual knowledge.</x:v>
      </x:c>
      <x:c r="D2129" s="27" t="str">
        <x:v>PREREQUISITE</x:v>
      </x:c>
      <x:c r="E2129" s="27" t="str">
        <x:v>S21-READ-01</x:v>
      </x:c>
      <x:c r="F2129" s="27" t="str">
        <x:v>Complex character, theme, and structure</x:v>
      </x:c>
      <x:c r="G2129" s="27" t="str">
        <x:v>S21</x:v>
      </x:c>
      <x:c r="H2129" s="27" t="str">
        <x:v>Reading</x:v>
      </x:c>
      <x:c r="I2129" s="27" t="str">
        <x:v>SRC10</x:v>
      </x:c>
      <x:c r="J2129" s="27" t="str">
        <x:v>Incoming prerequisite relationship.</x:v>
      </x:c>
    </x:row>
    <x:row r="2130">
      <x:c r="A2130" s="27" t="str">
        <x:v>E02126</x:v>
      </x:c>
      <x:c r="B2130" s="27" t="str">
        <x:v>S21-READ-01:GROUND</x:v>
      </x:c>
      <x:c r="C2130" s="27" t="str">
        <x:v>G6/G7 — Evidence-based formal system demonstrated through authentic transfer</x:v>
      </x:c>
      <x:c r="D2130" s="27" t="str">
        <x:v>GROUNDED_BY</x:v>
      </x:c>
      <x:c r="E2130" s="27" t="str">
        <x:v>S21-READ-01</x:v>
      </x:c>
      <x:c r="F2130" s="27" t="str">
        <x:v>Complex character, theme, and structure</x:v>
      </x:c>
      <x:c r="G2130" s="27" t="str">
        <x:v>S21</x:v>
      </x:c>
      <x:c r="H2130" s="27" t="str">
        <x:v>Reading</x:v>
      </x:c>
      <x:c r="I2130" s="27" t="str">
        <x:v>SRC10</x:v>
      </x:c>
      <x:c r="J2130" s="27" t="str">
        <x:v>Grounding form used to preserve meaning.</x:v>
      </x:c>
    </x:row>
    <x:row r="2131">
      <x:c r="A2131" s="27" t="str">
        <x:v>E02127</x:v>
      </x:c>
      <x:c r="B2131" s="27" t="str">
        <x:v>S21-READ-01</x:v>
      </x:c>
      <x:c r="C2131" s="27" t="str">
        <x:v>Complex character, theme, and structure</x:v>
      </x:c>
      <x:c r="D2131" s="27" t="str">
        <x:v>CONNECTS_TO</x:v>
      </x:c>
      <x:c r="E2131" s="27" t="str">
        <x:v>S21-READ-01:CROSS</x:v>
      </x:c>
      <x:c r="F2131" s="27" t="str">
        <x:v>Oral language and writing; evidence in science/social studies; mathematical and technical problem interpretation; media verification.</x:v>
      </x:c>
      <x:c r="G2131" s="27" t="str">
        <x:v>S21</x:v>
      </x:c>
      <x:c r="H2131" s="27" t="str">
        <x:v>Reading</x:v>
      </x:c>
      <x:c r="I2131" s="27" t="str">
        <x:v>SRC10</x:v>
      </x:c>
      <x:c r="J2131" s="27" t="str">
        <x:v>Parallel subject and representation links.</x:v>
      </x:c>
    </x:row>
    <x:row r="2132">
      <x:c r="A2132" s="27" t="str">
        <x:v>E02128</x:v>
      </x:c>
      <x:c r="B2132" s="27" t="str">
        <x:v>S21-READ-01</x:v>
      </x:c>
      <x:c r="C2132" s="27" t="str">
        <x:v>Complex character, theme, and structure</x:v>
      </x:c>
      <x:c r="D2132" s="27" t="str">
        <x:v>UNLOCKS</x:v>
      </x:c>
      <x:c r="E2132" s="27" t="str">
        <x:v>S21-READ-01:NEXT</x:v>
      </x:c>
      <x:c r="F2132" s="27" t="str">
        <x:v>Complex interaction analysis prepares genre, archetype, and literary-criticism lenses.</x:v>
      </x:c>
      <x:c r="G2132" s="27" t="str">
        <x:v>S21</x:v>
      </x:c>
      <x:c r="H2132" s="27" t="str">
        <x:v>Reading</x:v>
      </x:c>
      <x:c r="I2132" s="27" t="str">
        <x:v>SRC10</x:v>
      </x:c>
      <x:c r="J2132" s="27" t="str">
        <x:v>Outgoing use and placement rationale.</x:v>
      </x:c>
    </x:row>
    <x:row r="2133">
      <x:c r="A2133" s="27" t="str">
        <x:v>E02129</x:v>
      </x:c>
      <x:c r="B2133" s="27" t="str">
        <x:v>S21-READ-01</x:v>
      </x:c>
      <x:c r="C2133" s="27" t="str">
        <x:v>Complex character, theme, and structure</x:v>
      </x:c>
      <x:c r="D2133" s="27" t="str">
        <x:v>VERIFIED_BY</x:v>
      </x:c>
      <x:c r="E2133" s="27" t="str">
        <x:v>S21-READ-01:EVIDENCE</x:v>
      </x:c>
      <x:c r="F2133" s="27" t="str">
        <x:v>Builds a thesis supported by a pattern of character/structure evidence.</x:v>
      </x:c>
      <x:c r="G2133" s="27" t="str">
        <x:v>S21</x:v>
      </x:c>
      <x:c r="H2133" s="27" t="str">
        <x:v>Reading</x:v>
      </x:c>
      <x:c r="I2133" s="27" t="str">
        <x:v>SRC10</x:v>
      </x:c>
      <x:c r="J2133" s="27" t="str">
        <x:v>Observable evidence of usable learning.</x:v>
      </x:c>
    </x:row>
    <x:row r="2134">
      <x:c r="A2134" s="27" t="str">
        <x:v>E02130</x:v>
      </x:c>
      <x:c r="B2134" s="27" t="str">
        <x:v>S21-READ-01</x:v>
      </x:c>
      <x:c r="C2134" s="27" t="str">
        <x:v>Previous node in domain progression</x:v>
      </x:c>
      <x:c r="D2134" s="27" t="str">
        <x:v>DOMAIN_SEQUENCE</x:v>
      </x:c>
      <x:c r="E2134" s="27" t="str">
        <x:v>S21-READ-02</x:v>
      </x:c>
      <x:c r="F2134" s="27" t="str">
        <x:v>Central claim, rhetoric, and evidence</x:v>
      </x:c>
      <x:c r="G2134" s="27" t="str">
        <x:v>S21</x:v>
      </x:c>
      <x:c r="H2134" s="27" t="str">
        <x:v>Reading</x:v>
      </x:c>
      <x:c r="I2134" s="27" t="str">
        <x:v>SRC10; SRC20</x:v>
      </x:c>
      <x:c r="J2134" s="27" t="str">
        <x:v>Ordered spiral link; consult explicit prerequisites for logical dependency.</x:v>
      </x:c>
    </x:row>
    <x:row r="2135">
      <x:c r="A2135" s="27" t="str">
        <x:v>E02131</x:v>
      </x:c>
      <x:c r="B2135" s="27" t="str">
        <x:v>S21-READ-02:PREREQ</x:v>
      </x:c>
      <x:c r="C2135" s="27" t="str">
        <x:v>Grade 8 argument validity, source disagreement, and media analysis.</x:v>
      </x:c>
      <x:c r="D2135" s="27" t="str">
        <x:v>PREREQUISITE</x:v>
      </x:c>
      <x:c r="E2135" s="27" t="str">
        <x:v>S21-READ-02</x:v>
      </x:c>
      <x:c r="F2135" s="27" t="str">
        <x:v>Central claim, rhetoric, and evidence</x:v>
      </x:c>
      <x:c r="G2135" s="27" t="str">
        <x:v>S21</x:v>
      </x:c>
      <x:c r="H2135" s="27" t="str">
        <x:v>Reading</x:v>
      </x:c>
      <x:c r="I2135" s="27" t="str">
        <x:v>SRC10; SRC20</x:v>
      </x:c>
      <x:c r="J2135" s="27" t="str">
        <x:v>Incoming prerequisite relationship.</x:v>
      </x:c>
    </x:row>
    <x:row r="2136">
      <x:c r="A2136" s="27" t="str">
        <x:v>E02132</x:v>
      </x:c>
      <x:c r="B2136" s="27" t="str">
        <x:v>S21-READ-02:GROUND</x:v>
      </x:c>
      <x:c r="C2136" s="27" t="str">
        <x:v>G6/G7 — Evidence-based formal system demonstrated through authentic transfer</x:v>
      </x:c>
      <x:c r="D2136" s="27" t="str">
        <x:v>GROUNDED_BY</x:v>
      </x:c>
      <x:c r="E2136" s="27" t="str">
        <x:v>S21-READ-02</x:v>
      </x:c>
      <x:c r="F2136" s="27" t="str">
        <x:v>Central claim, rhetoric, and evidence</x:v>
      </x:c>
      <x:c r="G2136" s="27" t="str">
        <x:v>S21</x:v>
      </x:c>
      <x:c r="H2136" s="27" t="str">
        <x:v>Reading</x:v>
      </x:c>
      <x:c r="I2136" s="27" t="str">
        <x:v>SRC10; SRC20</x:v>
      </x:c>
      <x:c r="J2136" s="27" t="str">
        <x:v>Grounding form used to preserve meaning.</x:v>
      </x:c>
    </x:row>
    <x:row r="2137">
      <x:c r="A2137" s="27" t="str">
        <x:v>E02133</x:v>
      </x:c>
      <x:c r="B2137" s="27" t="str">
        <x:v>S21-READ-02</x:v>
      </x:c>
      <x:c r="C2137" s="27" t="str">
        <x:v>Central claim, rhetoric, and evidence</x:v>
      </x:c>
      <x:c r="D2137" s="27" t="str">
        <x:v>CONNECTS_TO</x:v>
      </x:c>
      <x:c r="E2137" s="27" t="str">
        <x:v>S21-READ-02:CROSS</x:v>
      </x:c>
      <x:c r="F2137" s="27" t="str">
        <x:v>Oral language and writing; evidence in science/social studies; mathematical and technical problem interpretation; media verification.</x:v>
      </x:c>
      <x:c r="G2137" s="27" t="str">
        <x:v>S21</x:v>
      </x:c>
      <x:c r="H2137" s="27" t="str">
        <x:v>Reading</x:v>
      </x:c>
      <x:c r="I2137" s="27" t="str">
        <x:v>SRC10; SRC20</x:v>
      </x:c>
      <x:c r="J2137" s="27" t="str">
        <x:v>Parallel subject and representation links.</x:v>
      </x:c>
    </x:row>
    <x:row r="2138">
      <x:c r="A2138" s="27" t="str">
        <x:v>E02134</x:v>
      </x:c>
      <x:c r="B2138" s="27" t="str">
        <x:v>S21-READ-02</x:v>
      </x:c>
      <x:c r="C2138" s="27" t="str">
        <x:v>Central claim, rhetoric, and evidence</x:v>
      </x:c>
      <x:c r="D2138" s="27" t="str">
        <x:v>UNLOCKS</x:v>
      </x:c>
      <x:c r="E2138" s="27" t="str">
        <x:v>S21-READ-02:NEXT</x:v>
      </x:c>
      <x:c r="F2138" s="27" t="str">
        <x:v>Rhetorical analysis connects message design to credibility and audience effect.</x:v>
      </x:c>
      <x:c r="G2138" s="27" t="str">
        <x:v>S21</x:v>
      </x:c>
      <x:c r="H2138" s="27" t="str">
        <x:v>Reading</x:v>
      </x:c>
      <x:c r="I2138" s="27" t="str">
        <x:v>SRC10; SRC20</x:v>
      </x:c>
      <x:c r="J2138" s="27" t="str">
        <x:v>Outgoing use and placement rationale.</x:v>
      </x:c>
    </x:row>
    <x:row r="2139">
      <x:c r="A2139" s="27" t="str">
        <x:v>E02135</x:v>
      </x:c>
      <x:c r="B2139" s="27" t="str">
        <x:v>S21-READ-02</x:v>
      </x:c>
      <x:c r="C2139" s="27" t="str">
        <x:v>Central claim, rhetoric, and evidence</x:v>
      </x:c>
      <x:c r="D2139" s="27" t="str">
        <x:v>VERIFIED_BY</x:v>
      </x:c>
      <x:c r="E2139" s="27" t="str">
        <x:v>S21-READ-02:EVIDENCE</x:v>
      </x:c>
      <x:c r="F2139" s="27" t="str">
        <x:v>Evaluates an argument’s reasoning and at least two rhetorical choices using cited evidence.</x:v>
      </x:c>
      <x:c r="G2139" s="27" t="str">
        <x:v>S21</x:v>
      </x:c>
      <x:c r="H2139" s="27" t="str">
        <x:v>Reading</x:v>
      </x:c>
      <x:c r="I2139" s="27" t="str">
        <x:v>SRC10; SRC20</x:v>
      </x:c>
      <x:c r="J2139" s="27" t="str">
        <x:v>Observable evidence of usable learning.</x:v>
      </x:c>
    </x:row>
    <x:row r="2140">
      <x:c r="A2140" s="27" t="str">
        <x:v>E02136</x:v>
      </x:c>
      <x:c r="B2140" s="27" t="str">
        <x:v>S20-WRITE-03</x:v>
      </x:c>
      <x:c r="C2140" s="27" t="str">
        <x:v>Previous node in domain progression</x:v>
      </x:c>
      <x:c r="D2140" s="27" t="str">
        <x:v>DOMAIN_SEQUENCE</x:v>
      </x:c>
      <x:c r="E2140" s="27" t="str">
        <x:v>S21-WRITE-01</x:v>
      </x:c>
      <x:c r="F2140" s="27" t="str">
        <x:v>Thesis-driven analytical essay</x:v>
      </x:c>
      <x:c r="G2140" s="27" t="str">
        <x:v>S21</x:v>
      </x:c>
      <x:c r="H2140" s="27" t="str">
        <x:v>Writing &amp; Language</x:v>
      </x:c>
      <x:c r="I2140" s="27" t="str">
        <x:v>SRC10; SRC22</x:v>
      </x:c>
      <x:c r="J2140" s="27" t="str">
        <x:v>Ordered spiral link; consult explicit prerequisites for logical dependency.</x:v>
      </x:c>
    </x:row>
    <x:row r="2141">
      <x:c r="A2141" s="27" t="str">
        <x:v>E02137</x:v>
      </x:c>
      <x:c r="B2141" s="27" t="str">
        <x:v>S21-WRITE-01:PREREQ</x:v>
      </x:c>
      <x:c r="C2141" s="27" t="str">
        <x:v>Grade 8 analytical writing and evidence matrix.</x:v>
      </x:c>
      <x:c r="D2141" s="27" t="str">
        <x:v>PREREQUISITE</x:v>
      </x:c>
      <x:c r="E2141" s="27" t="str">
        <x:v>S21-WRITE-01</x:v>
      </x:c>
      <x:c r="F2141" s="27" t="str">
        <x:v>Thesis-driven analytical essay</x:v>
      </x:c>
      <x:c r="G2141" s="27" t="str">
        <x:v>S21</x:v>
      </x:c>
      <x:c r="H2141" s="27" t="str">
        <x:v>Writing &amp; Language</x:v>
      </x:c>
      <x:c r="I2141" s="27" t="str">
        <x:v>SRC10; SRC22</x:v>
      </x:c>
      <x:c r="J2141" s="27" t="str">
        <x:v>Incoming prerequisite relationship.</x:v>
      </x:c>
    </x:row>
    <x:row r="2142">
      <x:c r="A2142" s="27" t="str">
        <x:v>E02138</x:v>
      </x:c>
      <x:c r="B2142" s="27" t="str">
        <x:v>S21-WRITE-01:GROUND</x:v>
      </x:c>
      <x:c r="C2142" s="27" t="str">
        <x:v>G6/G7 — Evidence-based formal system demonstrated through authentic transfer</x:v>
      </x:c>
      <x:c r="D2142" s="27" t="str">
        <x:v>GROUNDED_BY</x:v>
      </x:c>
      <x:c r="E2142" s="27" t="str">
        <x:v>S21-WRITE-01</x:v>
      </x:c>
      <x:c r="F2142" s="27" t="str">
        <x:v>Thesis-driven analytical essay</x:v>
      </x:c>
      <x:c r="G2142" s="27" t="str">
        <x:v>S21</x:v>
      </x:c>
      <x:c r="H2142" s="27" t="str">
        <x:v>Writing &amp; Language</x:v>
      </x:c>
      <x:c r="I2142" s="27" t="str">
        <x:v>SRC10; SRC22</x:v>
      </x:c>
      <x:c r="J2142" s="27" t="str">
        <x:v>Grounding form used to preserve meaning.</x:v>
      </x:c>
    </x:row>
    <x:row r="2143">
      <x:c r="A2143" s="27" t="str">
        <x:v>E02139</x:v>
      </x:c>
      <x:c r="B2143" s="27" t="str">
        <x:v>S21-WRITE-01</x:v>
      </x:c>
      <x:c r="C2143" s="27" t="str">
        <x:v>Thesis-driven analytical essay</x:v>
      </x:c>
      <x:c r="D2143" s="27" t="str">
        <x:v>CONNECTS_TO</x:v>
      </x:c>
      <x:c r="E2143" s="27" t="str">
        <x:v>S21-WRITE-01:CROSS</x:v>
      </x:c>
      <x:c r="F2143" s="27" t="str">
        <x:v>Reading models; evidence from science/social studies; mathematical explanation; research, media, and presentation.</x:v>
      </x:c>
      <x:c r="G2143" s="27" t="str">
        <x:v>S21</x:v>
      </x:c>
      <x:c r="H2143" s="27" t="str">
        <x:v>Writing &amp; Language</x:v>
      </x:c>
      <x:c r="I2143" s="27" t="str">
        <x:v>SRC10; SRC22</x:v>
      </x:c>
      <x:c r="J2143" s="27" t="str">
        <x:v>Parallel subject and representation links.</x:v>
      </x:c>
    </x:row>
    <x:row r="2144">
      <x:c r="A2144" s="27" t="str">
        <x:v>E02140</x:v>
      </x:c>
      <x:c r="B2144" s="27" t="str">
        <x:v>S21-WRITE-01</x:v>
      </x:c>
      <x:c r="C2144" s="27" t="str">
        <x:v>Thesis-driven analytical essay</x:v>
      </x:c>
      <x:c r="D2144" s="27" t="str">
        <x:v>UNLOCKS</x:v>
      </x:c>
      <x:c r="E2144" s="27" t="str">
        <x:v>S21-WRITE-01:NEXT</x:v>
      </x:c>
      <x:c r="F2144" s="27" t="str">
        <x:v>Sustained analysis is the common writing architecture across high-school disciplines.</x:v>
      </x:c>
      <x:c r="G2144" s="27" t="str">
        <x:v>S21</x:v>
      </x:c>
      <x:c r="H2144" s="27" t="str">
        <x:v>Writing &amp; Language</x:v>
      </x:c>
      <x:c r="I2144" s="27" t="str">
        <x:v>SRC10; SRC22</x:v>
      </x:c>
      <x:c r="J2144" s="27" t="str">
        <x:v>Outgoing use and placement rationale.</x:v>
      </x:c>
    </x:row>
    <x:row r="2145">
      <x:c r="A2145" s="27" t="str">
        <x:v>E02141</x:v>
      </x:c>
      <x:c r="B2145" s="27" t="str">
        <x:v>S21-WRITE-01</x:v>
      </x:c>
      <x:c r="C2145" s="27" t="str">
        <x:v>Thesis-driven analytical essay</x:v>
      </x:c>
      <x:c r="D2145" s="27" t="str">
        <x:v>VERIFIED_BY</x:v>
      </x:c>
      <x:c r="E2145" s="27" t="str">
        <x:v>S21-WRITE-01:EVIDENCE</x:v>
      </x:c>
      <x:c r="F2145" s="27" t="str">
        <x:v>Produces a polished essay with traceable evidence, explicit reasoning, and purposeful organization.</x:v>
      </x:c>
      <x:c r="G2145" s="27" t="str">
        <x:v>S21</x:v>
      </x:c>
      <x:c r="H2145" s="27" t="str">
        <x:v>Writing &amp; Language</x:v>
      </x:c>
      <x:c r="I2145" s="27" t="str">
        <x:v>SRC10; SRC22</x:v>
      </x:c>
      <x:c r="J2145" s="27" t="str">
        <x:v>Observable evidence of usable learning.</x:v>
      </x:c>
    </x:row>
    <x:row r="2146">
      <x:c r="A2146" s="27" t="str">
        <x:v>E02142</x:v>
      </x:c>
      <x:c r="B2146" s="27" t="str">
        <x:v>S21-WRITE-01</x:v>
      </x:c>
      <x:c r="C2146" s="27" t="str">
        <x:v>Previous node in domain progression</x:v>
      </x:c>
      <x:c r="D2146" s="27" t="str">
        <x:v>DOMAIN_SEQUENCE</x:v>
      </x:c>
      <x:c r="E2146" s="27" t="str">
        <x:v>S21-WRITE-02</x:v>
      </x:c>
      <x:c r="F2146" s="27" t="str">
        <x:v>Focused inquiry and source conversation</x:v>
      </x:c>
      <x:c r="G2146" s="27" t="str">
        <x:v>S21</x:v>
      </x:c>
      <x:c r="H2146" s="27" t="str">
        <x:v>Writing &amp; Language</x:v>
      </x:c>
      <x:c r="I2146" s="27" t="str">
        <x:v>SRC10; SRC22</x:v>
      </x:c>
      <x:c r="J2146" s="27" t="str">
        <x:v>Ordered spiral link; consult explicit prerequisites for logical dependency.</x:v>
      </x:c>
    </x:row>
    <x:row r="2147">
      <x:c r="A2147" s="27" t="str">
        <x:v>E02143</x:v>
      </x:c>
      <x:c r="B2147" s="27" t="str">
        <x:v>S21-WRITE-02:PREREQ</x:v>
      </x:c>
      <x:c r="C2147" s="27" t="str">
        <x:v>Grade 8 inquiry design, source evaluation, and analytical composition.</x:v>
      </x:c>
      <x:c r="D2147" s="27" t="str">
        <x:v>PREREQUISITE</x:v>
      </x:c>
      <x:c r="E2147" s="27" t="str">
        <x:v>S21-WRITE-02</x:v>
      </x:c>
      <x:c r="F2147" s="27" t="str">
        <x:v>Focused inquiry and source conversation</x:v>
      </x:c>
      <x:c r="G2147" s="27" t="str">
        <x:v>S21</x:v>
      </x:c>
      <x:c r="H2147" s="27" t="str">
        <x:v>Writing &amp; Language</x:v>
      </x:c>
      <x:c r="I2147" s="27" t="str">
        <x:v>SRC10; SRC22</x:v>
      </x:c>
      <x:c r="J2147" s="27" t="str">
        <x:v>Incoming prerequisite relationship.</x:v>
      </x:c>
    </x:row>
    <x:row r="2148">
      <x:c r="A2148" s="27" t="str">
        <x:v>E02144</x:v>
      </x:c>
      <x:c r="B2148" s="27" t="str">
        <x:v>S21-WRITE-02:GROUND</x:v>
      </x:c>
      <x:c r="C2148" s="27" t="str">
        <x:v>G6/G7 — Evidence-based formal system demonstrated through authentic transfer</x:v>
      </x:c>
      <x:c r="D2148" s="27" t="str">
        <x:v>GROUNDED_BY</x:v>
      </x:c>
      <x:c r="E2148" s="27" t="str">
        <x:v>S21-WRITE-02</x:v>
      </x:c>
      <x:c r="F2148" s="27" t="str">
        <x:v>Focused inquiry and source conversation</x:v>
      </x:c>
      <x:c r="G2148" s="27" t="str">
        <x:v>S21</x:v>
      </x:c>
      <x:c r="H2148" s="27" t="str">
        <x:v>Writing &amp; Language</x:v>
      </x:c>
      <x:c r="I2148" s="27" t="str">
        <x:v>SRC10; SRC22</x:v>
      </x:c>
      <x:c r="J2148" s="27" t="str">
        <x:v>Grounding form used to preserve meaning.</x:v>
      </x:c>
    </x:row>
    <x:row r="2149">
      <x:c r="A2149" s="27" t="str">
        <x:v>E02145</x:v>
      </x:c>
      <x:c r="B2149" s="27" t="str">
        <x:v>S21-WRITE-02</x:v>
      </x:c>
      <x:c r="C2149" s="27" t="str">
        <x:v>Focused inquiry and source conversation</x:v>
      </x:c>
      <x:c r="D2149" s="27" t="str">
        <x:v>CONNECTS_TO</x:v>
      </x:c>
      <x:c r="E2149" s="27" t="str">
        <x:v>S21-WRITE-02:CROSS</x:v>
      </x:c>
      <x:c r="F2149" s="27" t="str">
        <x:v>Reading models; evidence from science/social studies; mathematical explanation; research, media, and presentation.</x:v>
      </x:c>
      <x:c r="G2149" s="27" t="str">
        <x:v>S21</x:v>
      </x:c>
      <x:c r="H2149" s="27" t="str">
        <x:v>Writing &amp; Language</x:v>
      </x:c>
      <x:c r="I2149" s="27" t="str">
        <x:v>SRC10; SRC22</x:v>
      </x:c>
      <x:c r="J2149" s="27" t="str">
        <x:v>Parallel subject and representation links.</x:v>
      </x:c>
    </x:row>
    <x:row r="2150">
      <x:c r="A2150" s="27" t="str">
        <x:v>E02146</x:v>
      </x:c>
      <x:c r="B2150" s="27" t="str">
        <x:v>S21-WRITE-02</x:v>
      </x:c>
      <x:c r="C2150" s="27" t="str">
        <x:v>Focused inquiry and source conversation</x:v>
      </x:c>
      <x:c r="D2150" s="27" t="str">
        <x:v>UNLOCKS</x:v>
      </x:c>
      <x:c r="E2150" s="27" t="str">
        <x:v>S21-WRITE-02:NEXT</x:v>
      </x:c>
      <x:c r="F2150" s="27" t="str">
        <x:v>Treating sources as a conversation supports original synthesis rather than report-by-source writing.</x:v>
      </x:c>
      <x:c r="G2150" s="27" t="str">
        <x:v>S21</x:v>
      </x:c>
      <x:c r="H2150" s="27" t="str">
        <x:v>Writing &amp; Language</x:v>
      </x:c>
      <x:c r="I2150" s="27" t="str">
        <x:v>SRC10; SRC22</x:v>
      </x:c>
      <x:c r="J2150" s="27" t="str">
        <x:v>Outgoing use and placement rationale.</x:v>
      </x:c>
    </x:row>
    <x:row r="2151">
      <x:c r="A2151" s="27" t="str">
        <x:v>E02147</x:v>
      </x:c>
      <x:c r="B2151" s="27" t="str">
        <x:v>S21-WRITE-02</x:v>
      </x:c>
      <x:c r="C2151" s="27" t="str">
        <x:v>Focused inquiry and source conversation</x:v>
      </x:c>
      <x:c r="D2151" s="27" t="str">
        <x:v>VERIFIED_BY</x:v>
      </x:c>
      <x:c r="E2151" s="27" t="str">
        <x:v>S21-WRITE-02:EVIDENCE</x:v>
      </x:c>
      <x:c r="F2151" s="27" t="str">
        <x:v>Creates a synthesis matrix and a paper whose claims reflect relationships among sources.</x:v>
      </x:c>
      <x:c r="G2151" s="27" t="str">
        <x:v>S21</x:v>
      </x:c>
      <x:c r="H2151" s="27" t="str">
        <x:v>Writing &amp; Language</x:v>
      </x:c>
      <x:c r="I2151" s="27" t="str">
        <x:v>SRC10; SRC22</x:v>
      </x:c>
      <x:c r="J2151" s="27" t="str">
        <x:v>Observable evidence of usable learning.</x:v>
      </x:c>
    </x:row>
    <x:row r="2152">
      <x:c r="A2152" s="27" t="str">
        <x:v>E02148</x:v>
      </x:c>
      <x:c r="B2152" s="27" t="str">
        <x:v>S20-MATH-06</x:v>
      </x:c>
      <x:c r="C2152" s="27" t="str">
        <x:v>Previous node in domain progression</x:v>
      </x:c>
      <x:c r="D2152" s="27" t="str">
        <x:v>DOMAIN_SEQUENCE</x:v>
      </x:c>
      <x:c r="E2152" s="27" t="str">
        <x:v>S21-MATH-01</x:v>
      </x:c>
      <x:c r="F2152" s="27" t="str">
        <x:v>Real numbers, units, and algebraic structure</x:v>
      </x:c>
      <x:c r="G2152" s="27" t="str">
        <x:v>S21</x:v>
      </x:c>
      <x:c r="H2152" s="27" t="str">
        <x:v>Mathematics</x:v>
      </x:c>
      <x:c r="I2152" s="27" t="str">
        <x:v>SRC09</x:v>
      </x:c>
      <x:c r="J2152" s="27" t="str">
        <x:v>Ordered spiral link; consult explicit prerequisites for logical dependency.</x:v>
      </x:c>
    </x:row>
    <x:row r="2153">
      <x:c r="A2153" s="27" t="str">
        <x:v>E02149</x:v>
      </x:c>
      <x:c r="B2153" s="27" t="str">
        <x:v>S21-MATH-01:PREREQ</x:v>
      </x:c>
      <x:c r="C2153" s="27" t="str">
        <x:v>Grade 8 real numbers/exponents, rational operations, and expression equivalence.</x:v>
      </x:c>
      <x:c r="D2153" s="27" t="str">
        <x:v>PREREQUISITE</x:v>
      </x:c>
      <x:c r="E2153" s="27" t="str">
        <x:v>S21-MATH-01</x:v>
      </x:c>
      <x:c r="F2153" s="27" t="str">
        <x:v>Real numbers, units, and algebraic structure</x:v>
      </x:c>
      <x:c r="G2153" s="27" t="str">
        <x:v>S21</x:v>
      </x:c>
      <x:c r="H2153" s="27" t="str">
        <x:v>Mathematics</x:v>
      </x:c>
      <x:c r="I2153" s="27" t="str">
        <x:v>SRC09</x:v>
      </x:c>
      <x:c r="J2153" s="27" t="str">
        <x:v>Incoming prerequisite relationship.</x:v>
      </x:c>
    </x:row>
    <x:row r="2154">
      <x:c r="A2154" s="27" t="str">
        <x:v>E02150</x:v>
      </x:c>
      <x:c r="B2154" s="27" t="str">
        <x:v>S21-MATH-01:GROUND</x:v>
      </x:c>
      <x:c r="C2154" s="27" t="str">
        <x:v>G6/G7 — Evidence-based formal system demonstrated through authentic transfer</x:v>
      </x:c>
      <x:c r="D2154" s="27" t="str">
        <x:v>GROUNDED_BY</x:v>
      </x:c>
      <x:c r="E2154" s="27" t="str">
        <x:v>S21-MATH-01</x:v>
      </x:c>
      <x:c r="F2154" s="27" t="str">
        <x:v>Real numbers, units, and algebraic structure</x:v>
      </x:c>
      <x:c r="G2154" s="27" t="str">
        <x:v>S21</x:v>
      </x:c>
      <x:c r="H2154" s="27" t="str">
        <x:v>Mathematics</x:v>
      </x:c>
      <x:c r="I2154" s="27" t="str">
        <x:v>SRC09</x:v>
      </x:c>
      <x:c r="J2154" s="27" t="str">
        <x:v>Grounding form used to preserve meaning.</x:v>
      </x:c>
    </x:row>
    <x:row r="2155">
      <x:c r="A2155" s="27" t="str">
        <x:v>E02151</x:v>
      </x:c>
      <x:c r="B2155" s="27" t="str">
        <x:v>S21-MATH-01</x:v>
      </x:c>
      <x:c r="C2155" s="27" t="str">
        <x:v>Real numbers, units, and algebraic structure</x:v>
      </x:c>
      <x:c r="D2155" s="27" t="str">
        <x:v>CONNECTS_TO</x:v>
      </x:c>
      <x:c r="E2155" s="27" t="str">
        <x:v>S21-MATH-01:CROSS</x:v>
      </x:c>
      <x:c r="F2155" s="27" t="str">
        <x:v>Physical quantity and spatial action; science measurement/models; computing/algorithms; finance; music rhythm/pattern; geographic data.</x:v>
      </x:c>
      <x:c r="G2155" s="27" t="str">
        <x:v>S21</x:v>
      </x:c>
      <x:c r="H2155" s="27" t="str">
        <x:v>Mathematics</x:v>
      </x:c>
      <x:c r="I2155" s="27" t="str">
        <x:v>SRC09</x:v>
      </x:c>
      <x:c r="J2155" s="27" t="str">
        <x:v>Parallel subject and representation links.</x:v>
      </x:c>
    </x:row>
    <x:row r="2156">
      <x:c r="A2156" s="27" t="str">
        <x:v>E02152</x:v>
      </x:c>
      <x:c r="B2156" s="27" t="str">
        <x:v>S21-MATH-01</x:v>
      </x:c>
      <x:c r="C2156" s="27" t="str">
        <x:v>Real numbers, units, and algebraic structure</x:v>
      </x:c>
      <x:c r="D2156" s="27" t="str">
        <x:v>UNLOCKS</x:v>
      </x:c>
      <x:c r="E2156" s="27" t="str">
        <x:v>S21-MATH-01:NEXT</x:v>
      </x:c>
      <x:c r="F2156" s="27" t="str">
        <x:v>Structure-aware manipulation underlies every Algebra I function and equation.</x:v>
      </x:c>
      <x:c r="G2156" s="27" t="str">
        <x:v>S21</x:v>
      </x:c>
      <x:c r="H2156" s="27" t="str">
        <x:v>Mathematics</x:v>
      </x:c>
      <x:c r="I2156" s="27" t="str">
        <x:v>SRC09</x:v>
      </x:c>
      <x:c r="J2156" s="27" t="str">
        <x:v>Outgoing use and placement rationale.</x:v>
      </x:c>
    </x:row>
    <x:row r="2157">
      <x:c r="A2157" s="27" t="str">
        <x:v>E02153</x:v>
      </x:c>
      <x:c r="B2157" s="27" t="str">
        <x:v>S21-MATH-01</x:v>
      </x:c>
      <x:c r="C2157" s="27" t="str">
        <x:v>Real numbers, units, and algebraic structure</x:v>
      </x:c>
      <x:c r="D2157" s="27" t="str">
        <x:v>VERIFIED_BY</x:v>
      </x:c>
      <x:c r="E2157" s="27" t="str">
        <x:v>S21-MATH-01:EVIDENCE</x:v>
      </x:c>
      <x:c r="F2157" s="27" t="str">
        <x:v>Rewrites an expression/formula and explains why equivalence and units are preserved.</x:v>
      </x:c>
      <x:c r="G2157" s="27" t="str">
        <x:v>S21</x:v>
      </x:c>
      <x:c r="H2157" s="27" t="str">
        <x:v>Mathematics</x:v>
      </x:c>
      <x:c r="I2157" s="27" t="str">
        <x:v>SRC09</x:v>
      </x:c>
      <x:c r="J2157" s="27" t="str">
        <x:v>Observable evidence of usable learning.</x:v>
      </x:c>
    </x:row>
    <x:row r="2158">
      <x:c r="A2158" s="27" t="str">
        <x:v>E02154</x:v>
      </x:c>
      <x:c r="B2158" s="27" t="str">
        <x:v>S21-MATH-01</x:v>
      </x:c>
      <x:c r="C2158" s="27" t="str">
        <x:v>Previous node in domain progression</x:v>
      </x:c>
      <x:c r="D2158" s="27" t="str">
        <x:v>DOMAIN_SEQUENCE</x:v>
      </x:c>
      <x:c r="E2158" s="27" t="str">
        <x:v>S21-MATH-02</x:v>
      </x:c>
      <x:c r="F2158" s="27" t="str">
        <x:v>Linear equations and inequalities</x:v>
      </x:c>
      <x:c r="G2158" s="27" t="str">
        <x:v>S21</x:v>
      </x:c>
      <x:c r="H2158" s="27" t="str">
        <x:v>Mathematics</x:v>
      </x:c>
      <x:c r="I2158" s="27" t="str">
        <x:v>SRC09</x:v>
      </x:c>
      <x:c r="J2158" s="27" t="str">
        <x:v>Ordered spiral link; consult explicit prerequisites for logical dependency.</x:v>
      </x:c>
    </x:row>
    <x:row r="2159">
      <x:c r="A2159" s="27" t="str">
        <x:v>E02155</x:v>
      </x:c>
      <x:c r="B2159" s="27" t="str">
        <x:v>S21-MATH-02:PREREQ</x:v>
      </x:c>
      <x:c r="C2159" s="27" t="str">
        <x:v>Grade 8 multi-step equations, rational arithmetic, and absolute value.</x:v>
      </x:c>
      <x:c r="D2159" s="27" t="str">
        <x:v>PREREQUISITE</x:v>
      </x:c>
      <x:c r="E2159" s="27" t="str">
        <x:v>S21-MATH-02</x:v>
      </x:c>
      <x:c r="F2159" s="27" t="str">
        <x:v>Linear equations and inequalities</x:v>
      </x:c>
      <x:c r="G2159" s="27" t="str">
        <x:v>S21</x:v>
      </x:c>
      <x:c r="H2159" s="27" t="str">
        <x:v>Mathematics</x:v>
      </x:c>
      <x:c r="I2159" s="27" t="str">
        <x:v>SRC09</x:v>
      </x:c>
      <x:c r="J2159" s="27" t="str">
        <x:v>Incoming prerequisite relationship.</x:v>
      </x:c>
    </x:row>
    <x:row r="2160">
      <x:c r="A2160" s="27" t="str">
        <x:v>E02156</x:v>
      </x:c>
      <x:c r="B2160" s="27" t="str">
        <x:v>S21-MATH-02:GROUND</x:v>
      </x:c>
      <x:c r="C2160" s="27" t="str">
        <x:v>G6/G7 — Evidence-based formal system demonstrated through authentic transfer</x:v>
      </x:c>
      <x:c r="D2160" s="27" t="str">
        <x:v>GROUNDED_BY</x:v>
      </x:c>
      <x:c r="E2160" s="27" t="str">
        <x:v>S21-MATH-02</x:v>
      </x:c>
      <x:c r="F2160" s="27" t="str">
        <x:v>Linear equations and inequalities</x:v>
      </x:c>
      <x:c r="G2160" s="27" t="str">
        <x:v>S21</x:v>
      </x:c>
      <x:c r="H2160" s="27" t="str">
        <x:v>Mathematics</x:v>
      </x:c>
      <x:c r="I2160" s="27" t="str">
        <x:v>SRC09</x:v>
      </x:c>
      <x:c r="J2160" s="27" t="str">
        <x:v>Grounding form used to preserve meaning.</x:v>
      </x:c>
    </x:row>
    <x:row r="2161">
      <x:c r="A2161" s="27" t="str">
        <x:v>E02157</x:v>
      </x:c>
      <x:c r="B2161" s="27" t="str">
        <x:v>S21-MATH-02</x:v>
      </x:c>
      <x:c r="C2161" s="27" t="str">
        <x:v>Linear equations and inequalities</x:v>
      </x:c>
      <x:c r="D2161" s="27" t="str">
        <x:v>CONNECTS_TO</x:v>
      </x:c>
      <x:c r="E2161" s="27" t="str">
        <x:v>S21-MATH-02:CROSS</x:v>
      </x:c>
      <x:c r="F2161" s="27" t="str">
        <x:v>Physical quantity and spatial action; science measurement/models; computing/algorithms; finance; music rhythm/pattern; geographic data.</x:v>
      </x:c>
      <x:c r="G2161" s="27" t="str">
        <x:v>S21</x:v>
      </x:c>
      <x:c r="H2161" s="27" t="str">
        <x:v>Mathematics</x:v>
      </x:c>
      <x:c r="I2161" s="27" t="str">
        <x:v>SRC09</x:v>
      </x:c>
      <x:c r="J2161" s="27" t="str">
        <x:v>Parallel subject and representation links.</x:v>
      </x:c>
    </x:row>
    <x:row r="2162">
      <x:c r="A2162" s="27" t="str">
        <x:v>E02158</x:v>
      </x:c>
      <x:c r="B2162" s="27" t="str">
        <x:v>S21-MATH-02</x:v>
      </x:c>
      <x:c r="C2162" s="27" t="str">
        <x:v>Linear equations and inequalities</x:v>
      </x:c>
      <x:c r="D2162" s="27" t="str">
        <x:v>UNLOCKS</x:v>
      </x:c>
      <x:c r="E2162" s="27" t="str">
        <x:v>S21-MATH-02:NEXT</x:v>
      </x:c>
      <x:c r="F2162" s="27" t="str">
        <x:v>These tools isolate unknowns and represent constraints in all later mathematics/science.</x:v>
      </x:c>
      <x:c r="G2162" s="27" t="str">
        <x:v>S21</x:v>
      </x:c>
      <x:c r="H2162" s="27" t="str">
        <x:v>Mathematics</x:v>
      </x:c>
      <x:c r="I2162" s="27" t="str">
        <x:v>SRC09</x:v>
      </x:c>
      <x:c r="J2162" s="27" t="str">
        <x:v>Outgoing use and placement rationale.</x:v>
      </x:c>
    </x:row>
    <x:row r="2163">
      <x:c r="A2163" s="27" t="str">
        <x:v>E02159</x:v>
      </x:c>
      <x:c r="B2163" s="27" t="str">
        <x:v>S21-MATH-02</x:v>
      </x:c>
      <x:c r="C2163" s="27" t="str">
        <x:v>Linear equations and inequalities</x:v>
      </x:c>
      <x:c r="D2163" s="27" t="str">
        <x:v>VERIFIED_BY</x:v>
      </x:c>
      <x:c r="E2163" s="27" t="str">
        <x:v>S21-MATH-02:EVIDENCE</x:v>
      </x:c>
      <x:c r="F2163" s="27" t="str">
        <x:v>Solves, verifies, and interprets a solution or solution set in context.</x:v>
      </x:c>
      <x:c r="G2163" s="27" t="str">
        <x:v>S21</x:v>
      </x:c>
      <x:c r="H2163" s="27" t="str">
        <x:v>Mathematics</x:v>
      </x:c>
      <x:c r="I2163" s="27" t="str">
        <x:v>SRC09</x:v>
      </x:c>
      <x:c r="J2163" s="27" t="str">
        <x:v>Observable evidence of usable learning.</x:v>
      </x:c>
    </x:row>
    <x:row r="2164">
      <x:c r="A2164" s="27" t="str">
        <x:v>E02160</x:v>
      </x:c>
      <x:c r="B2164" s="27" t="str">
        <x:v>S21-MATH-02</x:v>
      </x:c>
      <x:c r="C2164" s="27" t="str">
        <x:v>Previous node in domain progression</x:v>
      </x:c>
      <x:c r="D2164" s="27" t="str">
        <x:v>DOMAIN_SEQUENCE</x:v>
      </x:c>
      <x:c r="E2164" s="27" t="str">
        <x:v>S21-MATH-03</x:v>
      </x:c>
      <x:c r="F2164" s="27" t="str">
        <x:v>Function notation, domain, range, and representations</x:v>
      </x:c>
      <x:c r="G2164" s="27" t="str">
        <x:v>S21</x:v>
      </x:c>
      <x:c r="H2164" s="27" t="str">
        <x:v>Mathematics</x:v>
      </x:c>
      <x:c r="I2164" s="27" t="str">
        <x:v>SRC09</x:v>
      </x:c>
      <x:c r="J2164" s="27" t="str">
        <x:v>Ordered spiral link; consult explicit prerequisites for logical dependency.</x:v>
      </x:c>
    </x:row>
    <x:row r="2165">
      <x:c r="A2165" s="27" t="str">
        <x:v>E02161</x:v>
      </x:c>
      <x:c r="B2165" s="27" t="str">
        <x:v>S21-MATH-03:PREREQ</x:v>
      </x:c>
      <x:c r="C2165" s="27" t="str">
        <x:v>Grade 8 function concept and representation mapping.</x:v>
      </x:c>
      <x:c r="D2165" s="27" t="str">
        <x:v>PREREQUISITE</x:v>
      </x:c>
      <x:c r="E2165" s="27" t="str">
        <x:v>S21-MATH-03</x:v>
      </x:c>
      <x:c r="F2165" s="27" t="str">
        <x:v>Function notation, domain, range, and representations</x:v>
      </x:c>
      <x:c r="G2165" s="27" t="str">
        <x:v>S21</x:v>
      </x:c>
      <x:c r="H2165" s="27" t="str">
        <x:v>Mathematics</x:v>
      </x:c>
      <x:c r="I2165" s="27" t="str">
        <x:v>SRC09</x:v>
      </x:c>
      <x:c r="J2165" s="27" t="str">
        <x:v>Incoming prerequisite relationship.</x:v>
      </x:c>
    </x:row>
    <x:row r="2166">
      <x:c r="A2166" s="27" t="str">
        <x:v>E02162</x:v>
      </x:c>
      <x:c r="B2166" s="27" t="str">
        <x:v>S21-MATH-03:GROUND</x:v>
      </x:c>
      <x:c r="C2166" s="27" t="str">
        <x:v>G6/G7 — Evidence-based formal system demonstrated through authentic transfer</x:v>
      </x:c>
      <x:c r="D2166" s="27" t="str">
        <x:v>GROUNDED_BY</x:v>
      </x:c>
      <x:c r="E2166" s="27" t="str">
        <x:v>S21-MATH-03</x:v>
      </x:c>
      <x:c r="F2166" s="27" t="str">
        <x:v>Function notation, domain, range, and representations</x:v>
      </x:c>
      <x:c r="G2166" s="27" t="str">
        <x:v>S21</x:v>
      </x:c>
      <x:c r="H2166" s="27" t="str">
        <x:v>Mathematics</x:v>
      </x:c>
      <x:c r="I2166" s="27" t="str">
        <x:v>SRC09</x:v>
      </x:c>
      <x:c r="J2166" s="27" t="str">
        <x:v>Grounding form used to preserve meaning.</x:v>
      </x:c>
    </x:row>
    <x:row r="2167">
      <x:c r="A2167" s="27" t="str">
        <x:v>E02163</x:v>
      </x:c>
      <x:c r="B2167" s="27" t="str">
        <x:v>S21-MATH-03</x:v>
      </x:c>
      <x:c r="C2167" s="27" t="str">
        <x:v>Function notation, domain, range, and representations</x:v>
      </x:c>
      <x:c r="D2167" s="27" t="str">
        <x:v>CONNECTS_TO</x:v>
      </x:c>
      <x:c r="E2167" s="27" t="str">
        <x:v>S21-MATH-03:CROSS</x:v>
      </x:c>
      <x:c r="F2167" s="27" t="str">
        <x:v>Physical quantity and spatial action; science measurement/models; computing/algorithms; finance; music rhythm/pattern; geographic data.</x:v>
      </x:c>
      <x:c r="G2167" s="27" t="str">
        <x:v>S21</x:v>
      </x:c>
      <x:c r="H2167" s="27" t="str">
        <x:v>Mathematics</x:v>
      </x:c>
      <x:c r="I2167" s="27" t="str">
        <x:v>SRC09</x:v>
      </x:c>
      <x:c r="J2167" s="27" t="str">
        <x:v>Parallel subject and representation links.</x:v>
      </x:c>
    </x:row>
    <x:row r="2168">
      <x:c r="A2168" s="27" t="str">
        <x:v>E02164</x:v>
      </x:c>
      <x:c r="B2168" s="27" t="str">
        <x:v>S21-MATH-03</x:v>
      </x:c>
      <x:c r="C2168" s="27" t="str">
        <x:v>Function notation, domain, range, and representations</x:v>
      </x:c>
      <x:c r="D2168" s="27" t="str">
        <x:v>UNLOCKS</x:v>
      </x:c>
      <x:c r="E2168" s="27" t="str">
        <x:v>S21-MATH-03:NEXT</x:v>
      </x:c>
      <x:c r="F2168" s="27" t="str">
        <x:v>Function notation provides the shared language for modeling families of change.</x:v>
      </x:c>
      <x:c r="G2168" s="27" t="str">
        <x:v>S21</x:v>
      </x:c>
      <x:c r="H2168" s="27" t="str">
        <x:v>Mathematics</x:v>
      </x:c>
      <x:c r="I2168" s="27" t="str">
        <x:v>SRC09</x:v>
      </x:c>
      <x:c r="J2168" s="27" t="str">
        <x:v>Outgoing use and placement rationale.</x:v>
      </x:c>
    </x:row>
    <x:row r="2169">
      <x:c r="A2169" s="27" t="str">
        <x:v>E02165</x:v>
      </x:c>
      <x:c r="B2169" s="27" t="str">
        <x:v>S21-MATH-03</x:v>
      </x:c>
      <x:c r="C2169" s="27" t="str">
        <x:v>Function notation, domain, range, and representations</x:v>
      </x:c>
      <x:c r="D2169" s="27" t="str">
        <x:v>VERIFIED_BY</x:v>
      </x:c>
      <x:c r="E2169" s="27" t="str">
        <x:v>S21-MATH-03:EVIDENCE</x:v>
      </x:c>
      <x:c r="F2169" s="27" t="str">
        <x:v>Determines domain/range, evaluates a function, and translates the same relationship across representations.</x:v>
      </x:c>
      <x:c r="G2169" s="27" t="str">
        <x:v>S21</x:v>
      </x:c>
      <x:c r="H2169" s="27" t="str">
        <x:v>Mathematics</x:v>
      </x:c>
      <x:c r="I2169" s="27" t="str">
        <x:v>SRC09</x:v>
      </x:c>
      <x:c r="J2169" s="27" t="str">
        <x:v>Observable evidence of usable learning.</x:v>
      </x:c>
    </x:row>
    <x:row r="2170">
      <x:c r="A2170" s="27" t="str">
        <x:v>E02166</x:v>
      </x:c>
      <x:c r="B2170" s="27" t="str">
        <x:v>S21-MATH-03</x:v>
      </x:c>
      <x:c r="C2170" s="27" t="str">
        <x:v>Previous node in domain progression</x:v>
      </x:c>
      <x:c r="D2170" s="27" t="str">
        <x:v>DOMAIN_SEQUENCE</x:v>
      </x:c>
      <x:c r="E2170" s="27" t="str">
        <x:v>S21-MATH-04</x:v>
      </x:c>
      <x:c r="F2170" s="27" t="str">
        <x:v>Slope, intercept, parallel/perpendicular, and regression</x:v>
      </x:c>
      <x:c r="G2170" s="27" t="str">
        <x:v>S21</x:v>
      </x:c>
      <x:c r="H2170" s="27" t="str">
        <x:v>Mathematics</x:v>
      </x:c>
      <x:c r="I2170" s="27" t="str">
        <x:v>SRC09</x:v>
      </x:c>
      <x:c r="J2170" s="27" t="str">
        <x:v>Ordered spiral link; consult explicit prerequisites for logical dependency.</x:v>
      </x:c>
    </x:row>
    <x:row r="2171">
      <x:c r="A2171" s="27" t="str">
        <x:v>E02167</x:v>
      </x:c>
      <x:c r="B2171" s="27" t="str">
        <x:v>S21-MATH-04:PREREQ</x:v>
      </x:c>
      <x:c r="C2171" s="27" t="str">
        <x:v>Grade 8 linear functions/systems/bivariate data.</x:v>
      </x:c>
      <x:c r="D2171" s="27" t="str">
        <x:v>PREREQUISITE</x:v>
      </x:c>
      <x:c r="E2171" s="27" t="str">
        <x:v>S21-MATH-04</x:v>
      </x:c>
      <x:c r="F2171" s="27" t="str">
        <x:v>Slope, intercept, parallel/perpendicular, and regression</x:v>
      </x:c>
      <x:c r="G2171" s="27" t="str">
        <x:v>S21</x:v>
      </x:c>
      <x:c r="H2171" s="27" t="str">
        <x:v>Mathematics</x:v>
      </x:c>
      <x:c r="I2171" s="27" t="str">
        <x:v>SRC09</x:v>
      </x:c>
      <x:c r="J2171" s="27" t="str">
        <x:v>Incoming prerequisite relationship.</x:v>
      </x:c>
    </x:row>
    <x:row r="2172">
      <x:c r="A2172" s="27" t="str">
        <x:v>E02168</x:v>
      </x:c>
      <x:c r="B2172" s="27" t="str">
        <x:v>S21-MATH-04:GROUND</x:v>
      </x:c>
      <x:c r="C2172" s="27" t="str">
        <x:v>G6/G7 — Evidence-based formal system demonstrated through authentic transfer</x:v>
      </x:c>
      <x:c r="D2172" s="27" t="str">
        <x:v>GROUNDED_BY</x:v>
      </x:c>
      <x:c r="E2172" s="27" t="str">
        <x:v>S21-MATH-04</x:v>
      </x:c>
      <x:c r="F2172" s="27" t="str">
        <x:v>Slope, intercept, parallel/perpendicular, and regression</x:v>
      </x:c>
      <x:c r="G2172" s="27" t="str">
        <x:v>S21</x:v>
      </x:c>
      <x:c r="H2172" s="27" t="str">
        <x:v>Mathematics</x:v>
      </x:c>
      <x:c r="I2172" s="27" t="str">
        <x:v>SRC09</x:v>
      </x:c>
      <x:c r="J2172" s="27" t="str">
        <x:v>Grounding form used to preserve meaning.</x:v>
      </x:c>
    </x:row>
    <x:row r="2173">
      <x:c r="A2173" s="27" t="str">
        <x:v>E02169</x:v>
      </x:c>
      <x:c r="B2173" s="27" t="str">
        <x:v>S21-MATH-04</x:v>
      </x:c>
      <x:c r="C2173" s="27" t="str">
        <x:v>Slope, intercept, parallel/perpendicular, and regression</x:v>
      </x:c>
      <x:c r="D2173" s="27" t="str">
        <x:v>CONNECTS_TO</x:v>
      </x:c>
      <x:c r="E2173" s="27" t="str">
        <x:v>S21-MATH-04:CROSS</x:v>
      </x:c>
      <x:c r="F2173" s="27" t="str">
        <x:v>Physical quantity and spatial action; science measurement/models; computing/algorithms; finance; music rhythm/pattern; geographic data.</x:v>
      </x:c>
      <x:c r="G2173" s="27" t="str">
        <x:v>S21</x:v>
      </x:c>
      <x:c r="H2173" s="27" t="str">
        <x:v>Mathematics</x:v>
      </x:c>
      <x:c r="I2173" s="27" t="str">
        <x:v>SRC09</x:v>
      </x:c>
      <x:c r="J2173" s="27" t="str">
        <x:v>Parallel subject and representation links.</x:v>
      </x:c>
    </x:row>
    <x:row r="2174">
      <x:c r="A2174" s="27" t="str">
        <x:v>E02170</x:v>
      </x:c>
      <x:c r="B2174" s="27" t="str">
        <x:v>S21-MATH-04</x:v>
      </x:c>
      <x:c r="C2174" s="27" t="str">
        <x:v>Slope, intercept, parallel/perpendicular, and regression</x:v>
      </x:c>
      <x:c r="D2174" s="27" t="str">
        <x:v>UNLOCKS</x:v>
      </x:c>
      <x:c r="E2174" s="27" t="str">
        <x:v>S21-MATH-04:NEXT</x:v>
      </x:c>
      <x:c r="F2174" s="27" t="str">
        <x:v>Linear models connect algebra, geometry, statistics, and constant-rate phenomena.</x:v>
      </x:c>
      <x:c r="G2174" s="27" t="str">
        <x:v>S21</x:v>
      </x:c>
      <x:c r="H2174" s="27" t="str">
        <x:v>Mathematics</x:v>
      </x:c>
      <x:c r="I2174" s="27" t="str">
        <x:v>SRC09</x:v>
      </x:c>
      <x:c r="J2174" s="27" t="str">
        <x:v>Outgoing use and placement rationale.</x:v>
      </x:c>
    </x:row>
    <x:row r="2175">
      <x:c r="A2175" s="27" t="str">
        <x:v>E02171</x:v>
      </x:c>
      <x:c r="B2175" s="27" t="str">
        <x:v>S21-MATH-04</x:v>
      </x:c>
      <x:c r="C2175" s="27" t="str">
        <x:v>Slope, intercept, parallel/perpendicular, and regression</x:v>
      </x:c>
      <x:c r="D2175" s="27" t="str">
        <x:v>VERIFIED_BY</x:v>
      </x:c>
      <x:c r="E2175" s="27" t="str">
        <x:v>S21-MATH-04:EVIDENCE</x:v>
      </x:c>
      <x:c r="F2175" s="27" t="str">
        <x:v>Builds and evaluates a linear model and interprets parameters and prediction limits.</x:v>
      </x:c>
      <x:c r="G2175" s="27" t="str">
        <x:v>S21</x:v>
      </x:c>
      <x:c r="H2175" s="27" t="str">
        <x:v>Mathematics</x:v>
      </x:c>
      <x:c r="I2175" s="27" t="str">
        <x:v>SRC09</x:v>
      </x:c>
      <x:c r="J2175" s="27" t="str">
        <x:v>Observable evidence of usable learning.</x:v>
      </x:c>
    </x:row>
    <x:row r="2176">
      <x:c r="A2176" s="27" t="str">
        <x:v>E02172</x:v>
      </x:c>
      <x:c r="B2176" s="27" t="str">
        <x:v>S21-MATH-04</x:v>
      </x:c>
      <x:c r="C2176" s="27" t="str">
        <x:v>Previous node in domain progression</x:v>
      </x:c>
      <x:c r="D2176" s="27" t="str">
        <x:v>DOMAIN_SEQUENCE</x:v>
      </x:c>
      <x:c r="E2176" s="27" t="str">
        <x:v>S21-MATH-05</x:v>
      </x:c>
      <x:c r="F2176" s="27" t="str">
        <x:v>Systems of equations and inequalities</x:v>
      </x:c>
      <x:c r="G2176" s="27" t="str">
        <x:v>S21</x:v>
      </x:c>
      <x:c r="H2176" s="27" t="str">
        <x:v>Mathematics</x:v>
      </x:c>
      <x:c r="I2176" s="27" t="str">
        <x:v>SRC09</x:v>
      </x:c>
      <x:c r="J2176" s="27" t="str">
        <x:v>Ordered spiral link; consult explicit prerequisites for logical dependency.</x:v>
      </x:c>
    </x:row>
    <x:row r="2177">
      <x:c r="A2177" s="27" t="str">
        <x:v>E02173</x:v>
      </x:c>
      <x:c r="B2177" s="27" t="str">
        <x:v>S21-MATH-05:PREREQ</x:v>
      </x:c>
      <x:c r="C2177" s="27" t="str">
        <x:v>Grade 8 systems and Algebra I linear equations/functions.</x:v>
      </x:c>
      <x:c r="D2177" s="27" t="str">
        <x:v>PREREQUISITE</x:v>
      </x:c>
      <x:c r="E2177" s="27" t="str">
        <x:v>S21-MATH-05</x:v>
      </x:c>
      <x:c r="F2177" s="27" t="str">
        <x:v>Systems of equations and inequalities</x:v>
      </x:c>
      <x:c r="G2177" s="27" t="str">
        <x:v>S21</x:v>
      </x:c>
      <x:c r="H2177" s="27" t="str">
        <x:v>Mathematics</x:v>
      </x:c>
      <x:c r="I2177" s="27" t="str">
        <x:v>SRC09</x:v>
      </x:c>
      <x:c r="J2177" s="27" t="str">
        <x:v>Incoming prerequisite relationship.</x:v>
      </x:c>
    </x:row>
    <x:row r="2178">
      <x:c r="A2178" s="27" t="str">
        <x:v>E02174</x:v>
      </x:c>
      <x:c r="B2178" s="27" t="str">
        <x:v>S21-MATH-05:GROUND</x:v>
      </x:c>
      <x:c r="C2178" s="27" t="str">
        <x:v>G6/G7 — Evidence-based formal system demonstrated through authentic transfer</x:v>
      </x:c>
      <x:c r="D2178" s="27" t="str">
        <x:v>GROUNDED_BY</x:v>
      </x:c>
      <x:c r="E2178" s="27" t="str">
        <x:v>S21-MATH-05</x:v>
      </x:c>
      <x:c r="F2178" s="27" t="str">
        <x:v>Systems of equations and inequalities</x:v>
      </x:c>
      <x:c r="G2178" s="27" t="str">
        <x:v>S21</x:v>
      </x:c>
      <x:c r="H2178" s="27" t="str">
        <x:v>Mathematics</x:v>
      </x:c>
      <x:c r="I2178" s="27" t="str">
        <x:v>SRC09</x:v>
      </x:c>
      <x:c r="J2178" s="27" t="str">
        <x:v>Grounding form used to preserve meaning.</x:v>
      </x:c>
    </x:row>
    <x:row r="2179">
      <x:c r="A2179" s="27" t="str">
        <x:v>E02175</x:v>
      </x:c>
      <x:c r="B2179" s="27" t="str">
        <x:v>S21-MATH-05</x:v>
      </x:c>
      <x:c r="C2179" s="27" t="str">
        <x:v>Systems of equations and inequalities</x:v>
      </x:c>
      <x:c r="D2179" s="27" t="str">
        <x:v>CONNECTS_TO</x:v>
      </x:c>
      <x:c r="E2179" s="27" t="str">
        <x:v>S21-MATH-05:CROSS</x:v>
      </x:c>
      <x:c r="F2179" s="27" t="str">
        <x:v>Physical quantity and spatial action; science measurement/models; computing/algorithms; finance; music rhythm/pattern; geographic data.</x:v>
      </x:c>
      <x:c r="G2179" s="27" t="str">
        <x:v>S21</x:v>
      </x:c>
      <x:c r="H2179" s="27" t="str">
        <x:v>Mathematics</x:v>
      </x:c>
      <x:c r="I2179" s="27" t="str">
        <x:v>SRC09</x:v>
      </x:c>
      <x:c r="J2179" s="27" t="str">
        <x:v>Parallel subject and representation links.</x:v>
      </x:c>
    </x:row>
    <x:row r="2180">
      <x:c r="A2180" s="27" t="str">
        <x:v>E02176</x:v>
      </x:c>
      <x:c r="B2180" s="27" t="str">
        <x:v>S21-MATH-05</x:v>
      </x:c>
      <x:c r="C2180" s="27" t="str">
        <x:v>Systems of equations and inequalities</x:v>
      </x:c>
      <x:c r="D2180" s="27" t="str">
        <x:v>UNLOCKS</x:v>
      </x:c>
      <x:c r="E2180" s="27" t="str">
        <x:v>S21-MATH-05:NEXT</x:v>
      </x:c>
      <x:c r="F2180" s="27" t="str">
        <x:v>Systems formalize intersection, optimization constraints, and multi-variable models.</x:v>
      </x:c>
      <x:c r="G2180" s="27" t="str">
        <x:v>S21</x:v>
      </x:c>
      <x:c r="H2180" s="27" t="str">
        <x:v>Mathematics</x:v>
      </x:c>
      <x:c r="I2180" s="27" t="str">
        <x:v>SRC09</x:v>
      </x:c>
      <x:c r="J2180" s="27" t="str">
        <x:v>Outgoing use and placement rationale.</x:v>
      </x:c>
    </x:row>
    <x:row r="2181">
      <x:c r="A2181" s="27" t="str">
        <x:v>E02177</x:v>
      </x:c>
      <x:c r="B2181" s="27" t="str">
        <x:v>S21-MATH-05</x:v>
      </x:c>
      <x:c r="C2181" s="27" t="str">
        <x:v>Systems of equations and inequalities</x:v>
      </x:c>
      <x:c r="D2181" s="27" t="str">
        <x:v>VERIFIED_BY</x:v>
      </x:c>
      <x:c r="E2181" s="27" t="str">
        <x:v>S21-MATH-05:EVIDENCE</x:v>
      </x:c>
      <x:c r="F2181" s="27" t="str">
        <x:v>Selects a solution method, verifies the result, and interprets intersection/feasible region.</x:v>
      </x:c>
      <x:c r="G2181" s="27" t="str">
        <x:v>S21</x:v>
      </x:c>
      <x:c r="H2181" s="27" t="str">
        <x:v>Mathematics</x:v>
      </x:c>
      <x:c r="I2181" s="27" t="str">
        <x:v>SRC09</x:v>
      </x:c>
      <x:c r="J2181" s="27" t="str">
        <x:v>Observable evidence of usable learning.</x:v>
      </x:c>
    </x:row>
    <x:row r="2182">
      <x:c r="A2182" s="27" t="str">
        <x:v>E02178</x:v>
      </x:c>
      <x:c r="B2182" s="27" t="str">
        <x:v>S21-MATH-05</x:v>
      </x:c>
      <x:c r="C2182" s="27" t="str">
        <x:v>Previous node in domain progression</x:v>
      </x:c>
      <x:c r="D2182" s="27" t="str">
        <x:v>DOMAIN_SEQUENCE</x:v>
      </x:c>
      <x:c r="E2182" s="27" t="str">
        <x:v>S21-MATH-06</x:v>
      </x:c>
      <x:c r="F2182" s="27" t="str">
        <x:v>Exponential growth and decay</x:v>
      </x:c>
      <x:c r="G2182" s="27" t="str">
        <x:v>S21</x:v>
      </x:c>
      <x:c r="H2182" s="27" t="str">
        <x:v>Mathematics</x:v>
      </x:c>
      <x:c r="I2182" s="27" t="str">
        <x:v>SRC09</x:v>
      </x:c>
      <x:c r="J2182" s="27" t="str">
        <x:v>Ordered spiral link; consult explicit prerequisites for logical dependency.</x:v>
      </x:c>
    </x:row>
    <x:row r="2183">
      <x:c r="A2183" s="27" t="str">
        <x:v>E02179</x:v>
      </x:c>
      <x:c r="B2183" s="27" t="str">
        <x:v>S21-MATH-06:PREREQ</x:v>
      </x:c>
      <x:c r="C2183" s="27" t="str">
        <x:v>Grade 7 compound growth, Grade 8 exponents/functions, and ratios.</x:v>
      </x:c>
      <x:c r="D2183" s="27" t="str">
        <x:v>PREREQUISITE</x:v>
      </x:c>
      <x:c r="E2183" s="27" t="str">
        <x:v>S21-MATH-06</x:v>
      </x:c>
      <x:c r="F2183" s="27" t="str">
        <x:v>Exponential growth and decay</x:v>
      </x:c>
      <x:c r="G2183" s="27" t="str">
        <x:v>S21</x:v>
      </x:c>
      <x:c r="H2183" s="27" t="str">
        <x:v>Mathematics</x:v>
      </x:c>
      <x:c r="I2183" s="27" t="str">
        <x:v>SRC09</x:v>
      </x:c>
      <x:c r="J2183" s="27" t="str">
        <x:v>Incoming prerequisite relationship.</x:v>
      </x:c>
    </x:row>
    <x:row r="2184">
      <x:c r="A2184" s="27" t="str">
        <x:v>E02180</x:v>
      </x:c>
      <x:c r="B2184" s="27" t="str">
        <x:v>S21-MATH-06:GROUND</x:v>
      </x:c>
      <x:c r="C2184" s="27" t="str">
        <x:v>G6/G7 — Evidence-based formal system demonstrated through authentic transfer</x:v>
      </x:c>
      <x:c r="D2184" s="27" t="str">
        <x:v>GROUNDED_BY</x:v>
      </x:c>
      <x:c r="E2184" s="27" t="str">
        <x:v>S21-MATH-06</x:v>
      </x:c>
      <x:c r="F2184" s="27" t="str">
        <x:v>Exponential growth and decay</x:v>
      </x:c>
      <x:c r="G2184" s="27" t="str">
        <x:v>S21</x:v>
      </x:c>
      <x:c r="H2184" s="27" t="str">
        <x:v>Mathematics</x:v>
      </x:c>
      <x:c r="I2184" s="27" t="str">
        <x:v>SRC09</x:v>
      </x:c>
      <x:c r="J2184" s="27" t="str">
        <x:v>Grounding form used to preserve meaning.</x:v>
      </x:c>
    </x:row>
    <x:row r="2185">
      <x:c r="A2185" s="27" t="str">
        <x:v>E02181</x:v>
      </x:c>
      <x:c r="B2185" s="27" t="str">
        <x:v>S21-MATH-06</x:v>
      </x:c>
      <x:c r="C2185" s="27" t="str">
        <x:v>Exponential growth and decay</x:v>
      </x:c>
      <x:c r="D2185" s="27" t="str">
        <x:v>CONNECTS_TO</x:v>
      </x:c>
      <x:c r="E2185" s="27" t="str">
        <x:v>S21-MATH-06:CROSS</x:v>
      </x:c>
      <x:c r="F2185" s="27" t="str">
        <x:v>Physical quantity and spatial action; science measurement/models; computing/algorithms; finance; music rhythm/pattern; geographic data.</x:v>
      </x:c>
      <x:c r="G2185" s="27" t="str">
        <x:v>S21</x:v>
      </x:c>
      <x:c r="H2185" s="27" t="str">
        <x:v>Mathematics</x:v>
      </x:c>
      <x:c r="I2185" s="27" t="str">
        <x:v>SRC09</x:v>
      </x:c>
      <x:c r="J2185" s="27" t="str">
        <x:v>Parallel subject and representation links.</x:v>
      </x:c>
    </x:row>
    <x:row r="2186">
      <x:c r="A2186" s="27" t="str">
        <x:v>E02182</x:v>
      </x:c>
      <x:c r="B2186" s="27" t="str">
        <x:v>S21-MATH-06</x:v>
      </x:c>
      <x:c r="C2186" s="27" t="str">
        <x:v>Exponential growth and decay</x:v>
      </x:c>
      <x:c r="D2186" s="27" t="str">
        <x:v>UNLOCKS</x:v>
      </x:c>
      <x:c r="E2186" s="27" t="str">
        <x:v>S21-MATH-06:NEXT</x:v>
      </x:c>
      <x:c r="F2186" s="27" t="str">
        <x:v>Exponential models describe interest, population, decay, and repeated scaling.</x:v>
      </x:c>
      <x:c r="G2186" s="27" t="str">
        <x:v>S21</x:v>
      </x:c>
      <x:c r="H2186" s="27" t="str">
        <x:v>Mathematics</x:v>
      </x:c>
      <x:c r="I2186" s="27" t="str">
        <x:v>SRC09</x:v>
      </x:c>
      <x:c r="J2186" s="27" t="str">
        <x:v>Outgoing use and placement rationale.</x:v>
      </x:c>
    </x:row>
    <x:row r="2187">
      <x:c r="A2187" s="27" t="str">
        <x:v>E02183</x:v>
      </x:c>
      <x:c r="B2187" s="27" t="str">
        <x:v>S21-MATH-06</x:v>
      </x:c>
      <x:c r="C2187" s="27" t="str">
        <x:v>Exponential growth and decay</x:v>
      </x:c>
      <x:c r="D2187" s="27" t="str">
        <x:v>VERIFIED_BY</x:v>
      </x:c>
      <x:c r="E2187" s="27" t="str">
        <x:v>S21-MATH-06:EVIDENCE</x:v>
      </x:c>
      <x:c r="F2187" s="27" t="str">
        <x:v>Identifies linear versus exponential structure and explains parameters in context.</x:v>
      </x:c>
      <x:c r="G2187" s="27" t="str">
        <x:v>S21</x:v>
      </x:c>
      <x:c r="H2187" s="27" t="str">
        <x:v>Mathematics</x:v>
      </x:c>
      <x:c r="I2187" s="27" t="str">
        <x:v>SRC09</x:v>
      </x:c>
      <x:c r="J2187" s="27" t="str">
        <x:v>Observable evidence of usable learning.</x:v>
      </x:c>
    </x:row>
    <x:row r="2188">
      <x:c r="A2188" s="27" t="str">
        <x:v>E02184</x:v>
      </x:c>
      <x:c r="B2188" s="27" t="str">
        <x:v>S21-MATH-06</x:v>
      </x:c>
      <x:c r="C2188" s="27" t="str">
        <x:v>Previous node in domain progression</x:v>
      </x:c>
      <x:c r="D2188" s="27" t="str">
        <x:v>DOMAIN_SEQUENCE</x:v>
      </x:c>
      <x:c r="E2188" s="27" t="str">
        <x:v>S21-MATH-07</x:v>
      </x:c>
      <x:c r="F2188" s="27" t="str">
        <x:v>Polynomial operations and factoring foundations</x:v>
      </x:c>
      <x:c r="G2188" s="27" t="str">
        <x:v>S21</x:v>
      </x:c>
      <x:c r="H2188" s="27" t="str">
        <x:v>Mathematics</x:v>
      </x:c>
      <x:c r="I2188" s="27" t="str">
        <x:v>SRC09</x:v>
      </x:c>
      <x:c r="J2188" s="27" t="str">
        <x:v>Ordered spiral link; consult explicit prerequisites for logical dependency.</x:v>
      </x:c>
    </x:row>
    <x:row r="2189">
      <x:c r="A2189" s="27" t="str">
        <x:v>E02185</x:v>
      </x:c>
      <x:c r="B2189" s="27" t="str">
        <x:v>S21-MATH-07:PREREQ</x:v>
      </x:c>
      <x:c r="C2189" s="27" t="str">
        <x:v>Exponent properties, distributive property, area models, and equivalent expressions.</x:v>
      </x:c>
      <x:c r="D2189" s="27" t="str">
        <x:v>PREREQUISITE</x:v>
      </x:c>
      <x:c r="E2189" s="27" t="str">
        <x:v>S21-MATH-07</x:v>
      </x:c>
      <x:c r="F2189" s="27" t="str">
        <x:v>Polynomial operations and factoring foundations</x:v>
      </x:c>
      <x:c r="G2189" s="27" t="str">
        <x:v>S21</x:v>
      </x:c>
      <x:c r="H2189" s="27" t="str">
        <x:v>Mathematics</x:v>
      </x:c>
      <x:c r="I2189" s="27" t="str">
        <x:v>SRC09</x:v>
      </x:c>
      <x:c r="J2189" s="27" t="str">
        <x:v>Incoming prerequisite relationship.</x:v>
      </x:c>
    </x:row>
    <x:row r="2190">
      <x:c r="A2190" s="27" t="str">
        <x:v>E02186</x:v>
      </x:c>
      <x:c r="B2190" s="27" t="str">
        <x:v>S21-MATH-07:GROUND</x:v>
      </x:c>
      <x:c r="C2190" s="27" t="str">
        <x:v>G6/G7 — Evidence-based formal system demonstrated through authentic transfer</x:v>
      </x:c>
      <x:c r="D2190" s="27" t="str">
        <x:v>GROUNDED_BY</x:v>
      </x:c>
      <x:c r="E2190" s="27" t="str">
        <x:v>S21-MATH-07</x:v>
      </x:c>
      <x:c r="F2190" s="27" t="str">
        <x:v>Polynomial operations and factoring foundations</x:v>
      </x:c>
      <x:c r="G2190" s="27" t="str">
        <x:v>S21</x:v>
      </x:c>
      <x:c r="H2190" s="27" t="str">
        <x:v>Mathematics</x:v>
      </x:c>
      <x:c r="I2190" s="27" t="str">
        <x:v>SRC09</x:v>
      </x:c>
      <x:c r="J2190" s="27" t="str">
        <x:v>Grounding form used to preserve meaning.</x:v>
      </x:c>
    </x:row>
    <x:row r="2191">
      <x:c r="A2191" s="27" t="str">
        <x:v>E02187</x:v>
      </x:c>
      <x:c r="B2191" s="27" t="str">
        <x:v>S21-MATH-07</x:v>
      </x:c>
      <x:c r="C2191" s="27" t="str">
        <x:v>Polynomial operations and factoring foundations</x:v>
      </x:c>
      <x:c r="D2191" s="27" t="str">
        <x:v>CONNECTS_TO</x:v>
      </x:c>
      <x:c r="E2191" s="27" t="str">
        <x:v>S21-MATH-07:CROSS</x:v>
      </x:c>
      <x:c r="F2191" s="27" t="str">
        <x:v>Physical quantity and spatial action; science measurement/models; computing/algorithms; finance; music rhythm/pattern; geographic data.</x:v>
      </x:c>
      <x:c r="G2191" s="27" t="str">
        <x:v>S21</x:v>
      </x:c>
      <x:c r="H2191" s="27" t="str">
        <x:v>Mathematics</x:v>
      </x:c>
      <x:c r="I2191" s="27" t="str">
        <x:v>SRC09</x:v>
      </x:c>
      <x:c r="J2191" s="27" t="str">
        <x:v>Parallel subject and representation links.</x:v>
      </x:c>
    </x:row>
    <x:row r="2192">
      <x:c r="A2192" s="27" t="str">
        <x:v>E02188</x:v>
      </x:c>
      <x:c r="B2192" s="27" t="str">
        <x:v>S21-MATH-07</x:v>
      </x:c>
      <x:c r="C2192" s="27" t="str">
        <x:v>Polynomial operations and factoring foundations</x:v>
      </x:c>
      <x:c r="D2192" s="27" t="str">
        <x:v>UNLOCKS</x:v>
      </x:c>
      <x:c r="E2192" s="27" t="str">
        <x:v>S21-MATH-07:NEXT</x:v>
      </x:c>
      <x:c r="F2192" s="27" t="str">
        <x:v>Polynomial structure prepares quadratic equations and Algebra II.</x:v>
      </x:c>
      <x:c r="G2192" s="27" t="str">
        <x:v>S21</x:v>
      </x:c>
      <x:c r="H2192" s="27" t="str">
        <x:v>Mathematics</x:v>
      </x:c>
      <x:c r="I2192" s="27" t="str">
        <x:v>SRC09</x:v>
      </x:c>
      <x:c r="J2192" s="27" t="str">
        <x:v>Outgoing use and placement rationale.</x:v>
      </x:c>
    </x:row>
    <x:row r="2193">
      <x:c r="A2193" s="27" t="str">
        <x:v>E02189</x:v>
      </x:c>
      <x:c r="B2193" s="27" t="str">
        <x:v>S21-MATH-07</x:v>
      </x:c>
      <x:c r="C2193" s="27" t="str">
        <x:v>Polynomial operations and factoring foundations</x:v>
      </x:c>
      <x:c r="D2193" s="27" t="str">
        <x:v>VERIFIED_BY</x:v>
      </x:c>
      <x:c r="E2193" s="27" t="str">
        <x:v>S21-MATH-07:EVIDENCE</x:v>
      </x:c>
      <x:c r="F2193" s="27" t="str">
        <x:v>Connects an expanded expression to a factored/area form and verifies equivalence.</x:v>
      </x:c>
      <x:c r="G2193" s="27" t="str">
        <x:v>S21</x:v>
      </x:c>
      <x:c r="H2193" s="27" t="str">
        <x:v>Mathematics</x:v>
      </x:c>
      <x:c r="I2193" s="27" t="str">
        <x:v>SRC09</x:v>
      </x:c>
      <x:c r="J2193" s="27" t="str">
        <x:v>Observable evidence of usable learning.</x:v>
      </x:c>
    </x:row>
    <x:row r="2194">
      <x:c r="A2194" s="27" t="str">
        <x:v>E02190</x:v>
      </x:c>
      <x:c r="B2194" s="27" t="str">
        <x:v>S21-MATH-07</x:v>
      </x:c>
      <x:c r="C2194" s="27" t="str">
        <x:v>Previous node in domain progression</x:v>
      </x:c>
      <x:c r="D2194" s="27" t="str">
        <x:v>DOMAIN_SEQUENCE</x:v>
      </x:c>
      <x:c r="E2194" s="27" t="str">
        <x:v>S21-MATH-08</x:v>
      </x:c>
      <x:c r="F2194" s="27" t="str">
        <x:v>Quadratic functions and equations introduction</x:v>
      </x:c>
      <x:c r="G2194" s="27" t="str">
        <x:v>S21</x:v>
      </x:c>
      <x:c r="H2194" s="27" t="str">
        <x:v>Mathematics</x:v>
      </x:c>
      <x:c r="I2194" s="27" t="str">
        <x:v>SRC09</x:v>
      </x:c>
      <x:c r="J2194" s="27" t="str">
        <x:v>Ordered spiral link; consult explicit prerequisites for logical dependency.</x:v>
      </x:c>
    </x:row>
    <x:row r="2195">
      <x:c r="A2195" s="27" t="str">
        <x:v>E02191</x:v>
      </x:c>
      <x:c r="B2195" s="27" t="str">
        <x:v>S21-MATH-08:PREREQ</x:v>
      </x:c>
      <x:c r="C2195" s="27" t="str">
        <x:v>Polynomial operations, functions, exponents/roots, and equations.</x:v>
      </x:c>
      <x:c r="D2195" s="27" t="str">
        <x:v>PREREQUISITE</x:v>
      </x:c>
      <x:c r="E2195" s="27" t="str">
        <x:v>S21-MATH-08</x:v>
      </x:c>
      <x:c r="F2195" s="27" t="str">
        <x:v>Quadratic functions and equations introduction</x:v>
      </x:c>
      <x:c r="G2195" s="27" t="str">
        <x:v>S21</x:v>
      </x:c>
      <x:c r="H2195" s="27" t="str">
        <x:v>Mathematics</x:v>
      </x:c>
      <x:c r="I2195" s="27" t="str">
        <x:v>SRC09</x:v>
      </x:c>
      <x:c r="J2195" s="27" t="str">
        <x:v>Incoming prerequisite relationship.</x:v>
      </x:c>
    </x:row>
    <x:row r="2196">
      <x:c r="A2196" s="27" t="str">
        <x:v>E02192</x:v>
      </x:c>
      <x:c r="B2196" s="27" t="str">
        <x:v>S21-MATH-08:GROUND</x:v>
      </x:c>
      <x:c r="C2196" s="27" t="str">
        <x:v>G6/G7 — Evidence-based formal system demonstrated through authentic transfer</x:v>
      </x:c>
      <x:c r="D2196" s="27" t="str">
        <x:v>GROUNDED_BY</x:v>
      </x:c>
      <x:c r="E2196" s="27" t="str">
        <x:v>S21-MATH-08</x:v>
      </x:c>
      <x:c r="F2196" s="27" t="str">
        <x:v>Quadratic functions and equations introduction</x:v>
      </x:c>
      <x:c r="G2196" s="27" t="str">
        <x:v>S21</x:v>
      </x:c>
      <x:c r="H2196" s="27" t="str">
        <x:v>Mathematics</x:v>
      </x:c>
      <x:c r="I2196" s="27" t="str">
        <x:v>SRC09</x:v>
      </x:c>
      <x:c r="J2196" s="27" t="str">
        <x:v>Grounding form used to preserve meaning.</x:v>
      </x:c>
    </x:row>
    <x:row r="2197">
      <x:c r="A2197" s="27" t="str">
        <x:v>E02193</x:v>
      </x:c>
      <x:c r="B2197" s="27" t="str">
        <x:v>S21-MATH-08</x:v>
      </x:c>
      <x:c r="C2197" s="27" t="str">
        <x:v>Quadratic functions and equations introduction</x:v>
      </x:c>
      <x:c r="D2197" s="27" t="str">
        <x:v>CONNECTS_TO</x:v>
      </x:c>
      <x:c r="E2197" s="27" t="str">
        <x:v>S21-MATH-08:CROSS</x:v>
      </x:c>
      <x:c r="F2197" s="27" t="str">
        <x:v>Physical quantity and spatial action; science measurement/models; computing/algorithms; finance; music rhythm/pattern; geographic data.</x:v>
      </x:c>
      <x:c r="G2197" s="27" t="str">
        <x:v>S21</x:v>
      </x:c>
      <x:c r="H2197" s="27" t="str">
        <x:v>Mathematics</x:v>
      </x:c>
      <x:c r="I2197" s="27" t="str">
        <x:v>SRC09</x:v>
      </x:c>
      <x:c r="J2197" s="27" t="str">
        <x:v>Parallel subject and representation links.</x:v>
      </x:c>
    </x:row>
    <x:row r="2198">
      <x:c r="A2198" s="27" t="str">
        <x:v>E02194</x:v>
      </x:c>
      <x:c r="B2198" s="27" t="str">
        <x:v>S21-MATH-08</x:v>
      </x:c>
      <x:c r="C2198" s="27" t="str">
        <x:v>Quadratic functions and equations introduction</x:v>
      </x:c>
      <x:c r="D2198" s="27" t="str">
        <x:v>UNLOCKS</x:v>
      </x:c>
      <x:c r="E2198" s="27" t="str">
        <x:v>S21-MATH-08:NEXT</x:v>
      </x:c>
      <x:c r="F2198" s="27" t="str">
        <x:v>Quadratics introduce nonlinear rate change and multiple solution methods.</x:v>
      </x:c>
      <x:c r="G2198" s="27" t="str">
        <x:v>S21</x:v>
      </x:c>
      <x:c r="H2198" s="27" t="str">
        <x:v>Mathematics</x:v>
      </x:c>
      <x:c r="I2198" s="27" t="str">
        <x:v>SRC09</x:v>
      </x:c>
      <x:c r="J2198" s="27" t="str">
        <x:v>Outgoing use and placement rationale.</x:v>
      </x:c>
    </x:row>
    <x:row r="2199">
      <x:c r="A2199" s="27" t="str">
        <x:v>E02195</x:v>
      </x:c>
      <x:c r="B2199" s="27" t="str">
        <x:v>S21-MATH-08</x:v>
      </x:c>
      <x:c r="C2199" s="27" t="str">
        <x:v>Quadratic functions and equations introduction</x:v>
      </x:c>
      <x:c r="D2199" s="27" t="str">
        <x:v>VERIFIED_BY</x:v>
      </x:c>
      <x:c r="E2199" s="27" t="str">
        <x:v>S21-MATH-08:EVIDENCE</x:v>
      </x:c>
      <x:c r="F2199" s="27" t="str">
        <x:v>Solves/models a quadratic situation and connects symbolic features to the graph.</x:v>
      </x:c>
      <x:c r="G2199" s="27" t="str">
        <x:v>S21</x:v>
      </x:c>
      <x:c r="H2199" s="27" t="str">
        <x:v>Mathematics</x:v>
      </x:c>
      <x:c r="I2199" s="27" t="str">
        <x:v>SRC09</x:v>
      </x:c>
      <x:c r="J2199" s="27" t="str">
        <x:v>Observable evidence of usable learning.</x:v>
      </x:c>
    </x:row>
    <x:row r="2200">
      <x:c r="A2200" s="27" t="str">
        <x:v>E02196</x:v>
      </x:c>
      <x:c r="B2200" s="27" t="str">
        <x:v>S20-SCI-03</x:v>
      </x:c>
      <x:c r="C2200" s="27" t="str">
        <x:v>Previous node in domain progression</x:v>
      </x:c>
      <x:c r="D2200" s="27" t="str">
        <x:v>DOMAIN_SEQUENCE</x:v>
      </x:c>
      <x:c r="E2200" s="27" t="str">
        <x:v>S21-SCI-01</x:v>
      </x:c>
      <x:c r="F2200" s="27" t="str">
        <x:v>Cell structure, membranes, and homeostasis</x:v>
      </x:c>
      <x:c r="G2200" s="27" t="str">
        <x:v>S21</x:v>
      </x:c>
      <x:c r="H2200" s="27" t="str">
        <x:v>Science &amp; Engineering</x:v>
      </x:c>
      <x:c r="I2200" s="27" t="str">
        <x:v>SRC11</x:v>
      </x:c>
      <x:c r="J2200" s="27" t="str">
        <x:v>Ordered spiral link; consult explicit prerequisites for logical dependency.</x:v>
      </x:c>
    </x:row>
    <x:row r="2201">
      <x:c r="A2201" s="27" t="str">
        <x:v>E02197</x:v>
      </x:c>
      <x:c r="B2201" s="27" t="str">
        <x:v>S21-SCI-01:PREREQ</x:v>
      </x:c>
      <x:c r="C2201" s="27" t="str">
        <x:v>Middle-school cells/systems, chemistry particles, and model reasoning.</x:v>
      </x:c>
      <x:c r="D2201" s="27" t="str">
        <x:v>PREREQUISITE</x:v>
      </x:c>
      <x:c r="E2201" s="27" t="str">
        <x:v>S21-SCI-01</x:v>
      </x:c>
      <x:c r="F2201" s="27" t="str">
        <x:v>Cell structure, membranes, and homeostasis</x:v>
      </x:c>
      <x:c r="G2201" s="27" t="str">
        <x:v>S21</x:v>
      </x:c>
      <x:c r="H2201" s="27" t="str">
        <x:v>Science &amp; Engineering</x:v>
      </x:c>
      <x:c r="I2201" s="27" t="str">
        <x:v>SRC11</x:v>
      </x:c>
      <x:c r="J2201" s="27" t="str">
        <x:v>Incoming prerequisite relationship.</x:v>
      </x:c>
    </x:row>
    <x:row r="2202">
      <x:c r="A2202" s="27" t="str">
        <x:v>E02198</x:v>
      </x:c>
      <x:c r="B2202" s="27" t="str">
        <x:v>S21-SCI-01:GROUND</x:v>
      </x:c>
      <x:c r="C2202" s="27" t="str">
        <x:v>G6/G7 — Evidence-based formal system demonstrated through authentic transfer</x:v>
      </x:c>
      <x:c r="D2202" s="27" t="str">
        <x:v>GROUNDED_BY</x:v>
      </x:c>
      <x:c r="E2202" s="27" t="str">
        <x:v>S21-SCI-01</x:v>
      </x:c>
      <x:c r="F2202" s="27" t="str">
        <x:v>Cell structure, membranes, and homeostasis</x:v>
      </x:c>
      <x:c r="G2202" s="27" t="str">
        <x:v>S21</x:v>
      </x:c>
      <x:c r="H2202" s="27" t="str">
        <x:v>Science &amp; Engineering</x:v>
      </x:c>
      <x:c r="I2202" s="27" t="str">
        <x:v>SRC11</x:v>
      </x:c>
      <x:c r="J2202" s="27" t="str">
        <x:v>Grounding form used to preserve meaning.</x:v>
      </x:c>
    </x:row>
    <x:row r="2203">
      <x:c r="A2203" s="27" t="str">
        <x:v>E02199</x:v>
      </x:c>
      <x:c r="B2203" s="27" t="str">
        <x:v>S21-SCI-01</x:v>
      </x:c>
      <x:c r="C2203" s="27" t="str">
        <x:v>Cell structure, membranes, and homeostasis</x:v>
      </x:c>
      <x:c r="D2203" s="27" t="str">
        <x:v>CONNECTS_TO</x:v>
      </x:c>
      <x:c r="E2203" s="27" t="str">
        <x:v>S21-SCI-01:CROSS</x:v>
      </x:c>
      <x:c r="F2203" s="27" t="str">
        <x:v>Sensory observation and action; mathematics/data; reading/writing evidence; computing/models; health and environmental/civic decisions.</x:v>
      </x:c>
      <x:c r="G2203" s="27" t="str">
        <x:v>S21</x:v>
      </x:c>
      <x:c r="H2203" s="27" t="str">
        <x:v>Science &amp; Engineering</x:v>
      </x:c>
      <x:c r="I2203" s="27" t="str">
        <x:v>SRC11</x:v>
      </x:c>
      <x:c r="J2203" s="27" t="str">
        <x:v>Parallel subject and representation links.</x:v>
      </x:c>
    </x:row>
    <x:row r="2204">
      <x:c r="A2204" s="27" t="str">
        <x:v>E02200</x:v>
      </x:c>
      <x:c r="B2204" s="27" t="str">
        <x:v>S21-SCI-01</x:v>
      </x:c>
      <x:c r="C2204" s="27" t="str">
        <x:v>Cell structure, membranes, and homeostasis</x:v>
      </x:c>
      <x:c r="D2204" s="27" t="str">
        <x:v>UNLOCKS</x:v>
      </x:c>
      <x:c r="E2204" s="27" t="str">
        <x:v>S21-SCI-01:NEXT</x:v>
      </x:c>
      <x:c r="F2204" s="27" t="str">
        <x:v>Cell mechanisms ground organism physiology, genetics, and disease/health reasoning.</x:v>
      </x:c>
      <x:c r="G2204" s="27" t="str">
        <x:v>S21</x:v>
      </x:c>
      <x:c r="H2204" s="27" t="str">
        <x:v>Science &amp; Engineering</x:v>
      </x:c>
      <x:c r="I2204" s="27" t="str">
        <x:v>SRC11</x:v>
      </x:c>
      <x:c r="J2204" s="27" t="str">
        <x:v>Outgoing use and placement rationale.</x:v>
      </x:c>
    </x:row>
    <x:row r="2205">
      <x:c r="A2205" s="27" t="str">
        <x:v>E02201</x:v>
      </x:c>
      <x:c r="B2205" s="27" t="str">
        <x:v>S21-SCI-01</x:v>
      </x:c>
      <x:c r="C2205" s="27" t="str">
        <x:v>Cell structure, membranes, and homeostasis</x:v>
      </x:c>
      <x:c r="D2205" s="27" t="str">
        <x:v>VERIFIED_BY</x:v>
      </x:c>
      <x:c r="E2205" s="27" t="str">
        <x:v>S21-SCI-01:EVIDENCE</x:v>
      </x:c>
      <x:c r="F2205" s="27" t="str">
        <x:v>Uses a model and evidence to trace a substance or regulation process through a cell.</x:v>
      </x:c>
      <x:c r="G2205" s="27" t="str">
        <x:v>S21</x:v>
      </x:c>
      <x:c r="H2205" s="27" t="str">
        <x:v>Science &amp; Engineering</x:v>
      </x:c>
      <x:c r="I2205" s="27" t="str">
        <x:v>SRC11</x:v>
      </x:c>
      <x:c r="J2205" s="27" t="str">
        <x:v>Observable evidence of usable learning.</x:v>
      </x:c>
    </x:row>
    <x:row r="2206">
      <x:c r="A2206" s="27" t="str">
        <x:v>E02202</x:v>
      </x:c>
      <x:c r="B2206" s="27" t="str">
        <x:v>S21-SCI-01</x:v>
      </x:c>
      <x:c r="C2206" s="27" t="str">
        <x:v>Previous node in domain progression</x:v>
      </x:c>
      <x:c r="D2206" s="27" t="str">
        <x:v>DOMAIN_SEQUENCE</x:v>
      </x:c>
      <x:c r="E2206" s="27" t="str">
        <x:v>S21-SCI-02</x:v>
      </x:c>
      <x:c r="F2206" s="27" t="str">
        <x:v>Photosynthesis, respiration, and biomolecules</x:v>
      </x:c>
      <x:c r="G2206" s="27" t="str">
        <x:v>S21</x:v>
      </x:c>
      <x:c r="H2206" s="27" t="str">
        <x:v>Science &amp; Engineering</x:v>
      </x:c>
      <x:c r="I2206" s="27" t="str">
        <x:v>SRC11</x:v>
      </x:c>
      <x:c r="J2206" s="27" t="str">
        <x:v>Ordered spiral link; consult explicit prerequisites for logical dependency.</x:v>
      </x:c>
    </x:row>
    <x:row r="2207">
      <x:c r="A2207" s="27" t="str">
        <x:v>E02203</x:v>
      </x:c>
      <x:c r="B2207" s="27" t="str">
        <x:v>S21-SCI-02:PREREQ</x:v>
      </x:c>
      <x:c r="C2207" s="27" t="str">
        <x:v>Grade 5 ecosystems, middle-school chemistry/energy, and proportional equations.</x:v>
      </x:c>
      <x:c r="D2207" s="27" t="str">
        <x:v>PREREQUISITE</x:v>
      </x:c>
      <x:c r="E2207" s="27" t="str">
        <x:v>S21-SCI-02</x:v>
      </x:c>
      <x:c r="F2207" s="27" t="str">
        <x:v>Photosynthesis, respiration, and biomolecules</x:v>
      </x:c>
      <x:c r="G2207" s="27" t="str">
        <x:v>S21</x:v>
      </x:c>
      <x:c r="H2207" s="27" t="str">
        <x:v>Science &amp; Engineering</x:v>
      </x:c>
      <x:c r="I2207" s="27" t="str">
        <x:v>SRC11</x:v>
      </x:c>
      <x:c r="J2207" s="27" t="str">
        <x:v>Incoming prerequisite relationship.</x:v>
      </x:c>
    </x:row>
    <x:row r="2208">
      <x:c r="A2208" s="27" t="str">
        <x:v>E02204</x:v>
      </x:c>
      <x:c r="B2208" s="27" t="str">
        <x:v>S21-SCI-02:GROUND</x:v>
      </x:c>
      <x:c r="C2208" s="27" t="str">
        <x:v>G6/G7 — Evidence-based formal system demonstrated through authentic transfer</x:v>
      </x:c>
      <x:c r="D2208" s="27" t="str">
        <x:v>GROUNDED_BY</x:v>
      </x:c>
      <x:c r="E2208" s="27" t="str">
        <x:v>S21-SCI-02</x:v>
      </x:c>
      <x:c r="F2208" s="27" t="str">
        <x:v>Photosynthesis, respiration, and biomolecules</x:v>
      </x:c>
      <x:c r="G2208" s="27" t="str">
        <x:v>S21</x:v>
      </x:c>
      <x:c r="H2208" s="27" t="str">
        <x:v>Science &amp; Engineering</x:v>
      </x:c>
      <x:c r="I2208" s="27" t="str">
        <x:v>SRC11</x:v>
      </x:c>
      <x:c r="J2208" s="27" t="str">
        <x:v>Grounding form used to preserve meaning.</x:v>
      </x:c>
    </x:row>
    <x:row r="2209">
      <x:c r="A2209" s="27" t="str">
        <x:v>E02205</x:v>
      </x:c>
      <x:c r="B2209" s="27" t="str">
        <x:v>S21-SCI-02</x:v>
      </x:c>
      <x:c r="C2209" s="27" t="str">
        <x:v>Photosynthesis, respiration, and biomolecules</x:v>
      </x:c>
      <x:c r="D2209" s="27" t="str">
        <x:v>CONNECTS_TO</x:v>
      </x:c>
      <x:c r="E2209" s="27" t="str">
        <x:v>S21-SCI-02:CROSS</x:v>
      </x:c>
      <x:c r="F2209" s="27" t="str">
        <x:v>Sensory observation and action; mathematics/data; reading/writing evidence; computing/models; health and environmental/civic decisions.</x:v>
      </x:c>
      <x:c r="G2209" s="27" t="str">
        <x:v>S21</x:v>
      </x:c>
      <x:c r="H2209" s="27" t="str">
        <x:v>Science &amp; Engineering</x:v>
      </x:c>
      <x:c r="I2209" s="27" t="str">
        <x:v>SRC11</x:v>
      </x:c>
      <x:c r="J2209" s="27" t="str">
        <x:v>Parallel subject and representation links.</x:v>
      </x:c>
    </x:row>
    <x:row r="2210">
      <x:c r="A2210" s="27" t="str">
        <x:v>E02206</x:v>
      </x:c>
      <x:c r="B2210" s="27" t="str">
        <x:v>S21-SCI-02</x:v>
      </x:c>
      <x:c r="C2210" s="27" t="str">
        <x:v>Photosynthesis, respiration, and biomolecules</x:v>
      </x:c>
      <x:c r="D2210" s="27" t="str">
        <x:v>UNLOCKS</x:v>
      </x:c>
      <x:c r="E2210" s="27" t="str">
        <x:v>S21-SCI-02:NEXT</x:v>
      </x:c>
      <x:c r="F2210" s="27" t="str">
        <x:v>Chemical matter/energy pathways connect cells to ecosystems.</x:v>
      </x:c>
      <x:c r="G2210" s="27" t="str">
        <x:v>S21</x:v>
      </x:c>
      <x:c r="H2210" s="27" t="str">
        <x:v>Science &amp; Engineering</x:v>
      </x:c>
      <x:c r="I2210" s="27" t="str">
        <x:v>SRC11</x:v>
      </x:c>
      <x:c r="J2210" s="27" t="str">
        <x:v>Outgoing use and placement rationale.</x:v>
      </x:c>
    </x:row>
    <x:row r="2211">
      <x:c r="A2211" s="27" t="str">
        <x:v>E02207</x:v>
      </x:c>
      <x:c r="B2211" s="27" t="str">
        <x:v>S21-SCI-02</x:v>
      </x:c>
      <x:c r="C2211" s="27" t="str">
        <x:v>Photosynthesis, respiration, and biomolecules</x:v>
      </x:c>
      <x:c r="D2211" s="27" t="str">
        <x:v>VERIFIED_BY</x:v>
      </x:c>
      <x:c r="E2211" s="27" t="str">
        <x:v>S21-SCI-02:EVIDENCE</x:v>
      </x:c>
      <x:c r="F2211" s="27" t="str">
        <x:v>Balances a conceptual matter/energy account and explains where atoms and usable energy move.</x:v>
      </x:c>
      <x:c r="G2211" s="27" t="str">
        <x:v>S21</x:v>
      </x:c>
      <x:c r="H2211" s="27" t="str">
        <x:v>Science &amp; Engineering</x:v>
      </x:c>
      <x:c r="I2211" s="27" t="str">
        <x:v>SRC11</x:v>
      </x:c>
      <x:c r="J2211" s="27" t="str">
        <x:v>Observable evidence of usable learning.</x:v>
      </x:c>
    </x:row>
    <x:row r="2212">
      <x:c r="A2212" s="27" t="str">
        <x:v>E02208</x:v>
      </x:c>
      <x:c r="B2212" s="27" t="str">
        <x:v>S21-SCI-02</x:v>
      </x:c>
      <x:c r="C2212" s="27" t="str">
        <x:v>Previous node in domain progression</x:v>
      </x:c>
      <x:c r="D2212" s="27" t="str">
        <x:v>DOMAIN_SEQUENCE</x:v>
      </x:c>
      <x:c r="E2212" s="27" t="str">
        <x:v>S21-SCI-03</x:v>
      </x:c>
      <x:c r="F2212" s="27" t="str">
        <x:v>DNA, gene expression, inheritance, and variation</x:v>
      </x:c>
      <x:c r="G2212" s="27" t="str">
        <x:v>S21</x:v>
      </x:c>
      <x:c r="H2212" s="27" t="str">
        <x:v>Science &amp; Engineering</x:v>
      </x:c>
      <x:c r="I2212" s="27" t="str">
        <x:v>SRC11</x:v>
      </x:c>
      <x:c r="J2212" s="27" t="str">
        <x:v>Ordered spiral link; consult explicit prerequisites for logical dependency.</x:v>
      </x:c>
    </x:row>
    <x:row r="2213">
      <x:c r="A2213" s="27" t="str">
        <x:v>E02209</x:v>
      </x:c>
      <x:c r="B2213" s="27" t="str">
        <x:v>S21-SCI-03:PREREQ</x:v>
      </x:c>
      <x:c r="C2213" s="27" t="str">
        <x:v>Middle-school heredity, cells, probability, and molecular models.</x:v>
      </x:c>
      <x:c r="D2213" s="27" t="str">
        <x:v>PREREQUISITE</x:v>
      </x:c>
      <x:c r="E2213" s="27" t="str">
        <x:v>S21-SCI-03</x:v>
      </x:c>
      <x:c r="F2213" s="27" t="str">
        <x:v>DNA, gene expression, inheritance, and variation</x:v>
      </x:c>
      <x:c r="G2213" s="27" t="str">
        <x:v>S21</x:v>
      </x:c>
      <x:c r="H2213" s="27" t="str">
        <x:v>Science &amp; Engineering</x:v>
      </x:c>
      <x:c r="I2213" s="27" t="str">
        <x:v>SRC11</x:v>
      </x:c>
      <x:c r="J2213" s="27" t="str">
        <x:v>Incoming prerequisite relationship.</x:v>
      </x:c>
    </x:row>
    <x:row r="2214">
      <x:c r="A2214" s="27" t="str">
        <x:v>E02210</x:v>
      </x:c>
      <x:c r="B2214" s="27" t="str">
        <x:v>S21-SCI-03:GROUND</x:v>
      </x:c>
      <x:c r="C2214" s="27" t="str">
        <x:v>G6/G7 — Evidence-based formal system demonstrated through authentic transfer</x:v>
      </x:c>
      <x:c r="D2214" s="27" t="str">
        <x:v>GROUNDED_BY</x:v>
      </x:c>
      <x:c r="E2214" s="27" t="str">
        <x:v>S21-SCI-03</x:v>
      </x:c>
      <x:c r="F2214" s="27" t="str">
        <x:v>DNA, gene expression, inheritance, and variation</x:v>
      </x:c>
      <x:c r="G2214" s="27" t="str">
        <x:v>S21</x:v>
      </x:c>
      <x:c r="H2214" s="27" t="str">
        <x:v>Science &amp; Engineering</x:v>
      </x:c>
      <x:c r="I2214" s="27" t="str">
        <x:v>SRC11</x:v>
      </x:c>
      <x:c r="J2214" s="27" t="str">
        <x:v>Grounding form used to preserve meaning.</x:v>
      </x:c>
    </x:row>
    <x:row r="2215">
      <x:c r="A2215" s="27" t="str">
        <x:v>E02211</x:v>
      </x:c>
      <x:c r="B2215" s="27" t="str">
        <x:v>S21-SCI-03</x:v>
      </x:c>
      <x:c r="C2215" s="27" t="str">
        <x:v>DNA, gene expression, inheritance, and variation</x:v>
      </x:c>
      <x:c r="D2215" s="27" t="str">
        <x:v>CONNECTS_TO</x:v>
      </x:c>
      <x:c r="E2215" s="27" t="str">
        <x:v>S21-SCI-03:CROSS</x:v>
      </x:c>
      <x:c r="F2215" s="27" t="str">
        <x:v>Sensory observation and action; mathematics/data; reading/writing evidence; computing/models; health and environmental/civic decisions.</x:v>
      </x:c>
      <x:c r="G2215" s="27" t="str">
        <x:v>S21</x:v>
      </x:c>
      <x:c r="H2215" s="27" t="str">
        <x:v>Science &amp; Engineering</x:v>
      </x:c>
      <x:c r="I2215" s="27" t="str">
        <x:v>SRC11</x:v>
      </x:c>
      <x:c r="J2215" s="27" t="str">
        <x:v>Parallel subject and representation links.</x:v>
      </x:c>
    </x:row>
    <x:row r="2216">
      <x:c r="A2216" s="27" t="str">
        <x:v>E02212</x:v>
      </x:c>
      <x:c r="B2216" s="27" t="str">
        <x:v>S21-SCI-03</x:v>
      </x:c>
      <x:c r="C2216" s="27" t="str">
        <x:v>DNA, gene expression, inheritance, and variation</x:v>
      </x:c>
      <x:c r="D2216" s="27" t="str">
        <x:v>UNLOCKS</x:v>
      </x:c>
      <x:c r="E2216" s="27" t="str">
        <x:v>S21-SCI-03:NEXT</x:v>
      </x:c>
      <x:c r="F2216" s="27" t="str">
        <x:v>Molecular and probabilistic mechanisms ground heredity and evolution.</x:v>
      </x:c>
      <x:c r="G2216" s="27" t="str">
        <x:v>S21</x:v>
      </x:c>
      <x:c r="H2216" s="27" t="str">
        <x:v>Science &amp; Engineering</x:v>
      </x:c>
      <x:c r="I2216" s="27" t="str">
        <x:v>SRC11</x:v>
      </x:c>
      <x:c r="J2216" s="27" t="str">
        <x:v>Outgoing use and placement rationale.</x:v>
      </x:c>
    </x:row>
    <x:row r="2217">
      <x:c r="A2217" s="27" t="str">
        <x:v>E02213</x:v>
      </x:c>
      <x:c r="B2217" s="27" t="str">
        <x:v>S21-SCI-03</x:v>
      </x:c>
      <x:c r="C2217" s="27" t="str">
        <x:v>DNA, gene expression, inheritance, and variation</x:v>
      </x:c>
      <x:c r="D2217" s="27" t="str">
        <x:v>VERIFIED_BY</x:v>
      </x:c>
      <x:c r="E2217" s="27" t="str">
        <x:v>S21-SCI-03:EVIDENCE</x:v>
      </x:c>
      <x:c r="F2217" s="27" t="str">
        <x:v>Uses models/data to predict an inheritance pattern and distinguish genotype, expression, and environment.</x:v>
      </x:c>
      <x:c r="G2217" s="27" t="str">
        <x:v>S21</x:v>
      </x:c>
      <x:c r="H2217" s="27" t="str">
        <x:v>Science &amp; Engineering</x:v>
      </x:c>
      <x:c r="I2217" s="27" t="str">
        <x:v>SRC11</x:v>
      </x:c>
      <x:c r="J2217" s="27" t="str">
        <x:v>Observable evidence of usable learning.</x:v>
      </x:c>
    </x:row>
    <x:row r="2218">
      <x:c r="A2218" s="27" t="str">
        <x:v>E02214</x:v>
      </x:c>
      <x:c r="B2218" s="27" t="str">
        <x:v>S21-SCI-03</x:v>
      </x:c>
      <x:c r="C2218" s="27" t="str">
        <x:v>Previous node in domain progression</x:v>
      </x:c>
      <x:c r="D2218" s="27" t="str">
        <x:v>DOMAIN_SEQUENCE</x:v>
      </x:c>
      <x:c r="E2218" s="27" t="str">
        <x:v>S21-SCI-04</x:v>
      </x:c>
      <x:c r="F2218" s="27" t="str">
        <x:v>Evidence, selection, speciation, and common ancestry</x:v>
      </x:c>
      <x:c r="G2218" s="27" t="str">
        <x:v>S21</x:v>
      </x:c>
      <x:c r="H2218" s="27" t="str">
        <x:v>Science &amp; Engineering</x:v>
      </x:c>
      <x:c r="I2218" s="27" t="str">
        <x:v>SRC11</x:v>
      </x:c>
      <x:c r="J2218" s="27" t="str">
        <x:v>Ordered spiral link; consult explicit prerequisites for logical dependency.</x:v>
      </x:c>
    </x:row>
    <x:row r="2219">
      <x:c r="A2219" s="27" t="str">
        <x:v>E02215</x:v>
      </x:c>
      <x:c r="B2219" s="27" t="str">
        <x:v>S21-SCI-04:PREREQ</x:v>
      </x:c>
      <x:c r="C2219" s="27" t="str">
        <x:v>Grade 8 natural selection and high-school genetics.</x:v>
      </x:c>
      <x:c r="D2219" s="27" t="str">
        <x:v>PREREQUISITE</x:v>
      </x:c>
      <x:c r="E2219" s="27" t="str">
        <x:v>S21-SCI-04</x:v>
      </x:c>
      <x:c r="F2219" s="27" t="str">
        <x:v>Evidence, selection, speciation, and common ancestry</x:v>
      </x:c>
      <x:c r="G2219" s="27" t="str">
        <x:v>S21</x:v>
      </x:c>
      <x:c r="H2219" s="27" t="str">
        <x:v>Science &amp; Engineering</x:v>
      </x:c>
      <x:c r="I2219" s="27" t="str">
        <x:v>SRC11</x:v>
      </x:c>
      <x:c r="J2219" s="27" t="str">
        <x:v>Incoming prerequisite relationship.</x:v>
      </x:c>
    </x:row>
    <x:row r="2220">
      <x:c r="A2220" s="27" t="str">
        <x:v>E02216</x:v>
      </x:c>
      <x:c r="B2220" s="27" t="str">
        <x:v>S21-SCI-04:GROUND</x:v>
      </x:c>
      <x:c r="C2220" s="27" t="str">
        <x:v>G6/G7 — Evidence-based formal system demonstrated through authentic transfer</x:v>
      </x:c>
      <x:c r="D2220" s="27" t="str">
        <x:v>GROUNDED_BY</x:v>
      </x:c>
      <x:c r="E2220" s="27" t="str">
        <x:v>S21-SCI-04</x:v>
      </x:c>
      <x:c r="F2220" s="27" t="str">
        <x:v>Evidence, selection, speciation, and common ancestry</x:v>
      </x:c>
      <x:c r="G2220" s="27" t="str">
        <x:v>S21</x:v>
      </x:c>
      <x:c r="H2220" s="27" t="str">
        <x:v>Science &amp; Engineering</x:v>
      </x:c>
      <x:c r="I2220" s="27" t="str">
        <x:v>SRC11</x:v>
      </x:c>
      <x:c r="J2220" s="27" t="str">
        <x:v>Grounding form used to preserve meaning.</x:v>
      </x:c>
    </x:row>
    <x:row r="2221">
      <x:c r="A2221" s="27" t="str">
        <x:v>E02217</x:v>
      </x:c>
      <x:c r="B2221" s="27" t="str">
        <x:v>S21-SCI-04</x:v>
      </x:c>
      <x:c r="C2221" s="27" t="str">
        <x:v>Evidence, selection, speciation, and common ancestry</x:v>
      </x:c>
      <x:c r="D2221" s="27" t="str">
        <x:v>CONNECTS_TO</x:v>
      </x:c>
      <x:c r="E2221" s="27" t="str">
        <x:v>S21-SCI-04:CROSS</x:v>
      </x:c>
      <x:c r="F2221" s="27" t="str">
        <x:v>Sensory observation and action; mathematics/data; reading/writing evidence; computing/models; health and environmental/civic decisions.</x:v>
      </x:c>
      <x:c r="G2221" s="27" t="str">
        <x:v>S21</x:v>
      </x:c>
      <x:c r="H2221" s="27" t="str">
        <x:v>Science &amp; Engineering</x:v>
      </x:c>
      <x:c r="I2221" s="27" t="str">
        <x:v>SRC11</x:v>
      </x:c>
      <x:c r="J2221" s="27" t="str">
        <x:v>Parallel subject and representation links.</x:v>
      </x:c>
    </x:row>
    <x:row r="2222">
      <x:c r="A2222" s="27" t="str">
        <x:v>E02218</x:v>
      </x:c>
      <x:c r="B2222" s="27" t="str">
        <x:v>S21-SCI-04</x:v>
      </x:c>
      <x:c r="C2222" s="27" t="str">
        <x:v>Evidence, selection, speciation, and common ancestry</x:v>
      </x:c>
      <x:c r="D2222" s="27" t="str">
        <x:v>UNLOCKS</x:v>
      </x:c>
      <x:c r="E2222" s="27" t="str">
        <x:v>S21-SCI-04:NEXT</x:v>
      </x:c>
      <x:c r="F2222" s="27" t="str">
        <x:v>Genetics supplies the variation/inheritance mechanism for evolutionary explanation.</x:v>
      </x:c>
      <x:c r="G2222" s="27" t="str">
        <x:v>S21</x:v>
      </x:c>
      <x:c r="H2222" s="27" t="str">
        <x:v>Science &amp; Engineering</x:v>
      </x:c>
      <x:c r="I2222" s="27" t="str">
        <x:v>SRC11</x:v>
      </x:c>
      <x:c r="J2222" s="27" t="str">
        <x:v>Outgoing use and placement rationale.</x:v>
      </x:c>
    </x:row>
    <x:row r="2223">
      <x:c r="A2223" s="27" t="str">
        <x:v>E02219</x:v>
      </x:c>
      <x:c r="B2223" s="27" t="str">
        <x:v>S21-SCI-04</x:v>
      </x:c>
      <x:c r="C2223" s="27" t="str">
        <x:v>Evidence, selection, speciation, and common ancestry</x:v>
      </x:c>
      <x:c r="D2223" s="27" t="str">
        <x:v>VERIFIED_BY</x:v>
      </x:c>
      <x:c r="E2223" s="27" t="str">
        <x:v>S21-SCI-04:EVIDENCE</x:v>
      </x:c>
      <x:c r="F2223" s="27" t="str">
        <x:v>Constructs a population-level evolutionary explanation using mechanism and multiple evidence types.</x:v>
      </x:c>
      <x:c r="G2223" s="27" t="str">
        <x:v>S21</x:v>
      </x:c>
      <x:c r="H2223" s="27" t="str">
        <x:v>Science &amp; Engineering</x:v>
      </x:c>
      <x:c r="I2223" s="27" t="str">
        <x:v>SRC11</x:v>
      </x:c>
      <x:c r="J2223" s="27" t="str">
        <x:v>Observable evidence of usable learning.</x:v>
      </x:c>
    </x:row>
    <x:row r="2224">
      <x:c r="A2224" s="27" t="str">
        <x:v>E02220</x:v>
      </x:c>
      <x:c r="B2224" s="27" t="str">
        <x:v>S21-SCI-04</x:v>
      </x:c>
      <x:c r="C2224" s="27" t="str">
        <x:v>Previous node in domain progression</x:v>
      </x:c>
      <x:c r="D2224" s="27" t="str">
        <x:v>DOMAIN_SEQUENCE</x:v>
      </x:c>
      <x:c r="E2224" s="27" t="str">
        <x:v>S21-SCI-05</x:v>
      </x:c>
      <x:c r="F2224" s="27" t="str">
        <x:v>Populations, ecosystems, cycles, and stability</x:v>
      </x:c>
      <x:c r="G2224" s="27" t="str">
        <x:v>S21</x:v>
      </x:c>
      <x:c r="H2224" s="27" t="str">
        <x:v>Science &amp; Engineering</x:v>
      </x:c>
      <x:c r="I2224" s="27" t="str">
        <x:v>SRC11</x:v>
      </x:c>
      <x:c r="J2224" s="27" t="str">
        <x:v>Ordered spiral link; consult explicit prerequisites for logical dependency.</x:v>
      </x:c>
    </x:row>
    <x:row r="2225">
      <x:c r="A2225" s="27" t="str">
        <x:v>E02221</x:v>
      </x:c>
      <x:c r="B2225" s="27" t="str">
        <x:v>S21-SCI-05:PREREQ</x:v>
      </x:c>
      <x:c r="C2225" s="27" t="str">
        <x:v>Middle-school ecosystems, statistics, and systems feedback.</x:v>
      </x:c>
      <x:c r="D2225" s="27" t="str">
        <x:v>PREREQUISITE</x:v>
      </x:c>
      <x:c r="E2225" s="27" t="str">
        <x:v>S21-SCI-05</x:v>
      </x:c>
      <x:c r="F2225" s="27" t="str">
        <x:v>Populations, ecosystems, cycles, and stability</x:v>
      </x:c>
      <x:c r="G2225" s="27" t="str">
        <x:v>S21</x:v>
      </x:c>
      <x:c r="H2225" s="27" t="str">
        <x:v>Science &amp; Engineering</x:v>
      </x:c>
      <x:c r="I2225" s="27" t="str">
        <x:v>SRC11</x:v>
      </x:c>
      <x:c r="J2225" s="27" t="str">
        <x:v>Incoming prerequisite relationship.</x:v>
      </x:c>
    </x:row>
    <x:row r="2226">
      <x:c r="A2226" s="27" t="str">
        <x:v>E02222</x:v>
      </x:c>
      <x:c r="B2226" s="27" t="str">
        <x:v>S21-SCI-05:GROUND</x:v>
      </x:c>
      <x:c r="C2226" s="27" t="str">
        <x:v>G6/G7 — Evidence-based formal system demonstrated through authentic transfer</x:v>
      </x:c>
      <x:c r="D2226" s="27" t="str">
        <x:v>GROUNDED_BY</x:v>
      </x:c>
      <x:c r="E2226" s="27" t="str">
        <x:v>S21-SCI-05</x:v>
      </x:c>
      <x:c r="F2226" s="27" t="str">
        <x:v>Populations, ecosystems, cycles, and stability</x:v>
      </x:c>
      <x:c r="G2226" s="27" t="str">
        <x:v>S21</x:v>
      </x:c>
      <x:c r="H2226" s="27" t="str">
        <x:v>Science &amp; Engineering</x:v>
      </x:c>
      <x:c r="I2226" s="27" t="str">
        <x:v>SRC11</x:v>
      </x:c>
      <x:c r="J2226" s="27" t="str">
        <x:v>Grounding form used to preserve meaning.</x:v>
      </x:c>
    </x:row>
    <x:row r="2227">
      <x:c r="A2227" s="27" t="str">
        <x:v>E02223</x:v>
      </x:c>
      <x:c r="B2227" s="27" t="str">
        <x:v>S21-SCI-05</x:v>
      </x:c>
      <x:c r="C2227" s="27" t="str">
        <x:v>Populations, ecosystems, cycles, and stability</x:v>
      </x:c>
      <x:c r="D2227" s="27" t="str">
        <x:v>CONNECTS_TO</x:v>
      </x:c>
      <x:c r="E2227" s="27" t="str">
        <x:v>S21-SCI-05:CROSS</x:v>
      </x:c>
      <x:c r="F2227" s="27" t="str">
        <x:v>Sensory observation and action; mathematics/data; reading/writing evidence; computing/models; health and environmental/civic decisions.</x:v>
      </x:c>
      <x:c r="G2227" s="27" t="str">
        <x:v>S21</x:v>
      </x:c>
      <x:c r="H2227" s="27" t="str">
        <x:v>Science &amp; Engineering</x:v>
      </x:c>
      <x:c r="I2227" s="27" t="str">
        <x:v>SRC11</x:v>
      </x:c>
      <x:c r="J2227" s="27" t="str">
        <x:v>Parallel subject and representation links.</x:v>
      </x:c>
    </x:row>
    <x:row r="2228">
      <x:c r="A2228" s="27" t="str">
        <x:v>E02224</x:v>
      </x:c>
      <x:c r="B2228" s="27" t="str">
        <x:v>S21-SCI-05</x:v>
      </x:c>
      <x:c r="C2228" s="27" t="str">
        <x:v>Populations, ecosystems, cycles, and stability</x:v>
      </x:c>
      <x:c r="D2228" s="27" t="str">
        <x:v>UNLOCKS</x:v>
      </x:c>
      <x:c r="E2228" s="27" t="str">
        <x:v>S21-SCI-05:NEXT</x:v>
      </x:c>
      <x:c r="F2228" s="27" t="str">
        <x:v>Ecology integrates biological organization with quantitative systems and policy choices.</x:v>
      </x:c>
      <x:c r="G2228" s="27" t="str">
        <x:v>S21</x:v>
      </x:c>
      <x:c r="H2228" s="27" t="str">
        <x:v>Science &amp; Engineering</x:v>
      </x:c>
      <x:c r="I2228" s="27" t="str">
        <x:v>SRC11</x:v>
      </x:c>
      <x:c r="J2228" s="27" t="str">
        <x:v>Outgoing use and placement rationale.</x:v>
      </x:c>
    </x:row>
    <x:row r="2229">
      <x:c r="A2229" s="27" t="str">
        <x:v>E02225</x:v>
      </x:c>
      <x:c r="B2229" s="27" t="str">
        <x:v>S21-SCI-05</x:v>
      </x:c>
      <x:c r="C2229" s="27" t="str">
        <x:v>Populations, ecosystems, cycles, and stability</x:v>
      </x:c>
      <x:c r="D2229" s="27" t="str">
        <x:v>VERIFIED_BY</x:v>
      </x:c>
      <x:c r="E2229" s="27" t="str">
        <x:v>S21-SCI-05:EVIDENCE</x:v>
      </x:c>
      <x:c r="F2229" s="27" t="str">
        <x:v>Analyzes a dataset/model to predict and explain an ecosystem response and uncertainty.</x:v>
      </x:c>
      <x:c r="G2229" s="27" t="str">
        <x:v>S21</x:v>
      </x:c>
      <x:c r="H2229" s="27" t="str">
        <x:v>Science &amp; Engineering</x:v>
      </x:c>
      <x:c r="I2229" s="27" t="str">
        <x:v>SRC11</x:v>
      </x:c>
      <x:c r="J2229" s="27" t="str">
        <x:v>Observable evidence of usable learning.</x:v>
      </x:c>
    </x:row>
    <x:row r="2230">
      <x:c r="A2230" s="27" t="str">
        <x:v>E02226</x:v>
      </x:c>
      <x:c r="B2230" s="27" t="str">
        <x:v>S20-SST-02</x:v>
      </x:c>
      <x:c r="C2230" s="27" t="str">
        <x:v>Previous node in domain progression</x:v>
      </x:c>
      <x:c r="D2230" s="27" t="str">
        <x:v>DOMAIN_SEQUENCE</x:v>
      </x:c>
      <x:c r="E2230" s="27" t="str">
        <x:v>S21-SST-01</x:v>
      </x:c>
      <x:c r="F2230" s="27" t="str">
        <x:v>Spatial systems, culture, states, and globalization</x:v>
      </x:c>
      <x:c r="G2230" s="27" t="str">
        <x:v>S21</x:v>
      </x:c>
      <x:c r="H2230" s="27" t="str">
        <x:v>Social Studies</x:v>
      </x:c>
      <x:c r="I2230" s="27" t="str">
        <x:v>SRC12; SRC24</x:v>
      </x:c>
      <x:c r="J2230" s="27" t="str">
        <x:v>Ordered spiral link; consult explicit prerequisites for logical dependency.</x:v>
      </x:c>
    </x:row>
    <x:row r="2231">
      <x:c r="A2231" s="27" t="str">
        <x:v>E02227</x:v>
      </x:c>
      <x:c r="B2231" s="27" t="str">
        <x:v>S21-SST-01:PREREQ</x:v>
      </x:c>
      <x:c r="C2231" s="27" t="str">
        <x:v>Grade 8 global change, source analysis, statistics, and maps.</x:v>
      </x:c>
      <x:c r="D2231" s="27" t="str">
        <x:v>PREREQUISITE</x:v>
      </x:c>
      <x:c r="E2231" s="27" t="str">
        <x:v>S21-SST-01</x:v>
      </x:c>
      <x:c r="F2231" s="27" t="str">
        <x:v>Spatial systems, culture, states, and globalization</x:v>
      </x:c>
      <x:c r="G2231" s="27" t="str">
        <x:v>S21</x:v>
      </x:c>
      <x:c r="H2231" s="27" t="str">
        <x:v>Social Studies</x:v>
      </x:c>
      <x:c r="I2231" s="27" t="str">
        <x:v>SRC12; SRC24</x:v>
      </x:c>
      <x:c r="J2231" s="27" t="str">
        <x:v>Incoming prerequisite relationship.</x:v>
      </x:c>
    </x:row>
    <x:row r="2232">
      <x:c r="A2232" s="27" t="str">
        <x:v>E02228</x:v>
      </x:c>
      <x:c r="B2232" s="27" t="str">
        <x:v>S21-SST-01:GROUND</x:v>
      </x:c>
      <x:c r="C2232" s="27" t="str">
        <x:v>G6/G7 — Evidence-based formal system demonstrated through authentic transfer</x:v>
      </x:c>
      <x:c r="D2232" s="27" t="str">
        <x:v>GROUNDED_BY</x:v>
      </x:c>
      <x:c r="E2232" s="27" t="str">
        <x:v>S21-SST-01</x:v>
      </x:c>
      <x:c r="F2232" s="27" t="str">
        <x:v>Spatial systems, culture, states, and globalization</x:v>
      </x:c>
      <x:c r="G2232" s="27" t="str">
        <x:v>S21</x:v>
      </x:c>
      <x:c r="H2232" s="27" t="str">
        <x:v>Social Studies</x:v>
      </x:c>
      <x:c r="I2232" s="27" t="str">
        <x:v>SRC12; SRC24</x:v>
      </x:c>
      <x:c r="J2232" s="27" t="str">
        <x:v>Grounding form used to preserve meaning.</x:v>
      </x:c>
    </x:row>
    <x:row r="2233">
      <x:c r="A2233" s="27" t="str">
        <x:v>E02229</x:v>
      </x:c>
      <x:c r="B2233" s="27" t="str">
        <x:v>S21-SST-01</x:v>
      </x:c>
      <x:c r="C2233" s="27" t="str">
        <x:v>Spatial systems, culture, states, and globalization</x:v>
      </x:c>
      <x:c r="D2233" s="27" t="str">
        <x:v>CONNECTS_TO</x:v>
      </x:c>
      <x:c r="E2233" s="27" t="str">
        <x:v>S21-SST-01:CROSS</x:v>
      </x:c>
      <x:c r="F2233" s="27" t="str">
        <x:v>Language/literacy and source evidence; maps/data/economics; ethics/SEL; media literacy; arts/culture; civic action.</x:v>
      </x:c>
      <x:c r="G2233" s="27" t="str">
        <x:v>S21</x:v>
      </x:c>
      <x:c r="H2233" s="27" t="str">
        <x:v>Social Studies</x:v>
      </x:c>
      <x:c r="I2233" s="27" t="str">
        <x:v>SRC12; SRC24</x:v>
      </x:c>
      <x:c r="J2233" s="27" t="str">
        <x:v>Parallel subject and representation links.</x:v>
      </x:c>
    </x:row>
    <x:row r="2234">
      <x:c r="A2234" s="27" t="str">
        <x:v>E02230</x:v>
      </x:c>
      <x:c r="B2234" s="27" t="str">
        <x:v>S21-SST-01</x:v>
      </x:c>
      <x:c r="C2234" s="27" t="str">
        <x:v>Spatial systems, culture, states, and globalization</x:v>
      </x:c>
      <x:c r="D2234" s="27" t="str">
        <x:v>UNLOCKS</x:v>
      </x:c>
      <x:c r="E2234" s="27" t="str">
        <x:v>S21-SST-01:NEXT</x:v>
      </x:c>
      <x:c r="F2234" s="27" t="str">
        <x:v>Spatial and historical systems explain why global patterns differ across place and time.</x:v>
      </x:c>
      <x:c r="G2234" s="27" t="str">
        <x:v>S21</x:v>
      </x:c>
      <x:c r="H2234" s="27" t="str">
        <x:v>Social Studies</x:v>
      </x:c>
      <x:c r="I2234" s="27" t="str">
        <x:v>SRC12; SRC24</x:v>
      </x:c>
      <x:c r="J2234" s="27" t="str">
        <x:v>Outgoing use and placement rationale.</x:v>
      </x:c>
    </x:row>
    <x:row r="2235">
      <x:c r="A2235" s="27" t="str">
        <x:v>E02231</x:v>
      </x:c>
      <x:c r="B2235" s="27" t="str">
        <x:v>S21-SST-01</x:v>
      </x:c>
      <x:c r="C2235" s="27" t="str">
        <x:v>Spatial systems, culture, states, and globalization</x:v>
      </x:c>
      <x:c r="D2235" s="27" t="str">
        <x:v>VERIFIED_BY</x:v>
      </x:c>
      <x:c r="E2235" s="27" t="str">
        <x:v>S21-SST-01:EVIDENCE</x:v>
      </x:c>
      <x:c r="F2235" s="27" t="str">
        <x:v>Builds a place-based explanation using mapped data, historical context, and multiple perspectives.</x:v>
      </x:c>
      <x:c r="G2235" s="27" t="str">
        <x:v>S21</x:v>
      </x:c>
      <x:c r="H2235" s="27" t="str">
        <x:v>Social Studies</x:v>
      </x:c>
      <x:c r="I2235" s="27" t="str">
        <x:v>SRC12; SRC24</x:v>
      </x:c>
      <x:c r="J2235" s="27" t="str">
        <x:v>Observable evidence of usable learning.</x:v>
      </x:c>
    </x:row>
    <x:row r="2236">
      <x:c r="A2236" s="27" t="str">
        <x:v>E02232</x:v>
      </x:c>
      <x:c r="B2236" s="27" t="str">
        <x:v>S21-SST-01</x:v>
      </x:c>
      <x:c r="C2236" s="27" t="str">
        <x:v>Previous node in domain progression</x:v>
      </x:c>
      <x:c r="D2236" s="27" t="str">
        <x:v>DOMAIN_SEQUENCE</x:v>
      </x:c>
      <x:c r="E2236" s="27" t="str">
        <x:v>S21-SST-02</x:v>
      </x:c>
      <x:c r="F2236" s="27" t="str">
        <x:v>Causation, comparison, and historical context</x:v>
      </x:c>
      <x:c r="G2236" s="27" t="str">
        <x:v>S21</x:v>
      </x:c>
      <x:c r="H2236" s="27" t="str">
        <x:v>Social Studies</x:v>
      </x:c>
      <x:c r="I2236" s="27" t="str">
        <x:v>SRC12</x:v>
      </x:c>
      <x:c r="J2236" s="27" t="str">
        <x:v>Ordered spiral link; consult explicit prerequisites for logical dependency.</x:v>
      </x:c>
    </x:row>
    <x:row r="2237">
      <x:c r="A2237" s="27" t="str">
        <x:v>E02233</x:v>
      </x:c>
      <x:c r="B2237" s="27" t="str">
        <x:v>S21-SST-02:PREREQ</x:v>
      </x:c>
      <x:c r="C2237" s="27" t="str">
        <x:v>Grade 8 multi-causal claims and source disagreement.</x:v>
      </x:c>
      <x:c r="D2237" s="27" t="str">
        <x:v>PREREQUISITE</x:v>
      </x:c>
      <x:c r="E2237" s="27" t="str">
        <x:v>S21-SST-02</x:v>
      </x:c>
      <x:c r="F2237" s="27" t="str">
        <x:v>Causation, comparison, and historical context</x:v>
      </x:c>
      <x:c r="G2237" s="27" t="str">
        <x:v>S21</x:v>
      </x:c>
      <x:c r="H2237" s="27" t="str">
        <x:v>Social Studies</x:v>
      </x:c>
      <x:c r="I2237" s="27" t="str">
        <x:v>SRC12</x:v>
      </x:c>
      <x:c r="J2237" s="27" t="str">
        <x:v>Incoming prerequisite relationship.</x:v>
      </x:c>
    </x:row>
    <x:row r="2238">
      <x:c r="A2238" s="27" t="str">
        <x:v>E02234</x:v>
      </x:c>
      <x:c r="B2238" s="27" t="str">
        <x:v>S21-SST-02:GROUND</x:v>
      </x:c>
      <x:c r="C2238" s="27" t="str">
        <x:v>G6/G7 — Evidence-based formal system demonstrated through authentic transfer</x:v>
      </x:c>
      <x:c r="D2238" s="27" t="str">
        <x:v>GROUNDED_BY</x:v>
      </x:c>
      <x:c r="E2238" s="27" t="str">
        <x:v>S21-SST-02</x:v>
      </x:c>
      <x:c r="F2238" s="27" t="str">
        <x:v>Causation, comparison, and historical context</x:v>
      </x:c>
      <x:c r="G2238" s="27" t="str">
        <x:v>S21</x:v>
      </x:c>
      <x:c r="H2238" s="27" t="str">
        <x:v>Social Studies</x:v>
      </x:c>
      <x:c r="I2238" s="27" t="str">
        <x:v>SRC12</x:v>
      </x:c>
      <x:c r="J2238" s="27" t="str">
        <x:v>Grounding form used to preserve meaning.</x:v>
      </x:c>
    </x:row>
    <x:row r="2239">
      <x:c r="A2239" s="27" t="str">
        <x:v>E02235</x:v>
      </x:c>
      <x:c r="B2239" s="27" t="str">
        <x:v>S21-SST-02</x:v>
      </x:c>
      <x:c r="C2239" s="27" t="str">
        <x:v>Causation, comparison, and historical context</x:v>
      </x:c>
      <x:c r="D2239" s="27" t="str">
        <x:v>CONNECTS_TO</x:v>
      </x:c>
      <x:c r="E2239" s="27" t="str">
        <x:v>S21-SST-02:CROSS</x:v>
      </x:c>
      <x:c r="F2239" s="27" t="str">
        <x:v>Language/literacy and source evidence; maps/data/economics; ethics/SEL; media literacy; arts/culture; civic action.</x:v>
      </x:c>
      <x:c r="G2239" s="27" t="str">
        <x:v>S21</x:v>
      </x:c>
      <x:c r="H2239" s="27" t="str">
        <x:v>Social Studies</x:v>
      </x:c>
      <x:c r="I2239" s="27" t="str">
        <x:v>SRC12</x:v>
      </x:c>
      <x:c r="J2239" s="27" t="str">
        <x:v>Parallel subject and representation links.</x:v>
      </x:c>
    </x:row>
    <x:row r="2240">
      <x:c r="A2240" s="27" t="str">
        <x:v>E02236</x:v>
      </x:c>
      <x:c r="B2240" s="27" t="str">
        <x:v>S21-SST-02</x:v>
      </x:c>
      <x:c r="C2240" s="27" t="str">
        <x:v>Causation, comparison, and historical context</x:v>
      </x:c>
      <x:c r="D2240" s="27" t="str">
        <x:v>UNLOCKS</x:v>
      </x:c>
      <x:c r="E2240" s="27" t="str">
        <x:v>S21-SST-02:NEXT</x:v>
      </x:c>
      <x:c r="F2240" s="27" t="str">
        <x:v>Explicit causal/context tools improve historical explanations and policy analogies.</x:v>
      </x:c>
      <x:c r="G2240" s="27" t="str">
        <x:v>S21</x:v>
      </x:c>
      <x:c r="H2240" s="27" t="str">
        <x:v>Social Studies</x:v>
      </x:c>
      <x:c r="I2240" s="27" t="str">
        <x:v>SRC12</x:v>
      </x:c>
      <x:c r="J2240" s="27" t="str">
        <x:v>Outgoing use and placement rationale.</x:v>
      </x:c>
    </x:row>
    <x:row r="2241">
      <x:c r="A2241" s="27" t="str">
        <x:v>E02237</x:v>
      </x:c>
      <x:c r="B2241" s="27" t="str">
        <x:v>S21-SST-02</x:v>
      </x:c>
      <x:c r="C2241" s="27" t="str">
        <x:v>Causation, comparison, and historical context</x:v>
      </x:c>
      <x:c r="D2241" s="27" t="str">
        <x:v>VERIFIED_BY</x:v>
      </x:c>
      <x:c r="E2241" s="27" t="str">
        <x:v>S21-SST-02:EVIDENCE</x:v>
      </x:c>
      <x:c r="F2241" s="27" t="str">
        <x:v>Writes a qualified causal argument with chronology, context, and corroborated evidence.</x:v>
      </x:c>
      <x:c r="G2241" s="27" t="str">
        <x:v>S21</x:v>
      </x:c>
      <x:c r="H2241" s="27" t="str">
        <x:v>Social Studies</x:v>
      </x:c>
      <x:c r="I2241" s="27" t="str">
        <x:v>SRC12</x:v>
      </x:c>
      <x:c r="J2241" s="27" t="str">
        <x:v>Observable evidence of usable learning.</x:v>
      </x:c>
    </x:row>
    <x:row r="2242">
      <x:c r="A2242" s="27" t="str">
        <x:v>E02238</x:v>
      </x:c>
      <x:c r="B2242" s="27" t="str">
        <x:v>S20-ARTS-01</x:v>
      </x:c>
      <x:c r="C2242" s="27" t="str">
        <x:v>Previous node in domain progression</x:v>
      </x:c>
      <x:c r="D2242" s="27" t="str">
        <x:v>DOMAIN_SEQUENCE</x:v>
      </x:c>
      <x:c r="E2242" s="27" t="str">
        <x:v>S21-ARTS-01</x:v>
      </x:c>
      <x:c r="F2242" s="27" t="str">
        <x:v>Proficient creating/performance/responding/connecting</x:v>
      </x:c>
      <x:c r="G2242" s="27" t="str">
        <x:v>S21</x:v>
      </x:c>
      <x:c r="H2242" s="27" t="str">
        <x:v>Music &amp; Arts</x:v>
      </x:c>
      <x:c r="I2242" s="27" t="str">
        <x:v>SRC13</x:v>
      </x:c>
      <x:c r="J2242" s="27" t="str">
        <x:v>Ordered spiral link; consult explicit prerequisites for logical dependency.</x:v>
      </x:c>
    </x:row>
    <x:row r="2243">
      <x:c r="A2243" s="27" t="str">
        <x:v>E02239</x:v>
      </x:c>
      <x:c r="B2243" s="27" t="str">
        <x:v>S21-ARTS-01:PREREQ</x:v>
      </x:c>
      <x:c r="C2243" s="27" t="str">
        <x:v>Grade 8 integrated musicianship/arts processes and independent project systems.</x:v>
      </x:c>
      <x:c r="D2243" s="27" t="str">
        <x:v>PREREQUISITE</x:v>
      </x:c>
      <x:c r="E2243" s="27" t="str">
        <x:v>S21-ARTS-01</x:v>
      </x:c>
      <x:c r="F2243" s="27" t="str">
        <x:v>Proficient creating/performance/responding/connecting</x:v>
      </x:c>
      <x:c r="G2243" s="27" t="str">
        <x:v>S21</x:v>
      </x:c>
      <x:c r="H2243" s="27" t="str">
        <x:v>Music &amp; Arts</x:v>
      </x:c>
      <x:c r="I2243" s="27" t="str">
        <x:v>SRC13</x:v>
      </x:c>
      <x:c r="J2243" s="27" t="str">
        <x:v>Incoming prerequisite relationship.</x:v>
      </x:c>
    </x:row>
    <x:row r="2244">
      <x:c r="A2244" s="27" t="str">
        <x:v>E02240</x:v>
      </x:c>
      <x:c r="B2244" s="27" t="str">
        <x:v>S21-ARTS-01:GROUND</x:v>
      </x:c>
      <x:c r="C2244" s="27" t="str">
        <x:v>G6/G7 — Evidence-based formal system demonstrated through authentic transfer</x:v>
      </x:c>
      <x:c r="D2244" s="27" t="str">
        <x:v>GROUNDED_BY</x:v>
      </x:c>
      <x:c r="E2244" s="27" t="str">
        <x:v>S21-ARTS-01</x:v>
      </x:c>
      <x:c r="F2244" s="27" t="str">
        <x:v>Proficient creating/performance/responding/connecting</x:v>
      </x:c>
      <x:c r="G2244" s="27" t="str">
        <x:v>S21</x:v>
      </x:c>
      <x:c r="H2244" s="27" t="str">
        <x:v>Music &amp; Arts</x:v>
      </x:c>
      <x:c r="I2244" s="27" t="str">
        <x:v>SRC13</x:v>
      </x:c>
      <x:c r="J2244" s="27" t="str">
        <x:v>Grounding form used to preserve meaning.</x:v>
      </x:c>
    </x:row>
    <x:row r="2245">
      <x:c r="A2245" s="27" t="str">
        <x:v>E02241</x:v>
      </x:c>
      <x:c r="B2245" s="27" t="str">
        <x:v>S21-ARTS-01</x:v>
      </x:c>
      <x:c r="C2245" s="27" t="str">
        <x:v>Proficient creating/performance/responding/connecting</x:v>
      </x:c>
      <x:c r="D2245" s="27" t="str">
        <x:v>CONNECTS_TO</x:v>
      </x:c>
      <x:c r="E2245" s="27" t="str">
        <x:v>S21-ARTS-01:CROSS</x:v>
      </x:c>
      <x:c r="F2245" s="27" t="str">
        <x:v>Sensory discrimination; motor timing; language/prosody; mathematics/pattern; history/culture; emotion, design, and technology.</x:v>
      </x:c>
      <x:c r="G2245" s="27" t="str">
        <x:v>S21</x:v>
      </x:c>
      <x:c r="H2245" s="27" t="str">
        <x:v>Music &amp; Arts</x:v>
      </x:c>
      <x:c r="I2245" s="27" t="str">
        <x:v>SRC13</x:v>
      </x:c>
      <x:c r="J2245" s="27" t="str">
        <x:v>Parallel subject and representation links.</x:v>
      </x:c>
    </x:row>
    <x:row r="2246">
      <x:c r="A2246" s="27" t="str">
        <x:v>E02242</x:v>
      </x:c>
      <x:c r="B2246" s="27" t="str">
        <x:v>S21-ARTS-01</x:v>
      </x:c>
      <x:c r="C2246" s="27" t="str">
        <x:v>Proficient creating/performance/responding/connecting</x:v>
      </x:c>
      <x:c r="D2246" s="27" t="str">
        <x:v>UNLOCKS</x:v>
      </x:c>
      <x:c r="E2246" s="27" t="str">
        <x:v>S21-ARTS-01:NEXT</x:v>
      </x:c>
      <x:c r="F2246" s="27" t="str">
        <x:v>A sustained portfolio demonstrates artistic growth, intention, technique, and reflective transfer.</x:v>
      </x:c>
      <x:c r="G2246" s="27" t="str">
        <x:v>S21</x:v>
      </x:c>
      <x:c r="H2246" s="27" t="str">
        <x:v>Music &amp; Arts</x:v>
      </x:c>
      <x:c r="I2246" s="27" t="str">
        <x:v>SRC13</x:v>
      </x:c>
      <x:c r="J2246" s="27" t="str">
        <x:v>Outgoing use and placement rationale.</x:v>
      </x:c>
    </x:row>
    <x:row r="2247">
      <x:c r="A2247" s="27" t="str">
        <x:v>E02243</x:v>
      </x:c>
      <x:c r="B2247" s="27" t="str">
        <x:v>S21-ARTS-01</x:v>
      </x:c>
      <x:c r="C2247" s="27" t="str">
        <x:v>Proficient creating/performance/responding/connecting</x:v>
      </x:c>
      <x:c r="D2247" s="27" t="str">
        <x:v>VERIFIED_BY</x:v>
      </x:c>
      <x:c r="E2247" s="27" t="str">
        <x:v>S21-ARTS-01:EVIDENCE</x:v>
      </x:c>
      <x:c r="F2247" s="27" t="str">
        <x:v>Presents a polished work/portfolio entry with process evidence and criteria-based reflection.</x:v>
      </x:c>
      <x:c r="G2247" s="27" t="str">
        <x:v>S21</x:v>
      </x:c>
      <x:c r="H2247" s="27" t="str">
        <x:v>Music &amp; Arts</x:v>
      </x:c>
      <x:c r="I2247" s="27" t="str">
        <x:v>SRC13</x:v>
      </x:c>
      <x:c r="J2247" s="27" t="str">
        <x:v>Observable evidence of usable learning.</x:v>
      </x:c>
    </x:row>
    <x:row r="2248">
      <x:c r="A2248" s="27" t="str">
        <x:v>E02244</x:v>
      </x:c>
      <x:c r="B2248" s="27" t="str">
        <x:v>S20-HLTH-01</x:v>
      </x:c>
      <x:c r="C2248" s="27" t="str">
        <x:v>Previous node in domain progression</x:v>
      </x:c>
      <x:c r="D2248" s="27" t="str">
        <x:v>DOMAIN_SEQUENCE</x:v>
      </x:c>
      <x:c r="E2248" s="27" t="str">
        <x:v>S21-HLTH-01</x:v>
      </x:c>
      <x:c r="F2248" s="27" t="str">
        <x:v>Personal fitness, mental health, relationships, and health systems</x:v>
      </x:c>
      <x:c r="G2248" s="27" t="str">
        <x:v>S21</x:v>
      </x:c>
      <x:c r="H2248" s="27" t="str">
        <x:v>Physical &amp; Health</x:v>
      </x:c>
      <x:c r="I2248" s="27" t="str">
        <x:v>SRC14; SRC15</x:v>
      </x:c>
      <x:c r="J2248" s="27" t="str">
        <x:v>Ordered spiral link; consult explicit prerequisites for logical dependency.</x:v>
      </x:c>
    </x:row>
    <x:row r="2249">
      <x:c r="A2249" s="27" t="str">
        <x:v>E02245</x:v>
      </x:c>
      <x:c r="B2249" s="27" t="str">
        <x:v>S21-HLTH-01:PREREQ</x:v>
      </x:c>
      <x:c r="C2249" s="27" t="str">
        <x:v>Grade 8 independent wellness, source evaluation, and self-advocacy.</x:v>
      </x:c>
      <x:c r="D2249" s="27" t="str">
        <x:v>PREREQUISITE</x:v>
      </x:c>
      <x:c r="E2249" s="27" t="str">
        <x:v>S21-HLTH-01</x:v>
      </x:c>
      <x:c r="F2249" s="27" t="str">
        <x:v>Personal fitness, mental health, relationships, and health systems</x:v>
      </x:c>
      <x:c r="G2249" s="27" t="str">
        <x:v>S21</x:v>
      </x:c>
      <x:c r="H2249" s="27" t="str">
        <x:v>Physical &amp; Health</x:v>
      </x:c>
      <x:c r="I2249" s="27" t="str">
        <x:v>SRC14; SRC15</x:v>
      </x:c>
      <x:c r="J2249" s="27" t="str">
        <x:v>Incoming prerequisite relationship.</x:v>
      </x:c>
    </x:row>
    <x:row r="2250">
      <x:c r="A2250" s="27" t="str">
        <x:v>E02246</x:v>
      </x:c>
      <x:c r="B2250" s="27" t="str">
        <x:v>S21-HLTH-01:GROUND</x:v>
      </x:c>
      <x:c r="C2250" s="27" t="str">
        <x:v>G6/G7 — Evidence-based formal system demonstrated through authentic transfer</x:v>
      </x:c>
      <x:c r="D2250" s="27" t="str">
        <x:v>GROUNDED_BY</x:v>
      </x:c>
      <x:c r="E2250" s="27" t="str">
        <x:v>S21-HLTH-01</x:v>
      </x:c>
      <x:c r="F2250" s="27" t="str">
        <x:v>Personal fitness, mental health, relationships, and health systems</x:v>
      </x:c>
      <x:c r="G2250" s="27" t="str">
        <x:v>S21</x:v>
      </x:c>
      <x:c r="H2250" s="27" t="str">
        <x:v>Physical &amp; Health</x:v>
      </x:c>
      <x:c r="I2250" s="27" t="str">
        <x:v>SRC14; SRC15</x:v>
      </x:c>
      <x:c r="J2250" s="27" t="str">
        <x:v>Grounding form used to preserve meaning.</x:v>
      </x:c>
    </x:row>
    <x:row r="2251">
      <x:c r="A2251" s="27" t="str">
        <x:v>E02247</x:v>
      </x:c>
      <x:c r="B2251" s="27" t="str">
        <x:v>S21-HLTH-01</x:v>
      </x:c>
      <x:c r="C2251" s="27" t="str">
        <x:v>Personal fitness, mental health, relationships, and health systems</x:v>
      </x:c>
      <x:c r="D2251" s="27" t="str">
        <x:v>CONNECTS_TO</x:v>
      </x:c>
      <x:c r="E2251" s="27" t="str">
        <x:v>S21-HLTH-01:CROSS</x:v>
      </x:c>
      <x:c r="F2251" s="27" t="str">
        <x:v>Motor/sensory development; life science; measurement/data; SEL/self-management; communication, safety, and decision-making.</x:v>
      </x:c>
      <x:c r="G2251" s="27" t="str">
        <x:v>S21</x:v>
      </x:c>
      <x:c r="H2251" s="27" t="str">
        <x:v>Physical &amp; Health</x:v>
      </x:c>
      <x:c r="I2251" s="27" t="str">
        <x:v>SRC14; SRC15</x:v>
      </x:c>
      <x:c r="J2251" s="27" t="str">
        <x:v>Parallel subject and representation links.</x:v>
      </x:c>
    </x:row>
    <x:row r="2252">
      <x:c r="A2252" s="27" t="str">
        <x:v>E02248</x:v>
      </x:c>
      <x:c r="B2252" s="27" t="str">
        <x:v>S21-HLTH-01</x:v>
      </x:c>
      <x:c r="C2252" s="27" t="str">
        <x:v>Personal fitness, mental health, relationships, and health systems</x:v>
      </x:c>
      <x:c r="D2252" s="27" t="str">
        <x:v>UNLOCKS</x:v>
      </x:c>
      <x:c r="E2252" s="27" t="str">
        <x:v>S21-HLTH-01:NEXT</x:v>
      </x:c>
      <x:c r="F2252" s="27" t="str">
        <x:v>Integrated health competence supports independent high-school and adult decisions.</x:v>
      </x:c>
      <x:c r="G2252" s="27" t="str">
        <x:v>S21</x:v>
      </x:c>
      <x:c r="H2252" s="27" t="str">
        <x:v>Physical &amp; Health</x:v>
      </x:c>
      <x:c r="I2252" s="27" t="str">
        <x:v>SRC14; SRC15</x:v>
      </x:c>
      <x:c r="J2252" s="27" t="str">
        <x:v>Outgoing use and placement rationale.</x:v>
      </x:c>
    </x:row>
    <x:row r="2253">
      <x:c r="A2253" s="27" t="str">
        <x:v>E02249</x:v>
      </x:c>
      <x:c r="B2253" s="27" t="str">
        <x:v>S21-HLTH-01</x:v>
      </x:c>
      <x:c r="C2253" s="27" t="str">
        <x:v>Personal fitness, mental health, relationships, and health systems</x:v>
      </x:c>
      <x:c r="D2253" s="27" t="str">
        <x:v>VERIFIED_BY</x:v>
      </x:c>
      <x:c r="E2253" s="27" t="str">
        <x:v>S21-HLTH-01:EVIDENCE</x:v>
      </x:c>
      <x:c r="F2253" s="27" t="str">
        <x:v>Implements a plan and correctly navigates a realistic health-information/service scenario.</x:v>
      </x:c>
      <x:c r="G2253" s="27" t="str">
        <x:v>S21</x:v>
      </x:c>
      <x:c r="H2253" s="27" t="str">
        <x:v>Physical &amp; Health</x:v>
      </x:c>
      <x:c r="I2253" s="27" t="str">
        <x:v>SRC14; SRC15</x:v>
      </x:c>
      <x:c r="J2253" s="27" t="str">
        <x:v>Observable evidence of usable learning.</x:v>
      </x:c>
    </x:row>
    <x:row r="2254">
      <x:c r="A2254" s="27" t="str">
        <x:v>E02250</x:v>
      </x:c>
      <x:c r="B2254" s="27" t="str">
        <x:v>S20-COMP-02</x:v>
      </x:c>
      <x:c r="C2254" s="27" t="str">
        <x:v>Previous node in domain progression</x:v>
      </x:c>
      <x:c r="D2254" s="27" t="str">
        <x:v>DOMAIN_SEQUENCE</x:v>
      </x:c>
      <x:c r="E2254" s="27" t="str">
        <x:v>S21-COMP-01</x:v>
      </x:c>
      <x:c r="F2254" s="27" t="str">
        <x:v>Programming design, data, networks, and impacts</x:v>
      </x:c>
      <x:c r="G2254" s="27" t="str">
        <x:v>S21</x:v>
      </x:c>
      <x:c r="H2254" s="27" t="str">
        <x:v>Computing &amp; Media</x:v>
      </x:c>
      <x:c r="I2254" s="27" t="str">
        <x:v>SRC16</x:v>
      </x:c>
      <x:c r="J2254" s="27" t="str">
        <x:v>Ordered spiral link; consult explicit prerequisites for logical dependency.</x:v>
      </x:c>
    </x:row>
    <x:row r="2255">
      <x:c r="A2255" s="27" t="str">
        <x:v>E02251</x:v>
      </x:c>
      <x:c r="B2255" s="27" t="str">
        <x:v>S21-COMP-01:PREREQ</x:v>
      </x:c>
      <x:c r="C2255" s="27" t="str">
        <x:v>Grade 8 collaborative programming, algorithm tradeoffs, and digital verification.</x:v>
      </x:c>
      <x:c r="D2255" s="27" t="str">
        <x:v>PREREQUISITE</x:v>
      </x:c>
      <x:c r="E2255" s="27" t="str">
        <x:v>S21-COMP-01</x:v>
      </x:c>
      <x:c r="F2255" s="27" t="str">
        <x:v>Programming design, data, networks, and impacts</x:v>
      </x:c>
      <x:c r="G2255" s="27" t="str">
        <x:v>S21</x:v>
      </x:c>
      <x:c r="H2255" s="27" t="str">
        <x:v>Computing &amp; Media</x:v>
      </x:c>
      <x:c r="I2255" s="27" t="str">
        <x:v>SRC16</x:v>
      </x:c>
      <x:c r="J2255" s="27" t="str">
        <x:v>Incoming prerequisite relationship.</x:v>
      </x:c>
    </x:row>
    <x:row r="2256">
      <x:c r="A2256" s="27" t="str">
        <x:v>E02252</x:v>
      </x:c>
      <x:c r="B2256" s="27" t="str">
        <x:v>S21-COMP-01:GROUND</x:v>
      </x:c>
      <x:c r="C2256" s="27" t="str">
        <x:v>G6/G7 — Evidence-based formal system demonstrated through authentic transfer</x:v>
      </x:c>
      <x:c r="D2256" s="27" t="str">
        <x:v>GROUNDED_BY</x:v>
      </x:c>
      <x:c r="E2256" s="27" t="str">
        <x:v>S21-COMP-01</x:v>
      </x:c>
      <x:c r="F2256" s="27" t="str">
        <x:v>Programming design, data, networks, and impacts</x:v>
      </x:c>
      <x:c r="G2256" s="27" t="str">
        <x:v>S21</x:v>
      </x:c>
      <x:c r="H2256" s="27" t="str">
        <x:v>Computing &amp; Media</x:v>
      </x:c>
      <x:c r="I2256" s="27" t="str">
        <x:v>SRC16</x:v>
      </x:c>
      <x:c r="J2256" s="27" t="str">
        <x:v>Grounding form used to preserve meaning.</x:v>
      </x:c>
    </x:row>
    <x:row r="2257">
      <x:c r="A2257" s="27" t="str">
        <x:v>E02253</x:v>
      </x:c>
      <x:c r="B2257" s="27" t="str">
        <x:v>S21-COMP-01</x:v>
      </x:c>
      <x:c r="C2257" s="27" t="str">
        <x:v>Programming design, data, networks, and impacts</x:v>
      </x:c>
      <x:c r="D2257" s="27" t="str">
        <x:v>CONNECTS_TO</x:v>
      </x:c>
      <x:c r="E2257" s="27" t="str">
        <x:v>S21-COMP-01:CROSS</x:v>
      </x:c>
      <x:c r="F2257" s="27" t="str">
        <x:v>Mathematics/logic/data; language and media evidence; science/engineering models; art/design; civics, privacy, finance, and ethics.</x:v>
      </x:c>
      <x:c r="G2257" s="27" t="str">
        <x:v>S21</x:v>
      </x:c>
      <x:c r="H2257" s="27" t="str">
        <x:v>Computing &amp; Media</x:v>
      </x:c>
      <x:c r="I2257" s="27" t="str">
        <x:v>SRC16</x:v>
      </x:c>
      <x:c r="J2257" s="27" t="str">
        <x:v>Parallel subject and representation links.</x:v>
      </x:c>
    </x:row>
    <x:row r="2258">
      <x:c r="A2258" s="27" t="str">
        <x:v>E02254</x:v>
      </x:c>
      <x:c r="B2258" s="27" t="str">
        <x:v>S21-COMP-01</x:v>
      </x:c>
      <x:c r="C2258" s="27" t="str">
        <x:v>Programming design, data, networks, and impacts</x:v>
      </x:c>
      <x:c r="D2258" s="27" t="str">
        <x:v>UNLOCKS</x:v>
      </x:c>
      <x:c r="E2258" s="27" t="str">
        <x:v>S21-COMP-01:NEXT</x:v>
      </x:c>
      <x:c r="F2258" s="27" t="str">
        <x:v>A complete design-test-impact cycle prepares specialty CS pathways.</x:v>
      </x:c>
      <x:c r="G2258" s="27" t="str">
        <x:v>S21</x:v>
      </x:c>
      <x:c r="H2258" s="27" t="str">
        <x:v>Computing &amp; Media</x:v>
      </x:c>
      <x:c r="I2258" s="27" t="str">
        <x:v>SRC16</x:v>
      </x:c>
      <x:c r="J2258" s="27" t="str">
        <x:v>Outgoing use and placement rationale.</x:v>
      </x:c>
    </x:row>
    <x:row r="2259">
      <x:c r="A2259" s="27" t="str">
        <x:v>E02255</x:v>
      </x:c>
      <x:c r="B2259" s="27" t="str">
        <x:v>S21-COMP-01</x:v>
      </x:c>
      <x:c r="C2259" s="27" t="str">
        <x:v>Programming design, data, networks, and impacts</x:v>
      </x:c>
      <x:c r="D2259" s="27" t="str">
        <x:v>VERIFIED_BY</x:v>
      </x:c>
      <x:c r="E2259" s="27" t="str">
        <x:v>S21-COMP-01:EVIDENCE</x:v>
      </x:c>
      <x:c r="F2259" s="27" t="str">
        <x:v>Delivers documented software plus tests, data/system explanation, and impact analysis.</x:v>
      </x:c>
      <x:c r="G2259" s="27" t="str">
        <x:v>S21</x:v>
      </x:c>
      <x:c r="H2259" s="27" t="str">
        <x:v>Computing &amp; Media</x:v>
      </x:c>
      <x:c r="I2259" s="27" t="str">
        <x:v>SRC16</x:v>
      </x:c>
      <x:c r="J2259" s="27" t="str">
        <x:v>Observable evidence of usable learning.</x:v>
      </x:c>
    </x:row>
    <x:row r="2260">
      <x:c r="A2260" s="27" t="str">
        <x:v>E02256</x:v>
      </x:c>
      <x:c r="B2260" s="27" t="str">
        <x:v>S20-WLANG-01</x:v>
      </x:c>
      <x:c r="C2260" s="27" t="str">
        <x:v>Previous node in domain progression</x:v>
      </x:c>
      <x:c r="D2260" s="27" t="str">
        <x:v>DOMAIN_SEQUENCE</x:v>
      </x:c>
      <x:c r="E2260" s="27" t="str">
        <x:v>S21-WLANG-01</x:v>
      </x:c>
      <x:c r="F2260" s="27" t="str">
        <x:v>Intermediate communication and cultural inquiry</x:v>
      </x:c>
      <x:c r="G2260" s="27" t="str">
        <x:v>S21</x:v>
      </x:c>
      <x:c r="H2260" s="27" t="str">
        <x:v>World Languages</x:v>
      </x:c>
      <x:c r="I2260" s="27" t="str">
        <x:v>SRC17</x:v>
      </x:c>
      <x:c r="J2260" s="27" t="str">
        <x:v>Ordered spiral link; consult explicit prerequisites for logical dependency.</x:v>
      </x:c>
    </x:row>
    <x:row r="2261">
      <x:c r="A2261" s="27" t="str">
        <x:v>E02257</x:v>
      </x:c>
      <x:c r="B2261" s="27" t="str">
        <x:v>S21-WLANG-01:PREREQ</x:v>
      </x:c>
      <x:c r="C2261" s="27" t="str">
        <x:v>Grade 8 intermediate-mid use and high-school research methods.</x:v>
      </x:c>
      <x:c r="D2261" s="27" t="str">
        <x:v>PREREQUISITE</x:v>
      </x:c>
      <x:c r="E2261" s="27" t="str">
        <x:v>S21-WLANG-01</x:v>
      </x:c>
      <x:c r="F2261" s="27" t="str">
        <x:v>Intermediate communication and cultural inquiry</x:v>
      </x:c>
      <x:c r="G2261" s="27" t="str">
        <x:v>S21</x:v>
      </x:c>
      <x:c r="H2261" s="27" t="str">
        <x:v>World Languages</x:v>
      </x:c>
      <x:c r="I2261" s="27" t="str">
        <x:v>SRC17</x:v>
      </x:c>
      <x:c r="J2261" s="27" t="str">
        <x:v>Incoming prerequisite relationship.</x:v>
      </x:c>
    </x:row>
    <x:row r="2262">
      <x:c r="A2262" s="27" t="str">
        <x:v>E02258</x:v>
      </x:c>
      <x:c r="B2262" s="27" t="str">
        <x:v>S21-WLANG-01:GROUND</x:v>
      </x:c>
      <x:c r="C2262" s="27" t="str">
        <x:v>G6/G7 — Evidence-based formal system demonstrated through authentic transfer</x:v>
      </x:c>
      <x:c r="D2262" s="27" t="str">
        <x:v>GROUNDED_BY</x:v>
      </x:c>
      <x:c r="E2262" s="27" t="str">
        <x:v>S21-WLANG-01</x:v>
      </x:c>
      <x:c r="F2262" s="27" t="str">
        <x:v>Intermediate communication and cultural inquiry</x:v>
      </x:c>
      <x:c r="G2262" s="27" t="str">
        <x:v>S21</x:v>
      </x:c>
      <x:c r="H2262" s="27" t="str">
        <x:v>World Languages</x:v>
      </x:c>
      <x:c r="I2262" s="27" t="str">
        <x:v>SRC17</x:v>
      </x:c>
      <x:c r="J2262" s="27" t="str">
        <x:v>Grounding form used to preserve meaning.</x:v>
      </x:c>
    </x:row>
    <x:row r="2263">
      <x:c r="A2263" s="27" t="str">
        <x:v>E02259</x:v>
      </x:c>
      <x:c r="B2263" s="27" t="str">
        <x:v>S21-WLANG-01</x:v>
      </x:c>
      <x:c r="C2263" s="27" t="str">
        <x:v>Intermediate communication and cultural inquiry</x:v>
      </x:c>
      <x:c r="D2263" s="27" t="str">
        <x:v>CONNECTS_TO</x:v>
      </x:c>
      <x:c r="E2263" s="27" t="str">
        <x:v>S21-WLANG-01:CROSS</x:v>
      </x:c>
      <x:c r="F2263" s="27" t="str">
        <x:v>Oral language, reading, and writing; memory/retrieval; social interaction; history/geography/arts; intercultural perspective.</x:v>
      </x:c>
      <x:c r="G2263" s="27" t="str">
        <x:v>S21</x:v>
      </x:c>
      <x:c r="H2263" s="27" t="str">
        <x:v>World Languages</x:v>
      </x:c>
      <x:c r="I2263" s="27" t="str">
        <x:v>SRC17</x:v>
      </x:c>
      <x:c r="J2263" s="27" t="str">
        <x:v>Parallel subject and representation links.</x:v>
      </x:c>
    </x:row>
    <x:row r="2264">
      <x:c r="A2264" s="27" t="str">
        <x:v>E02260</x:v>
      </x:c>
      <x:c r="B2264" s="27" t="str">
        <x:v>S21-WLANG-01</x:v>
      </x:c>
      <x:c r="C2264" s="27" t="str">
        <x:v>Intermediate communication and cultural inquiry</x:v>
      </x:c>
      <x:c r="D2264" s="27" t="str">
        <x:v>UNLOCKS</x:v>
      </x:c>
      <x:c r="E2264" s="27" t="str">
        <x:v>S21-WLANG-01:NEXT</x:v>
      </x:c>
      <x:c r="F2264" s="27" t="str">
        <x:v>Authentic inquiry links language proficiency with disciplinary and intercultural knowledge.</x:v>
      </x:c>
      <x:c r="G2264" s="27" t="str">
        <x:v>S21</x:v>
      </x:c>
      <x:c r="H2264" s="27" t="str">
        <x:v>World Languages</x:v>
      </x:c>
      <x:c r="I2264" s="27" t="str">
        <x:v>SRC17</x:v>
      </x:c>
      <x:c r="J2264" s="27" t="str">
        <x:v>Outgoing use and placement rationale.</x:v>
      </x:c>
    </x:row>
    <x:row r="2265">
      <x:c r="A2265" s="27" t="str">
        <x:v>E02261</x:v>
      </x:c>
      <x:c r="B2265" s="27" t="str">
        <x:v>S21-WLANG-01</x:v>
      </x:c>
      <x:c r="C2265" s="27" t="str">
        <x:v>Intermediate communication and cultural inquiry</x:v>
      </x:c>
      <x:c r="D2265" s="27" t="str">
        <x:v>VERIFIED_BY</x:v>
      </x:c>
      <x:c r="E2265" s="27" t="str">
        <x:v>S21-WLANG-01:EVIDENCE</x:v>
      </x:c>
      <x:c r="F2265" s="27" t="str">
        <x:v>Completes an extended interaction/presentation and supports a cultural interpretation from sources.</x:v>
      </x:c>
      <x:c r="G2265" s="27" t="str">
        <x:v>S21</x:v>
      </x:c>
      <x:c r="H2265" s="27" t="str">
        <x:v>World Languages</x:v>
      </x:c>
      <x:c r="I2265" s="27" t="str">
        <x:v>SRC17</x:v>
      </x:c>
      <x:c r="J2265" s="27" t="str">
        <x:v>Observable evidence of usable learning.</x:v>
      </x:c>
    </x:row>
    <x:row r="2266">
      <x:c r="A2266" s="27" t="str">
        <x:v>E02262</x:v>
      </x:c>
      <x:c r="B2266" s="27" t="str">
        <x:v>S20-LIFE-01</x:v>
      </x:c>
      <x:c r="C2266" s="27" t="str">
        <x:v>Previous node in domain progression</x:v>
      </x:c>
      <x:c r="D2266" s="27" t="str">
        <x:v>DOMAIN_SEQUENCE</x:v>
      </x:c>
      <x:c r="E2266" s="27" t="str">
        <x:v>S21-LIFE-01</x:v>
      </x:c>
      <x:c r="F2266" s="27" t="str">
        <x:v>Four-year pathway, employability, income, and budget</x:v>
      </x:c>
      <x:c r="G2266" s="27" t="str">
        <x:v>S21</x:v>
      </x:c>
      <x:c r="H2266" s="27" t="str">
        <x:v>Life, Finance &amp; Career</x:v>
      </x:c>
      <x:c r="I2266" s="27" t="str">
        <x:v>SRC19</x:v>
      </x:c>
      <x:c r="J2266" s="27" t="str">
        <x:v>Ordered spiral link; consult explicit prerequisites for logical dependency.</x:v>
      </x:c>
    </x:row>
    <x:row r="2267">
      <x:c r="A2267" s="27" t="str">
        <x:v>E02263</x:v>
      </x:c>
      <x:c r="B2267" s="27" t="str">
        <x:v>S21-LIFE-01:PREREQ</x:v>
      </x:c>
      <x:c r="C2267" s="27" t="str">
        <x:v>Grade 8 pathway/banking, Algebra I functions, and workload systems.</x:v>
      </x:c>
      <x:c r="D2267" s="27" t="str">
        <x:v>PREREQUISITE</x:v>
      </x:c>
      <x:c r="E2267" s="27" t="str">
        <x:v>S21-LIFE-01</x:v>
      </x:c>
      <x:c r="F2267" s="27" t="str">
        <x:v>Four-year pathway, employability, income, and budget</x:v>
      </x:c>
      <x:c r="G2267" s="27" t="str">
        <x:v>S21</x:v>
      </x:c>
      <x:c r="H2267" s="27" t="str">
        <x:v>Life, Finance &amp; Career</x:v>
      </x:c>
      <x:c r="I2267" s="27" t="str">
        <x:v>SRC19</x:v>
      </x:c>
      <x:c r="J2267" s="27" t="str">
        <x:v>Incoming prerequisite relationship.</x:v>
      </x:c>
    </x:row>
    <x:row r="2268">
      <x:c r="A2268" s="27" t="str">
        <x:v>E02264</x:v>
      </x:c>
      <x:c r="B2268" s="27" t="str">
        <x:v>S21-LIFE-01:GROUND</x:v>
      </x:c>
      <x:c r="C2268" s="27" t="str">
        <x:v>G6/G7 — Evidence-based formal system demonstrated through authentic transfer</x:v>
      </x:c>
      <x:c r="D2268" s="27" t="str">
        <x:v>GROUNDED_BY</x:v>
      </x:c>
      <x:c r="E2268" s="27" t="str">
        <x:v>S21-LIFE-01</x:v>
      </x:c>
      <x:c r="F2268" s="27" t="str">
        <x:v>Four-year pathway, employability, income, and budget</x:v>
      </x:c>
      <x:c r="G2268" s="27" t="str">
        <x:v>S21</x:v>
      </x:c>
      <x:c r="H2268" s="27" t="str">
        <x:v>Life, Finance &amp; Career</x:v>
      </x:c>
      <x:c r="I2268" s="27" t="str">
        <x:v>SRC19</x:v>
      </x:c>
      <x:c r="J2268" s="27" t="str">
        <x:v>Grounding form used to preserve meaning.</x:v>
      </x:c>
    </x:row>
    <x:row r="2269">
      <x:c r="A2269" s="27" t="str">
        <x:v>E02265</x:v>
      </x:c>
      <x:c r="B2269" s="27" t="str">
        <x:v>S21-LIFE-01</x:v>
      </x:c>
      <x:c r="C2269" s="27" t="str">
        <x:v>Four-year pathway, employability, income, and budget</x:v>
      </x:c>
      <x:c r="D2269" s="27" t="str">
        <x:v>CONNECTS_TO</x:v>
      </x:c>
      <x:c r="E2269" s="27" t="str">
        <x:v>S21-LIFE-01:CROSS</x:v>
      </x:c>
      <x:c r="F2269" s="27" t="str">
        <x:v>Mathematics/percent/growth; economics/civics; reading contracts/sources; computing/privacy; SEL, planning, and risk decisions.</x:v>
      </x:c>
      <x:c r="G2269" s="27" t="str">
        <x:v>S21</x:v>
      </x:c>
      <x:c r="H2269" s="27" t="str">
        <x:v>Life, Finance &amp; Career</x:v>
      </x:c>
      <x:c r="I2269" s="27" t="str">
        <x:v>SRC19</x:v>
      </x:c>
      <x:c r="J2269" s="27" t="str">
        <x:v>Parallel subject and representation links.</x:v>
      </x:c>
    </x:row>
    <x:row r="2270">
      <x:c r="A2270" s="27" t="str">
        <x:v>E02266</x:v>
      </x:c>
      <x:c r="B2270" s="27" t="str">
        <x:v>S21-LIFE-01</x:v>
      </x:c>
      <x:c r="C2270" s="27" t="str">
        <x:v>Four-year pathway, employability, income, and budget</x:v>
      </x:c>
      <x:c r="D2270" s="27" t="str">
        <x:v>UNLOCKS</x:v>
      </x:c>
      <x:c r="E2270" s="27" t="str">
        <x:v>S21-LIFE-01:NEXT</x:v>
      </x:c>
      <x:c r="F2270" s="27" t="str">
        <x:v>A quantified pathway links education, work, time, and financial choices.</x:v>
      </x:c>
      <x:c r="G2270" s="27" t="str">
        <x:v>S21</x:v>
      </x:c>
      <x:c r="H2270" s="27" t="str">
        <x:v>Life, Finance &amp; Career</x:v>
      </x:c>
      <x:c r="I2270" s="27" t="str">
        <x:v>SRC19</x:v>
      </x:c>
      <x:c r="J2270" s="27" t="str">
        <x:v>Outgoing use and placement rationale.</x:v>
      </x:c>
    </x:row>
    <x:row r="2271">
      <x:c r="A2271" s="27" t="str">
        <x:v>E02267</x:v>
      </x:c>
      <x:c r="B2271" s="27" t="str">
        <x:v>S21-LIFE-01</x:v>
      </x:c>
      <x:c r="C2271" s="27" t="str">
        <x:v>Four-year pathway, employability, income, and budget</x:v>
      </x:c>
      <x:c r="D2271" s="27" t="str">
        <x:v>VERIFIED_BY</x:v>
      </x:c>
      <x:c r="E2271" s="27" t="str">
        <x:v>S21-LIFE-01:EVIDENCE</x:v>
      </x:c>
      <x:c r="F2271" s="27" t="str">
        <x:v>Produces a four-year plan and balanced budget using documented assumptions and revision triggers.</x:v>
      </x:c>
      <x:c r="G2271" s="27" t="str">
        <x:v>S21</x:v>
      </x:c>
      <x:c r="H2271" s="27" t="str">
        <x:v>Life, Finance &amp; Career</x:v>
      </x:c>
      <x:c r="I2271" s="27" t="str">
        <x:v>SRC19</x:v>
      </x:c>
      <x:c r="J2271" s="27" t="str">
        <x:v>Observable evidence of usable learning.</x:v>
      </x:c>
    </x:row>
    <x:row r="2272">
      <x:c r="A2272" s="27" t="str">
        <x:v>E02268</x:v>
      </x:c>
      <x:c r="B2272" s="27" t="str">
        <x:v>S21-LEARN-01</x:v>
      </x:c>
      <x:c r="C2272" s="27" t="str">
        <x:v>Previous node in domain progression</x:v>
      </x:c>
      <x:c r="D2272" s="27" t="str">
        <x:v>DOMAIN_SEQUENCE</x:v>
      </x:c>
      <x:c r="E2272" s="27" t="str">
        <x:v>S22-LEARN-01</x:v>
      </x:c>
      <x:c r="F2272" s="27" t="str">
        <x:v>Schema building and compression</x:v>
      </x:c>
      <x:c r="G2272" s="27" t="str">
        <x:v>S22</x:v>
      </x:c>
      <x:c r="H2272" s="27" t="str">
        <x:v>Learning Foundations</x:v>
      </x:c>
      <x:c r="I2272" s="27" t="str">
        <x:v>SRC23; SRC29; SRC30</x:v>
      </x:c>
      <x:c r="J2272" s="27" t="str">
        <x:v>Ordered spiral link; consult explicit prerequisites for logical dependency.</x:v>
      </x:c>
    </x:row>
    <x:row r="2273">
      <x:c r="A2273" s="27" t="str">
        <x:v>E02269</x:v>
      </x:c>
      <x:c r="B2273" s="27" t="str">
        <x:v>S22-LEARN-01:PREREQ</x:v>
      </x:c>
      <x:c r="C2273" s="27" t="str">
        <x:v>Mastery progression, retrieval, interleaving, and transfer.</x:v>
      </x:c>
      <x:c r="D2273" s="27" t="str">
        <x:v>PREREQUISITE</x:v>
      </x:c>
      <x:c r="E2273" s="27" t="str">
        <x:v>S22-LEARN-01</x:v>
      </x:c>
      <x:c r="F2273" s="27" t="str">
        <x:v>Schema building and compression</x:v>
      </x:c>
      <x:c r="G2273" s="27" t="str">
        <x:v>S22</x:v>
      </x:c>
      <x:c r="H2273" s="27" t="str">
        <x:v>Learning Foundations</x:v>
      </x:c>
      <x:c r="I2273" s="27" t="str">
        <x:v>SRC23; SRC29; SRC30</x:v>
      </x:c>
      <x:c r="J2273" s="27" t="str">
        <x:v>Incoming prerequisite relationship.</x:v>
      </x:c>
    </x:row>
    <x:row r="2274">
      <x:c r="A2274" s="27" t="str">
        <x:v>E02270</x:v>
      </x:c>
      <x:c r="B2274" s="27" t="str">
        <x:v>S22-LEARN-01:GROUND</x:v>
      </x:c>
      <x:c r="C2274" s="27" t="str">
        <x:v>G6/G7 — Evidence-based formal system demonstrated through authentic transfer</x:v>
      </x:c>
      <x:c r="D2274" s="27" t="str">
        <x:v>GROUNDED_BY</x:v>
      </x:c>
      <x:c r="E2274" s="27" t="str">
        <x:v>S22-LEARN-01</x:v>
      </x:c>
      <x:c r="F2274" s="27" t="str">
        <x:v>Schema building and compression</x:v>
      </x:c>
      <x:c r="G2274" s="27" t="str">
        <x:v>S22</x:v>
      </x:c>
      <x:c r="H2274" s="27" t="str">
        <x:v>Learning Foundations</x:v>
      </x:c>
      <x:c r="I2274" s="27" t="str">
        <x:v>SRC23; SRC29; SRC30</x:v>
      </x:c>
      <x:c r="J2274" s="27" t="str">
        <x:v>Grounding form used to preserve meaning.</x:v>
      </x:c>
    </x:row>
    <x:row r="2275">
      <x:c r="A2275" s="27" t="str">
        <x:v>E02271</x:v>
      </x:c>
      <x:c r="B2275" s="27" t="str">
        <x:v>S22-LEARN-01</x:v>
      </x:c>
      <x:c r="C2275" s="27" t="str">
        <x:v>Schema building and compression</x:v>
      </x:c>
      <x:c r="D2275" s="27" t="str">
        <x:v>CONNECTS_TO</x:v>
      </x:c>
      <x:c r="E2275" s="27" t="str">
        <x:v>S22-LEARN-01:CROSS</x:v>
      </x:c>
      <x:c r="F2275" s="27" t="str">
        <x:v>All domains: attention, memory, strategy choice, monitoring, retrieval, and transfer.</x:v>
      </x:c>
      <x:c r="G2275" s="27" t="str">
        <x:v>S22</x:v>
      </x:c>
      <x:c r="H2275" s="27" t="str">
        <x:v>Learning Foundations</x:v>
      </x:c>
      <x:c r="I2275" s="27" t="str">
        <x:v>SRC23; SRC29; SRC30</x:v>
      </x:c>
      <x:c r="J2275" s="27" t="str">
        <x:v>Parallel subject and representation links.</x:v>
      </x:c>
    </x:row>
    <x:row r="2276">
      <x:c r="A2276" s="27" t="str">
        <x:v>E02272</x:v>
      </x:c>
      <x:c r="B2276" s="27" t="str">
        <x:v>S22-LEARN-01</x:v>
      </x:c>
      <x:c r="C2276" s="27" t="str">
        <x:v>Schema building and compression</x:v>
      </x:c>
      <x:c r="D2276" s="27" t="str">
        <x:v>UNLOCKS</x:v>
      </x:c>
      <x:c r="E2276" s="27" t="str">
        <x:v>S22-LEARN-01:NEXT</x:v>
      </x:c>
      <x:c r="F2276" s="27" t="str">
        <x:v>Schema compression increases usable capacity while preserving grounded reconstruction paths.</x:v>
      </x:c>
      <x:c r="G2276" s="27" t="str">
        <x:v>S22</x:v>
      </x:c>
      <x:c r="H2276" s="27" t="str">
        <x:v>Learning Foundations</x:v>
      </x:c>
      <x:c r="I2276" s="27" t="str">
        <x:v>SRC23; SRC29; SRC30</x:v>
      </x:c>
      <x:c r="J2276" s="27" t="str">
        <x:v>Outgoing use and placement rationale.</x:v>
      </x:c>
    </x:row>
    <x:row r="2277">
      <x:c r="A2277" s="27" t="str">
        <x:v>E02273</x:v>
      </x:c>
      <x:c r="B2277" s="27" t="str">
        <x:v>S22-LEARN-01</x:v>
      </x:c>
      <x:c r="C2277" s="27" t="str">
        <x:v>Schema building and compression</x:v>
      </x:c>
      <x:c r="D2277" s="27" t="str">
        <x:v>VERIFIED_BY</x:v>
      </x:c>
      <x:c r="E2277" s="27" t="str">
        <x:v>S22-LEARN-01:EVIDENCE</x:v>
      </x:c>
      <x:c r="F2277" s="27" t="str">
        <x:v>Builds a concept map/model from memory and uses it to solve a new case and explain an exception.</x:v>
      </x:c>
      <x:c r="G2277" s="27" t="str">
        <x:v>S22</x:v>
      </x:c>
      <x:c r="H2277" s="27" t="str">
        <x:v>Learning Foundations</x:v>
      </x:c>
      <x:c r="I2277" s="27" t="str">
        <x:v>SRC23; SRC29; SRC30</x:v>
      </x:c>
      <x:c r="J2277" s="27" t="str">
        <x:v>Observable evidence of usable learning.</x:v>
      </x:c>
    </x:row>
    <x:row r="2278">
      <x:c r="A2278" s="27" t="str">
        <x:v>E02274</x:v>
      </x:c>
      <x:c r="B2278" s="27" t="str">
        <x:v>S21-SEL-01</x:v>
      </x:c>
      <x:c r="C2278" s="27" t="str">
        <x:v>Previous node in domain progression</x:v>
      </x:c>
      <x:c r="D2278" s="27" t="str">
        <x:v>DOMAIN_SEQUENCE</x:v>
      </x:c>
      <x:c r="E2278" s="27" t="str">
        <x:v>S22-SEL-01</x:v>
      </x:c>
      <x:c r="F2278" s="27" t="str">
        <x:v>Stakeholders, duties, consequences, and fairness</x:v>
      </x:c>
      <x:c r="G2278" s="27" t="str">
        <x:v>S22</x:v>
      </x:c>
      <x:c r="H2278" s="27" t="str">
        <x:v>Social-Emotional</x:v>
      </x:c>
      <x:c r="I2278" s="27" t="str">
        <x:v>SRC18</x:v>
      </x:c>
      <x:c r="J2278" s="27" t="str">
        <x:v>Ordered spiral link; consult explicit prerequisites for logical dependency.</x:v>
      </x:c>
    </x:row>
    <x:row r="2279">
      <x:c r="A2279" s="27" t="str">
        <x:v>E02275</x:v>
      </x:c>
      <x:c r="B2279" s="27" t="str">
        <x:v>S22-SEL-01:PREREQ</x:v>
      </x:c>
      <x:c r="C2279" s="27" t="str">
        <x:v>Grade 9 values goals, perspective, and argument analysis.</x:v>
      </x:c>
      <x:c r="D2279" s="27" t="str">
        <x:v>PREREQUISITE</x:v>
      </x:c>
      <x:c r="E2279" s="27" t="str">
        <x:v>S22-SEL-01</x:v>
      </x:c>
      <x:c r="F2279" s="27" t="str">
        <x:v>Stakeholders, duties, consequences, and fairness</x:v>
      </x:c>
      <x:c r="G2279" s="27" t="str">
        <x:v>S22</x:v>
      </x:c>
      <x:c r="H2279" s="27" t="str">
        <x:v>Social-Emotional</x:v>
      </x:c>
      <x:c r="I2279" s="27" t="str">
        <x:v>SRC18</x:v>
      </x:c>
      <x:c r="J2279" s="27" t="str">
        <x:v>Incoming prerequisite relationship.</x:v>
      </x:c>
    </x:row>
    <x:row r="2280">
      <x:c r="A2280" s="27" t="str">
        <x:v>E02276</x:v>
      </x:c>
      <x:c r="B2280" s="27" t="str">
        <x:v>S22-SEL-01:GROUND</x:v>
      </x:c>
      <x:c r="C2280" s="27" t="str">
        <x:v>G6/G7 — Evidence-based formal system demonstrated through authentic transfer</x:v>
      </x:c>
      <x:c r="D2280" s="27" t="str">
        <x:v>GROUNDED_BY</x:v>
      </x:c>
      <x:c r="E2280" s="27" t="str">
        <x:v>S22-SEL-01</x:v>
      </x:c>
      <x:c r="F2280" s="27" t="str">
        <x:v>Stakeholders, duties, consequences, and fairness</x:v>
      </x:c>
      <x:c r="G2280" s="27" t="str">
        <x:v>S22</x:v>
      </x:c>
      <x:c r="H2280" s="27" t="str">
        <x:v>Social-Emotional</x:v>
      </x:c>
      <x:c r="I2280" s="27" t="str">
        <x:v>SRC18</x:v>
      </x:c>
      <x:c r="J2280" s="27" t="str">
        <x:v>Grounding form used to preserve meaning.</x:v>
      </x:c>
    </x:row>
    <x:row r="2281">
      <x:c r="A2281" s="27" t="str">
        <x:v>E02277</x:v>
      </x:c>
      <x:c r="B2281" s="27" t="str">
        <x:v>S22-SEL-01</x:v>
      </x:c>
      <x:c r="C2281" s="27" t="str">
        <x:v>Stakeholders, duties, consequences, and fairness</x:v>
      </x:c>
      <x:c r="D2281" s="27" t="str">
        <x:v>CONNECTS_TO</x:v>
      </x:c>
      <x:c r="E2281" s="27" t="str">
        <x:v>S22-SEL-01:CROSS</x:v>
      </x:c>
      <x:c r="F2281" s="27" t="str">
        <x:v>Language and communication; health; collaboration in science, arts, civics, and projects; responsible digital/financial decisions.</x:v>
      </x:c>
      <x:c r="G2281" s="27" t="str">
        <x:v>S22</x:v>
      </x:c>
      <x:c r="H2281" s="27" t="str">
        <x:v>Social-Emotional</x:v>
      </x:c>
      <x:c r="I2281" s="27" t="str">
        <x:v>SRC18</x:v>
      </x:c>
      <x:c r="J2281" s="27" t="str">
        <x:v>Parallel subject and representation links.</x:v>
      </x:c>
    </x:row>
    <x:row r="2282">
      <x:c r="A2282" s="27" t="str">
        <x:v>E02278</x:v>
      </x:c>
      <x:c r="B2282" s="27" t="str">
        <x:v>S22-SEL-01</x:v>
      </x:c>
      <x:c r="C2282" s="27" t="str">
        <x:v>Stakeholders, duties, consequences, and fairness</x:v>
      </x:c>
      <x:c r="D2282" s="27" t="str">
        <x:v>UNLOCKS</x:v>
      </x:c>
      <x:c r="E2282" s="27" t="str">
        <x:v>S22-SEL-01:NEXT</x:v>
      </x:c>
      <x:c r="F2282" s="27" t="str">
        <x:v>A multi-lens ethical framework supports science, technology, civics, relationships, and career decisions.</x:v>
      </x:c>
      <x:c r="G2282" s="27" t="str">
        <x:v>S22</x:v>
      </x:c>
      <x:c r="H2282" s="27" t="str">
        <x:v>Social-Emotional</x:v>
      </x:c>
      <x:c r="I2282" s="27" t="str">
        <x:v>SRC18</x:v>
      </x:c>
      <x:c r="J2282" s="27" t="str">
        <x:v>Outgoing use and placement rationale.</x:v>
      </x:c>
    </x:row>
    <x:row r="2283">
      <x:c r="A2283" s="27" t="str">
        <x:v>E02279</x:v>
      </x:c>
      <x:c r="B2283" s="27" t="str">
        <x:v>S22-SEL-01</x:v>
      </x:c>
      <x:c r="C2283" s="27" t="str">
        <x:v>Stakeholders, duties, consequences, and fairness</x:v>
      </x:c>
      <x:c r="D2283" s="27" t="str">
        <x:v>VERIFIED_BY</x:v>
      </x:c>
      <x:c r="E2283" s="27" t="str">
        <x:v>S22-SEL-01:EVIDENCE</x:v>
      </x:c>
      <x:c r="F2283" s="27" t="str">
        <x:v>Compares options under several ethical lenses and defends a qualified decision.</x:v>
      </x:c>
      <x:c r="G2283" s="27" t="str">
        <x:v>S22</x:v>
      </x:c>
      <x:c r="H2283" s="27" t="str">
        <x:v>Social-Emotional</x:v>
      </x:c>
      <x:c r="I2283" s="27" t="str">
        <x:v>SRC18</x:v>
      </x:c>
      <x:c r="J2283" s="27" t="str">
        <x:v>Observable evidence of usable learning.</x:v>
      </x:c>
    </x:row>
    <x:row r="2284">
      <x:c r="A2284" s="27" t="str">
        <x:v>E02280</x:v>
      </x:c>
      <x:c r="B2284" s="27" t="str">
        <x:v>S21-READ-02</x:v>
      </x:c>
      <x:c r="C2284" s="27" t="str">
        <x:v>Previous node in domain progression</x:v>
      </x:c>
      <x:c r="D2284" s="27" t="str">
        <x:v>DOMAIN_SEQUENCE</x:v>
      </x:c>
      <x:c r="E2284" s="27" t="str">
        <x:v>S22-READ-01</x:v>
      </x:c>
      <x:c r="F2284" s="27" t="str">
        <x:v>Genre, archetype, context, and transformation</x:v>
      </x:c>
      <x:c r="G2284" s="27" t="str">
        <x:v>S22</x:v>
      </x:c>
      <x:c r="H2284" s="27" t="str">
        <x:v>Reading</x:v>
      </x:c>
      <x:c r="I2284" s="27" t="str">
        <x:v>SRC10</x:v>
      </x:c>
      <x:c r="J2284" s="27" t="str">
        <x:v>Ordered spiral link; consult explicit prerequisites for logical dependency.</x:v>
      </x:c>
    </x:row>
    <x:row r="2285">
      <x:c r="A2285" s="27" t="str">
        <x:v>E02281</x:v>
      </x:c>
      <x:c r="B2285" s="27" t="str">
        <x:v>S22-READ-01:PREREQ</x:v>
      </x:c>
      <x:c r="C2285" s="27" t="str">
        <x:v>Grade 9 complex theme/structure and world-history context.</x:v>
      </x:c>
      <x:c r="D2285" s="27" t="str">
        <x:v>PREREQUISITE</x:v>
      </x:c>
      <x:c r="E2285" s="27" t="str">
        <x:v>S22-READ-01</x:v>
      </x:c>
      <x:c r="F2285" s="27" t="str">
        <x:v>Genre, archetype, context, and transformation</x:v>
      </x:c>
      <x:c r="G2285" s="27" t="str">
        <x:v>S22</x:v>
      </x:c>
      <x:c r="H2285" s="27" t="str">
        <x:v>Reading</x:v>
      </x:c>
      <x:c r="I2285" s="27" t="str">
        <x:v>SRC10</x:v>
      </x:c>
      <x:c r="J2285" s="27" t="str">
        <x:v>Incoming prerequisite relationship.</x:v>
      </x:c>
    </x:row>
    <x:row r="2286">
      <x:c r="A2286" s="27" t="str">
        <x:v>E02282</x:v>
      </x:c>
      <x:c r="B2286" s="27" t="str">
        <x:v>S22-READ-01:GROUND</x:v>
      </x:c>
      <x:c r="C2286" s="27" t="str">
        <x:v>G6/G7 — Evidence-based formal system demonstrated through authentic transfer</x:v>
      </x:c>
      <x:c r="D2286" s="27" t="str">
        <x:v>GROUNDED_BY</x:v>
      </x:c>
      <x:c r="E2286" s="27" t="str">
        <x:v>S22-READ-01</x:v>
      </x:c>
      <x:c r="F2286" s="27" t="str">
        <x:v>Genre, archetype, context, and transformation</x:v>
      </x:c>
      <x:c r="G2286" s="27" t="str">
        <x:v>S22</x:v>
      </x:c>
      <x:c r="H2286" s="27" t="str">
        <x:v>Reading</x:v>
      </x:c>
      <x:c r="I2286" s="27" t="str">
        <x:v>SRC10</x:v>
      </x:c>
      <x:c r="J2286" s="27" t="str">
        <x:v>Grounding form used to preserve meaning.</x:v>
      </x:c>
    </x:row>
    <x:row r="2287">
      <x:c r="A2287" s="27" t="str">
        <x:v>E02283</x:v>
      </x:c>
      <x:c r="B2287" s="27" t="str">
        <x:v>S22-READ-01</x:v>
      </x:c>
      <x:c r="C2287" s="27" t="str">
        <x:v>Genre, archetype, context, and transformation</x:v>
      </x:c>
      <x:c r="D2287" s="27" t="str">
        <x:v>CONNECTS_TO</x:v>
      </x:c>
      <x:c r="E2287" s="27" t="str">
        <x:v>S22-READ-01:CROSS</x:v>
      </x:c>
      <x:c r="F2287" s="27" t="str">
        <x:v>Oral language and writing; evidence in science/social studies; mathematical and technical problem interpretation; media verification.</x:v>
      </x:c>
      <x:c r="G2287" s="27" t="str">
        <x:v>S22</x:v>
      </x:c>
      <x:c r="H2287" s="27" t="str">
        <x:v>Reading</x:v>
      </x:c>
      <x:c r="I2287" s="27" t="str">
        <x:v>SRC10</x:v>
      </x:c>
      <x:c r="J2287" s="27" t="str">
        <x:v>Parallel subject and representation links.</x:v>
      </x:c>
    </x:row>
    <x:row r="2288">
      <x:c r="A2288" s="27" t="str">
        <x:v>E02284</x:v>
      </x:c>
      <x:c r="B2288" s="27" t="str">
        <x:v>S22-READ-01</x:v>
      </x:c>
      <x:c r="C2288" s="27" t="str">
        <x:v>Genre, archetype, context, and transformation</x:v>
      </x:c>
      <x:c r="D2288" s="27" t="str">
        <x:v>UNLOCKS</x:v>
      </x:c>
      <x:c r="E2288" s="27" t="str">
        <x:v>S22-READ-01:NEXT</x:v>
      </x:c>
      <x:c r="F2288" s="27" t="str">
        <x:v>Genre/context analysis connects individual texts into literary and cultural systems.</x:v>
      </x:c>
      <x:c r="G2288" s="27" t="str">
        <x:v>S22</x:v>
      </x:c>
      <x:c r="H2288" s="27" t="str">
        <x:v>Reading</x:v>
      </x:c>
      <x:c r="I2288" s="27" t="str">
        <x:v>SRC10</x:v>
      </x:c>
      <x:c r="J2288" s="27" t="str">
        <x:v>Outgoing use and placement rationale.</x:v>
      </x:c>
    </x:row>
    <x:row r="2289">
      <x:c r="A2289" s="27" t="str">
        <x:v>E02285</x:v>
      </x:c>
      <x:c r="B2289" s="27" t="str">
        <x:v>S22-READ-01</x:v>
      </x:c>
      <x:c r="C2289" s="27" t="str">
        <x:v>Genre, archetype, context, and transformation</x:v>
      </x:c>
      <x:c r="D2289" s="27" t="str">
        <x:v>VERIFIED_BY</x:v>
      </x:c>
      <x:c r="E2289" s="27" t="str">
        <x:v>S22-READ-01:EVIDENCE</x:v>
      </x:c>
      <x:c r="F2289" s="27" t="str">
        <x:v>Compares two works/adaptations and explains a meaningful contextual or formal transformation.</x:v>
      </x:c>
      <x:c r="G2289" s="27" t="str">
        <x:v>S22</x:v>
      </x:c>
      <x:c r="H2289" s="27" t="str">
        <x:v>Reading</x:v>
      </x:c>
      <x:c r="I2289" s="27" t="str">
        <x:v>SRC10</x:v>
      </x:c>
      <x:c r="J2289" s="27" t="str">
        <x:v>Observable evidence of usable learning.</x:v>
      </x:c>
    </x:row>
    <x:row r="2290">
      <x:c r="A2290" s="27" t="str">
        <x:v>E02286</x:v>
      </x:c>
      <x:c r="B2290" s="27" t="str">
        <x:v>S22-READ-01</x:v>
      </x:c>
      <x:c r="C2290" s="27" t="str">
        <x:v>Previous node in domain progression</x:v>
      </x:c>
      <x:c r="D2290" s="27" t="str">
        <x:v>DOMAIN_SEQUENCE</x:v>
      </x:c>
      <x:c r="E2290" s="27" t="str">
        <x:v>S22-READ-02</x:v>
      </x:c>
      <x:c r="F2290" s="27" t="str">
        <x:v>Purpose, audience, appeals, style, and logical fallacies</x:v>
      </x:c>
      <x:c r="G2290" s="27" t="str">
        <x:v>S22</x:v>
      </x:c>
      <x:c r="H2290" s="27" t="str">
        <x:v>Reading</x:v>
      </x:c>
      <x:c r="I2290" s="27" t="str">
        <x:v>SRC10; SRC20</x:v>
      </x:c>
      <x:c r="J2290" s="27" t="str">
        <x:v>Ordered spiral link; consult explicit prerequisites for logical dependency.</x:v>
      </x:c>
    </x:row>
    <x:row r="2291">
      <x:c r="A2291" s="27" t="str">
        <x:v>E02287</x:v>
      </x:c>
      <x:c r="B2291" s="27" t="str">
        <x:v>S22-READ-02:PREREQ</x:v>
      </x:c>
      <x:c r="C2291" s="27" t="str">
        <x:v>Grade 9 rhetorical analysis and Algebra/logic reasoning.</x:v>
      </x:c>
      <x:c r="D2291" s="27" t="str">
        <x:v>PREREQUISITE</x:v>
      </x:c>
      <x:c r="E2291" s="27" t="str">
        <x:v>S22-READ-02</x:v>
      </x:c>
      <x:c r="F2291" s="27" t="str">
        <x:v>Purpose, audience, appeals, style, and logical fallacies</x:v>
      </x:c>
      <x:c r="G2291" s="27" t="str">
        <x:v>S22</x:v>
      </x:c>
      <x:c r="H2291" s="27" t="str">
        <x:v>Reading</x:v>
      </x:c>
      <x:c r="I2291" s="27" t="str">
        <x:v>SRC10; SRC20</x:v>
      </x:c>
      <x:c r="J2291" s="27" t="str">
        <x:v>Incoming prerequisite relationship.</x:v>
      </x:c>
    </x:row>
    <x:row r="2292">
      <x:c r="A2292" s="27" t="str">
        <x:v>E02288</x:v>
      </x:c>
      <x:c r="B2292" s="27" t="str">
        <x:v>S22-READ-02:GROUND</x:v>
      </x:c>
      <x:c r="C2292" s="27" t="str">
        <x:v>G6/G7 — Evidence-based formal system demonstrated through authentic transfer</x:v>
      </x:c>
      <x:c r="D2292" s="27" t="str">
        <x:v>GROUNDED_BY</x:v>
      </x:c>
      <x:c r="E2292" s="27" t="str">
        <x:v>S22-READ-02</x:v>
      </x:c>
      <x:c r="F2292" s="27" t="str">
        <x:v>Purpose, audience, appeals, style, and logical fallacies</x:v>
      </x:c>
      <x:c r="G2292" s="27" t="str">
        <x:v>S22</x:v>
      </x:c>
      <x:c r="H2292" s="27" t="str">
        <x:v>Reading</x:v>
      </x:c>
      <x:c r="I2292" s="27" t="str">
        <x:v>SRC10; SRC20</x:v>
      </x:c>
      <x:c r="J2292" s="27" t="str">
        <x:v>Grounding form used to preserve meaning.</x:v>
      </x:c>
    </x:row>
    <x:row r="2293">
      <x:c r="A2293" s="27" t="str">
        <x:v>E02289</x:v>
      </x:c>
      <x:c r="B2293" s="27" t="str">
        <x:v>S22-READ-02</x:v>
      </x:c>
      <x:c r="C2293" s="27" t="str">
        <x:v>Purpose, audience, appeals, style, and logical fallacies</x:v>
      </x:c>
      <x:c r="D2293" s="27" t="str">
        <x:v>CONNECTS_TO</x:v>
      </x:c>
      <x:c r="E2293" s="27" t="str">
        <x:v>S22-READ-02:CROSS</x:v>
      </x:c>
      <x:c r="F2293" s="27" t="str">
        <x:v>Oral language and writing; evidence in science/social studies; mathematical and technical problem interpretation; media verification.</x:v>
      </x:c>
      <x:c r="G2293" s="27" t="str">
        <x:v>S22</x:v>
      </x:c>
      <x:c r="H2293" s="27" t="str">
        <x:v>Reading</x:v>
      </x:c>
      <x:c r="I2293" s="27" t="str">
        <x:v>SRC10; SRC20</x:v>
      </x:c>
      <x:c r="J2293" s="27" t="str">
        <x:v>Parallel subject and representation links.</x:v>
      </x:c>
    </x:row>
    <x:row r="2294">
      <x:c r="A2294" s="27" t="str">
        <x:v>E02290</x:v>
      </x:c>
      <x:c r="B2294" s="27" t="str">
        <x:v>S22-READ-02</x:v>
      </x:c>
      <x:c r="C2294" s="27" t="str">
        <x:v>Purpose, audience, appeals, style, and logical fallacies</x:v>
      </x:c>
      <x:c r="D2294" s="27" t="str">
        <x:v>UNLOCKS</x:v>
      </x:c>
      <x:c r="E2294" s="27" t="str">
        <x:v>S22-READ-02:NEXT</x:v>
      </x:c>
      <x:c r="F2294" s="27" t="str">
        <x:v>Detailed rhetoric analysis prepares public communication and advanced composition.</x:v>
      </x:c>
      <x:c r="G2294" s="27" t="str">
        <x:v>S22</x:v>
      </x:c>
      <x:c r="H2294" s="27" t="str">
        <x:v>Reading</x:v>
      </x:c>
      <x:c r="I2294" s="27" t="str">
        <x:v>SRC10; SRC20</x:v>
      </x:c>
      <x:c r="J2294" s="27" t="str">
        <x:v>Outgoing use and placement rationale.</x:v>
      </x:c>
    </x:row>
    <x:row r="2295">
      <x:c r="A2295" s="27" t="str">
        <x:v>E02291</x:v>
      </x:c>
      <x:c r="B2295" s="27" t="str">
        <x:v>S22-READ-02</x:v>
      </x:c>
      <x:c r="C2295" s="27" t="str">
        <x:v>Purpose, audience, appeals, style, and logical fallacies</x:v>
      </x:c>
      <x:c r="D2295" s="27" t="str">
        <x:v>VERIFIED_BY</x:v>
      </x:c>
      <x:c r="E2295" s="27" t="str">
        <x:v>S22-READ-02:EVIDENCE</x:v>
      </x:c>
      <x:c r="F2295" s="27" t="str">
        <x:v>Annotates an argument’s reasoning and rhetoric and evaluates overall persuasiveness/credibility.</x:v>
      </x:c>
      <x:c r="G2295" s="27" t="str">
        <x:v>S22</x:v>
      </x:c>
      <x:c r="H2295" s="27" t="str">
        <x:v>Reading</x:v>
      </x:c>
      <x:c r="I2295" s="27" t="str">
        <x:v>SRC10; SRC20</x:v>
      </x:c>
      <x:c r="J2295" s="27" t="str">
        <x:v>Observable evidence of usable learning.</x:v>
      </x:c>
    </x:row>
    <x:row r="2296">
      <x:c r="A2296" s="27" t="str">
        <x:v>E02292</x:v>
      </x:c>
      <x:c r="B2296" s="27" t="str">
        <x:v>S21-WRITE-02</x:v>
      </x:c>
      <x:c r="C2296" s="27" t="str">
        <x:v>Previous node in domain progression</x:v>
      </x:c>
      <x:c r="D2296" s="27" t="str">
        <x:v>DOMAIN_SEQUENCE</x:v>
      </x:c>
      <x:c r="E2296" s="27" t="str">
        <x:v>S22-WRITE-01</x:v>
      </x:c>
      <x:c r="F2296" s="27" t="str">
        <x:v>Purposeful argument for a defined audience</x:v>
      </x:c>
      <x:c r="G2296" s="27" t="str">
        <x:v>S22</x:v>
      </x:c>
      <x:c r="H2296" s="27" t="str">
        <x:v>Writing &amp; Language</x:v>
      </x:c>
      <x:c r="I2296" s="27" t="str">
        <x:v>SRC10; SRC22</x:v>
      </x:c>
      <x:c r="J2296" s="27" t="str">
        <x:v>Ordered spiral link; consult explicit prerequisites for logical dependency.</x:v>
      </x:c>
    </x:row>
    <x:row r="2297">
      <x:c r="A2297" s="27" t="str">
        <x:v>E02293</x:v>
      </x:c>
      <x:c r="B2297" s="27" t="str">
        <x:v>S22-WRITE-01:PREREQ</x:v>
      </x:c>
      <x:c r="C2297" s="27" t="str">
        <x:v>Grade 9 thesis essay, rhetoric, and ethical reasoning.</x:v>
      </x:c>
      <x:c r="D2297" s="27" t="str">
        <x:v>PREREQUISITE</x:v>
      </x:c>
      <x:c r="E2297" s="27" t="str">
        <x:v>S22-WRITE-01</x:v>
      </x:c>
      <x:c r="F2297" s="27" t="str">
        <x:v>Purposeful argument for a defined audience</x:v>
      </x:c>
      <x:c r="G2297" s="27" t="str">
        <x:v>S22</x:v>
      </x:c>
      <x:c r="H2297" s="27" t="str">
        <x:v>Writing &amp; Language</x:v>
      </x:c>
      <x:c r="I2297" s="27" t="str">
        <x:v>SRC10; SRC22</x:v>
      </x:c>
      <x:c r="J2297" s="27" t="str">
        <x:v>Incoming prerequisite relationship.</x:v>
      </x:c>
    </x:row>
    <x:row r="2298">
      <x:c r="A2298" s="27" t="str">
        <x:v>E02294</x:v>
      </x:c>
      <x:c r="B2298" s="27" t="str">
        <x:v>S22-WRITE-01:GROUND</x:v>
      </x:c>
      <x:c r="C2298" s="27" t="str">
        <x:v>G6/G7 — Evidence-based formal system demonstrated through authentic transfer</x:v>
      </x:c>
      <x:c r="D2298" s="27" t="str">
        <x:v>GROUNDED_BY</x:v>
      </x:c>
      <x:c r="E2298" s="27" t="str">
        <x:v>S22-WRITE-01</x:v>
      </x:c>
      <x:c r="F2298" s="27" t="str">
        <x:v>Purposeful argument for a defined audience</x:v>
      </x:c>
      <x:c r="G2298" s="27" t="str">
        <x:v>S22</x:v>
      </x:c>
      <x:c r="H2298" s="27" t="str">
        <x:v>Writing &amp; Language</x:v>
      </x:c>
      <x:c r="I2298" s="27" t="str">
        <x:v>SRC10; SRC22</x:v>
      </x:c>
      <x:c r="J2298" s="27" t="str">
        <x:v>Grounding form used to preserve meaning.</x:v>
      </x:c>
    </x:row>
    <x:row r="2299">
      <x:c r="A2299" s="27" t="str">
        <x:v>E02295</x:v>
      </x:c>
      <x:c r="B2299" s="27" t="str">
        <x:v>S22-WRITE-01</x:v>
      </x:c>
      <x:c r="C2299" s="27" t="str">
        <x:v>Purposeful argument for a defined audience</x:v>
      </x:c>
      <x:c r="D2299" s="27" t="str">
        <x:v>CONNECTS_TO</x:v>
      </x:c>
      <x:c r="E2299" s="27" t="str">
        <x:v>S22-WRITE-01:CROSS</x:v>
      </x:c>
      <x:c r="F2299" s="27" t="str">
        <x:v>Reading models; evidence from science/social studies; mathematical explanation; research, media, and presentation.</x:v>
      </x:c>
      <x:c r="G2299" s="27" t="str">
        <x:v>S22</x:v>
      </x:c>
      <x:c r="H2299" s="27" t="str">
        <x:v>Writing &amp; Language</x:v>
      </x:c>
      <x:c r="I2299" s="27" t="str">
        <x:v>SRC10; SRC22</x:v>
      </x:c>
      <x:c r="J2299" s="27" t="str">
        <x:v>Parallel subject and representation links.</x:v>
      </x:c>
    </x:row>
    <x:row r="2300">
      <x:c r="A2300" s="27" t="str">
        <x:v>E02296</x:v>
      </x:c>
      <x:c r="B2300" s="27" t="str">
        <x:v>S22-WRITE-01</x:v>
      </x:c>
      <x:c r="C2300" s="27" t="str">
        <x:v>Purposeful argument for a defined audience</x:v>
      </x:c>
      <x:c r="D2300" s="27" t="str">
        <x:v>UNLOCKS</x:v>
      </x:c>
      <x:c r="E2300" s="27" t="str">
        <x:v>S22-WRITE-01:NEXT</x:v>
      </x:c>
      <x:c r="F2300" s="27" t="str">
        <x:v>Rhetorical control turns general academic writing into effective situated communication.</x:v>
      </x:c>
      <x:c r="G2300" s="27" t="str">
        <x:v>S22</x:v>
      </x:c>
      <x:c r="H2300" s="27" t="str">
        <x:v>Writing &amp; Language</x:v>
      </x:c>
      <x:c r="I2300" s="27" t="str">
        <x:v>SRC10; SRC22</x:v>
      </x:c>
      <x:c r="J2300" s="27" t="str">
        <x:v>Outgoing use and placement rationale.</x:v>
      </x:c>
    </x:row>
    <x:row r="2301">
      <x:c r="A2301" s="27" t="str">
        <x:v>E02297</x:v>
      </x:c>
      <x:c r="B2301" s="27" t="str">
        <x:v>S22-WRITE-01</x:v>
      </x:c>
      <x:c r="C2301" s="27" t="str">
        <x:v>Purposeful argument for a defined audience</x:v>
      </x:c>
      <x:c r="D2301" s="27" t="str">
        <x:v>VERIFIED_BY</x:v>
      </x:c>
      <x:c r="E2301" s="27" t="str">
        <x:v>S22-WRITE-01:EVIDENCE</x:v>
      </x:c>
      <x:c r="F2301" s="27" t="str">
        <x:v>Produces and explains an argument whose choices are visibly aligned to audience/purpose.</x:v>
      </x:c>
      <x:c r="G2301" s="27" t="str">
        <x:v>S22</x:v>
      </x:c>
      <x:c r="H2301" s="27" t="str">
        <x:v>Writing &amp; Language</x:v>
      </x:c>
      <x:c r="I2301" s="27" t="str">
        <x:v>SRC10; SRC22</x:v>
      </x:c>
      <x:c r="J2301" s="27" t="str">
        <x:v>Observable evidence of usable learning.</x:v>
      </x:c>
    </x:row>
    <x:row r="2302">
      <x:c r="A2302" s="27" t="str">
        <x:v>E02298</x:v>
      </x:c>
      <x:c r="B2302" s="27" t="str">
        <x:v>S22-WRITE-01</x:v>
      </x:c>
      <x:c r="C2302" s="27" t="str">
        <x:v>Previous node in domain progression</x:v>
      </x:c>
      <x:c r="D2302" s="27" t="str">
        <x:v>DOMAIN_SEQUENCE</x:v>
      </x:c>
      <x:c r="E2302" s="27" t="str">
        <x:v>S22-WRITE-02</x:v>
      </x:c>
      <x:c r="F2302" s="27" t="str">
        <x:v>Method, reliability, limitations, and synthesis</x:v>
      </x:c>
      <x:c r="G2302" s="27" t="str">
        <x:v>S22</x:v>
      </x:c>
      <x:c r="H2302" s="27" t="str">
        <x:v>Writing &amp; Language</x:v>
      </x:c>
      <x:c r="I2302" s="27" t="str">
        <x:v>SRC10; SRC22</x:v>
      </x:c>
      <x:c r="J2302" s="27" t="str">
        <x:v>Ordered spiral link; consult explicit prerequisites for logical dependency.</x:v>
      </x:c>
    </x:row>
    <x:row r="2303">
      <x:c r="A2303" s="27" t="str">
        <x:v>E02299</x:v>
      </x:c>
      <x:c r="B2303" s="27" t="str">
        <x:v>S22-WRITE-02:PREREQ</x:v>
      </x:c>
      <x:c r="C2303" s="27" t="str">
        <x:v>Grade 9 source conversation, statistics foundations, and scientific investigation.</x:v>
      </x:c>
      <x:c r="D2303" s="27" t="str">
        <x:v>PREREQUISITE</x:v>
      </x:c>
      <x:c r="E2303" s="27" t="str">
        <x:v>S22-WRITE-02</x:v>
      </x:c>
      <x:c r="F2303" s="27" t="str">
        <x:v>Method, reliability, limitations, and synthesis</x:v>
      </x:c>
      <x:c r="G2303" s="27" t="str">
        <x:v>S22</x:v>
      </x:c>
      <x:c r="H2303" s="27" t="str">
        <x:v>Writing &amp; Language</x:v>
      </x:c>
      <x:c r="I2303" s="27" t="str">
        <x:v>SRC10; SRC22</x:v>
      </x:c>
      <x:c r="J2303" s="27" t="str">
        <x:v>Incoming prerequisite relationship.</x:v>
      </x:c>
    </x:row>
    <x:row r="2304">
      <x:c r="A2304" s="27" t="str">
        <x:v>E02300</x:v>
      </x:c>
      <x:c r="B2304" s="27" t="str">
        <x:v>S22-WRITE-02:GROUND</x:v>
      </x:c>
      <x:c r="C2304" s="27" t="str">
        <x:v>G6/G7 — Evidence-based formal system demonstrated through authentic transfer</x:v>
      </x:c>
      <x:c r="D2304" s="27" t="str">
        <x:v>GROUNDED_BY</x:v>
      </x:c>
      <x:c r="E2304" s="27" t="str">
        <x:v>S22-WRITE-02</x:v>
      </x:c>
      <x:c r="F2304" s="27" t="str">
        <x:v>Method, reliability, limitations, and synthesis</x:v>
      </x:c>
      <x:c r="G2304" s="27" t="str">
        <x:v>S22</x:v>
      </x:c>
      <x:c r="H2304" s="27" t="str">
        <x:v>Writing &amp; Language</x:v>
      </x:c>
      <x:c r="I2304" s="27" t="str">
        <x:v>SRC10; SRC22</x:v>
      </x:c>
      <x:c r="J2304" s="27" t="str">
        <x:v>Grounding form used to preserve meaning.</x:v>
      </x:c>
    </x:row>
    <x:row r="2305">
      <x:c r="A2305" s="27" t="str">
        <x:v>E02301</x:v>
      </x:c>
      <x:c r="B2305" s="27" t="str">
        <x:v>S22-WRITE-02</x:v>
      </x:c>
      <x:c r="C2305" s="27" t="str">
        <x:v>Method, reliability, limitations, and synthesis</x:v>
      </x:c>
      <x:c r="D2305" s="27" t="str">
        <x:v>CONNECTS_TO</x:v>
      </x:c>
      <x:c r="E2305" s="27" t="str">
        <x:v>S22-WRITE-02:CROSS</x:v>
      </x:c>
      <x:c r="F2305" s="27" t="str">
        <x:v>Reading models; evidence from science/social studies; mathematical explanation; research, media, and presentation.</x:v>
      </x:c>
      <x:c r="G2305" s="27" t="str">
        <x:v>S22</x:v>
      </x:c>
      <x:c r="H2305" s="27" t="str">
        <x:v>Writing &amp; Language</x:v>
      </x:c>
      <x:c r="I2305" s="27" t="str">
        <x:v>SRC10; SRC22</x:v>
      </x:c>
      <x:c r="J2305" s="27" t="str">
        <x:v>Parallel subject and representation links.</x:v>
      </x:c>
    </x:row>
    <x:row r="2306">
      <x:c r="A2306" s="27" t="str">
        <x:v>E02302</x:v>
      </x:c>
      <x:c r="B2306" s="27" t="str">
        <x:v>S22-WRITE-02</x:v>
      </x:c>
      <x:c r="C2306" s="27" t="str">
        <x:v>Method, reliability, limitations, and synthesis</x:v>
      </x:c>
      <x:c r="D2306" s="27" t="str">
        <x:v>UNLOCKS</x:v>
      </x:c>
      <x:c r="E2306" s="27" t="str">
        <x:v>S22-WRITE-02:NEXT</x:v>
      </x:c>
      <x:c r="F2306" s="27" t="str">
        <x:v>Method transparency and limitations distinguish strong inquiry from unsupported certainty.</x:v>
      </x:c>
      <x:c r="G2306" s="27" t="str">
        <x:v>S22</x:v>
      </x:c>
      <x:c r="H2306" s="27" t="str">
        <x:v>Writing &amp; Language</x:v>
      </x:c>
      <x:c r="I2306" s="27" t="str">
        <x:v>SRC10; SRC22</x:v>
      </x:c>
      <x:c r="J2306" s="27" t="str">
        <x:v>Outgoing use and placement rationale.</x:v>
      </x:c>
    </x:row>
    <x:row r="2307">
      <x:c r="A2307" s="27" t="str">
        <x:v>E02303</x:v>
      </x:c>
      <x:c r="B2307" s="27" t="str">
        <x:v>S22-WRITE-02</x:v>
      </x:c>
      <x:c r="C2307" s="27" t="str">
        <x:v>Method, reliability, limitations, and synthesis</x:v>
      </x:c>
      <x:c r="D2307" s="27" t="str">
        <x:v>VERIFIED_BY</x:v>
      </x:c>
      <x:c r="E2307" s="27" t="str">
        <x:v>S22-WRITE-02:EVIDENCE</x:v>
      </x:c>
      <x:c r="F2307" s="27" t="str">
        <x:v>Provides a reproducible method record and a conclusion calibrated to evidence limits.</x:v>
      </x:c>
      <x:c r="G2307" s="27" t="str">
        <x:v>S22</x:v>
      </x:c>
      <x:c r="H2307" s="27" t="str">
        <x:v>Writing &amp; Language</x:v>
      </x:c>
      <x:c r="I2307" s="27" t="str">
        <x:v>SRC10; SRC22</x:v>
      </x:c>
      <x:c r="J2307" s="27" t="str">
        <x:v>Observable evidence of usable learning.</x:v>
      </x:c>
    </x:row>
    <x:row r="2308">
      <x:c r="A2308" s="27" t="str">
        <x:v>E02304</x:v>
      </x:c>
      <x:c r="B2308" s="27" t="str">
        <x:v>S21-MATH-08</x:v>
      </x:c>
      <x:c r="C2308" s="27" t="str">
        <x:v>Previous node in domain progression</x:v>
      </x:c>
      <x:c r="D2308" s="27" t="str">
        <x:v>DOMAIN_SEQUENCE</x:v>
      </x:c>
      <x:c r="E2308" s="27" t="str">
        <x:v>S22-MATH-01</x:v>
      </x:c>
      <x:c r="F2308" s="27" t="str">
        <x:v>Definitions, axioms, theorems, and proof</x:v>
      </x:c>
      <x:c r="G2308" s="27" t="str">
        <x:v>S22</x:v>
      </x:c>
      <x:c r="H2308" s="27" t="str">
        <x:v>Mathematics</x:v>
      </x:c>
      <x:c r="I2308" s="27" t="str">
        <x:v>SRC09</x:v>
      </x:c>
      <x:c r="J2308" s="27" t="str">
        <x:v>Ordered spiral link; consult explicit prerequisites for logical dependency.</x:v>
      </x:c>
    </x:row>
    <x:row r="2309">
      <x:c r="A2309" s="27" t="str">
        <x:v>E02305</x:v>
      </x:c>
      <x:c r="B2309" s="27" t="str">
        <x:v>S22-MATH-01:PREREQ</x:v>
      </x:c>
      <x:c r="C2309" s="27" t="str">
        <x:v>Grade 8 transformations, Algebra I equations, and evidence-chain writing.</x:v>
      </x:c>
      <x:c r="D2309" s="27" t="str">
        <x:v>PREREQUISITE</x:v>
      </x:c>
      <x:c r="E2309" s="27" t="str">
        <x:v>S22-MATH-01</x:v>
      </x:c>
      <x:c r="F2309" s="27" t="str">
        <x:v>Definitions, axioms, theorems, and proof</x:v>
      </x:c>
      <x:c r="G2309" s="27" t="str">
        <x:v>S22</x:v>
      </x:c>
      <x:c r="H2309" s="27" t="str">
        <x:v>Mathematics</x:v>
      </x:c>
      <x:c r="I2309" s="27" t="str">
        <x:v>SRC09</x:v>
      </x:c>
      <x:c r="J2309" s="27" t="str">
        <x:v>Incoming prerequisite relationship.</x:v>
      </x:c>
    </x:row>
    <x:row r="2310">
      <x:c r="A2310" s="27" t="str">
        <x:v>E02306</x:v>
      </x:c>
      <x:c r="B2310" s="27" t="str">
        <x:v>S22-MATH-01:GROUND</x:v>
      </x:c>
      <x:c r="C2310" s="27" t="str">
        <x:v>G6/G7 — Evidence-based formal system demonstrated through authentic transfer</x:v>
      </x:c>
      <x:c r="D2310" s="27" t="str">
        <x:v>GROUNDED_BY</x:v>
      </x:c>
      <x:c r="E2310" s="27" t="str">
        <x:v>S22-MATH-01</x:v>
      </x:c>
      <x:c r="F2310" s="27" t="str">
        <x:v>Definitions, axioms, theorems, and proof</x:v>
      </x:c>
      <x:c r="G2310" s="27" t="str">
        <x:v>S22</x:v>
      </x:c>
      <x:c r="H2310" s="27" t="str">
        <x:v>Mathematics</x:v>
      </x:c>
      <x:c r="I2310" s="27" t="str">
        <x:v>SRC09</x:v>
      </x:c>
      <x:c r="J2310" s="27" t="str">
        <x:v>Grounding form used to preserve meaning.</x:v>
      </x:c>
    </x:row>
    <x:row r="2311">
      <x:c r="A2311" s="27" t="str">
        <x:v>E02307</x:v>
      </x:c>
      <x:c r="B2311" s="27" t="str">
        <x:v>S22-MATH-01</x:v>
      </x:c>
      <x:c r="C2311" s="27" t="str">
        <x:v>Definitions, axioms, theorems, and proof</x:v>
      </x:c>
      <x:c r="D2311" s="27" t="str">
        <x:v>CONNECTS_TO</x:v>
      </x:c>
      <x:c r="E2311" s="27" t="str">
        <x:v>S22-MATH-01:CROSS</x:v>
      </x:c>
      <x:c r="F2311" s="27" t="str">
        <x:v>Physical quantity and spatial action; science measurement/models; computing/algorithms; finance; music rhythm/pattern; geographic data.</x:v>
      </x:c>
      <x:c r="G2311" s="27" t="str">
        <x:v>S22</x:v>
      </x:c>
      <x:c r="H2311" s="27" t="str">
        <x:v>Mathematics</x:v>
      </x:c>
      <x:c r="I2311" s="27" t="str">
        <x:v>SRC09</x:v>
      </x:c>
      <x:c r="J2311" s="27" t="str">
        <x:v>Parallel subject and representation links.</x:v>
      </x:c>
    </x:row>
    <x:row r="2312">
      <x:c r="A2312" s="27" t="str">
        <x:v>E02308</x:v>
      </x:c>
      <x:c r="B2312" s="27" t="str">
        <x:v>S22-MATH-01</x:v>
      </x:c>
      <x:c r="C2312" s="27" t="str">
        <x:v>Definitions, axioms, theorems, and proof</x:v>
      </x:c>
      <x:c r="D2312" s="27" t="str">
        <x:v>UNLOCKS</x:v>
      </x:c>
      <x:c r="E2312" s="27" t="str">
        <x:v>S22-MATH-01:NEXT</x:v>
      </x:c>
      <x:c r="F2312" s="27" t="str">
        <x:v>Proof establishes why a geometric claim follows and generalizes beyond measured examples.</x:v>
      </x:c>
      <x:c r="G2312" s="27" t="str">
        <x:v>S22</x:v>
      </x:c>
      <x:c r="H2312" s="27" t="str">
        <x:v>Mathematics</x:v>
      </x:c>
      <x:c r="I2312" s="27" t="str">
        <x:v>SRC09</x:v>
      </x:c>
      <x:c r="J2312" s="27" t="str">
        <x:v>Outgoing use and placement rationale.</x:v>
      </x:c>
    </x:row>
    <x:row r="2313">
      <x:c r="A2313" s="27" t="str">
        <x:v>E02309</x:v>
      </x:c>
      <x:c r="B2313" s="27" t="str">
        <x:v>S22-MATH-01</x:v>
      </x:c>
      <x:c r="C2313" s="27" t="str">
        <x:v>Definitions, axioms, theorems, and proof</x:v>
      </x:c>
      <x:c r="D2313" s="27" t="str">
        <x:v>VERIFIED_BY</x:v>
      </x:c>
      <x:c r="E2313" s="27" t="str">
        <x:v>S22-MATH-01:EVIDENCE</x:v>
      </x:c>
      <x:c r="F2313" s="27" t="str">
        <x:v>Writes a valid proof whose reasons depend on definitions/theorems rather than appearance.</x:v>
      </x:c>
      <x:c r="G2313" s="27" t="str">
        <x:v>S22</x:v>
      </x:c>
      <x:c r="H2313" s="27" t="str">
        <x:v>Mathematics</x:v>
      </x:c>
      <x:c r="I2313" s="27" t="str">
        <x:v>SRC09</x:v>
      </x:c>
      <x:c r="J2313" s="27" t="str">
        <x:v>Observable evidence of usable learning.</x:v>
      </x:c>
    </x:row>
    <x:row r="2314">
      <x:c r="A2314" s="27" t="str">
        <x:v>E02310</x:v>
      </x:c>
      <x:c r="B2314" s="27" t="str">
        <x:v>S22-MATH-01</x:v>
      </x:c>
      <x:c r="C2314" s="27" t="str">
        <x:v>Previous node in domain progression</x:v>
      </x:c>
      <x:c r="D2314" s="27" t="str">
        <x:v>DOMAIN_SEQUENCE</x:v>
      </x:c>
      <x:c r="E2314" s="27" t="str">
        <x:v>S22-MATH-02</x:v>
      </x:c>
      <x:c r="F2314" s="27" t="str">
        <x:v>Congruence and rigid motions</x:v>
      </x:c>
      <x:c r="G2314" s="27" t="str">
        <x:v>S22</x:v>
      </x:c>
      <x:c r="H2314" s="27" t="str">
        <x:v>Mathematics</x:v>
      </x:c>
      <x:c r="I2314" s="27" t="str">
        <x:v>SRC09</x:v>
      </x:c>
      <x:c r="J2314" s="27" t="str">
        <x:v>Ordered spiral link; consult explicit prerequisites for logical dependency.</x:v>
      </x:c>
    </x:row>
    <x:row r="2315">
      <x:c r="A2315" s="27" t="str">
        <x:v>E02311</x:v>
      </x:c>
      <x:c r="B2315" s="27" t="str">
        <x:v>S22-MATH-02:PREREQ</x:v>
      </x:c>
      <x:c r="C2315" s="27" t="str">
        <x:v>Grade 8 transformation reasoning and coordinate functions.</x:v>
      </x:c>
      <x:c r="D2315" s="27" t="str">
        <x:v>PREREQUISITE</x:v>
      </x:c>
      <x:c r="E2315" s="27" t="str">
        <x:v>S22-MATH-02</x:v>
      </x:c>
      <x:c r="F2315" s="27" t="str">
        <x:v>Congruence and rigid motions</x:v>
      </x:c>
      <x:c r="G2315" s="27" t="str">
        <x:v>S22</x:v>
      </x:c>
      <x:c r="H2315" s="27" t="str">
        <x:v>Mathematics</x:v>
      </x:c>
      <x:c r="I2315" s="27" t="str">
        <x:v>SRC09</x:v>
      </x:c>
      <x:c r="J2315" s="27" t="str">
        <x:v>Incoming prerequisite relationship.</x:v>
      </x:c>
    </x:row>
    <x:row r="2316">
      <x:c r="A2316" s="27" t="str">
        <x:v>E02312</x:v>
      </x:c>
      <x:c r="B2316" s="27" t="str">
        <x:v>S22-MATH-02:GROUND</x:v>
      </x:c>
      <x:c r="C2316" s="27" t="str">
        <x:v>G6/G7 — Evidence-based formal system demonstrated through authentic transfer</x:v>
      </x:c>
      <x:c r="D2316" s="27" t="str">
        <x:v>GROUNDED_BY</x:v>
      </x:c>
      <x:c r="E2316" s="27" t="str">
        <x:v>S22-MATH-02</x:v>
      </x:c>
      <x:c r="F2316" s="27" t="str">
        <x:v>Congruence and rigid motions</x:v>
      </x:c>
      <x:c r="G2316" s="27" t="str">
        <x:v>S22</x:v>
      </x:c>
      <x:c r="H2316" s="27" t="str">
        <x:v>Mathematics</x:v>
      </x:c>
      <x:c r="I2316" s="27" t="str">
        <x:v>SRC09</x:v>
      </x:c>
      <x:c r="J2316" s="27" t="str">
        <x:v>Grounding form used to preserve meaning.</x:v>
      </x:c>
    </x:row>
    <x:row r="2317">
      <x:c r="A2317" s="27" t="str">
        <x:v>E02313</x:v>
      </x:c>
      <x:c r="B2317" s="27" t="str">
        <x:v>S22-MATH-02</x:v>
      </x:c>
      <x:c r="C2317" s="27" t="str">
        <x:v>Congruence and rigid motions</x:v>
      </x:c>
      <x:c r="D2317" s="27" t="str">
        <x:v>CONNECTS_TO</x:v>
      </x:c>
      <x:c r="E2317" s="27" t="str">
        <x:v>S22-MATH-02:CROSS</x:v>
      </x:c>
      <x:c r="F2317" s="27" t="str">
        <x:v>Physical quantity and spatial action; science measurement/models; computing/algorithms; finance; music rhythm/pattern; geographic data.</x:v>
      </x:c>
      <x:c r="G2317" s="27" t="str">
        <x:v>S22</x:v>
      </x:c>
      <x:c r="H2317" s="27" t="str">
        <x:v>Mathematics</x:v>
      </x:c>
      <x:c r="I2317" s="27" t="str">
        <x:v>SRC09</x:v>
      </x:c>
      <x:c r="J2317" s="27" t="str">
        <x:v>Parallel subject and representation links.</x:v>
      </x:c>
    </x:row>
    <x:row r="2318">
      <x:c r="A2318" s="27" t="str">
        <x:v>E02314</x:v>
      </x:c>
      <x:c r="B2318" s="27" t="str">
        <x:v>S22-MATH-02</x:v>
      </x:c>
      <x:c r="C2318" s="27" t="str">
        <x:v>Congruence and rigid motions</x:v>
      </x:c>
      <x:c r="D2318" s="27" t="str">
        <x:v>UNLOCKS</x:v>
      </x:c>
      <x:c r="E2318" s="27" t="str">
        <x:v>S22-MATH-02:NEXT</x:v>
      </x:c>
      <x:c r="F2318" s="27" t="str">
        <x:v>Rigid-motion invariants ground congruence theorems.</x:v>
      </x:c>
      <x:c r="G2318" s="27" t="str">
        <x:v>S22</x:v>
      </x:c>
      <x:c r="H2318" s="27" t="str">
        <x:v>Mathematics</x:v>
      </x:c>
      <x:c r="I2318" s="27" t="str">
        <x:v>SRC09</x:v>
      </x:c>
      <x:c r="J2318" s="27" t="str">
        <x:v>Outgoing use and placement rationale.</x:v>
      </x:c>
    </x:row>
    <x:row r="2319">
      <x:c r="A2319" s="27" t="str">
        <x:v>E02315</x:v>
      </x:c>
      <x:c r="B2319" s="27" t="str">
        <x:v>S22-MATH-02</x:v>
      </x:c>
      <x:c r="C2319" s="27" t="str">
        <x:v>Congruence and rigid motions</x:v>
      </x:c>
      <x:c r="D2319" s="27" t="str">
        <x:v>VERIFIED_BY</x:v>
      </x:c>
      <x:c r="E2319" s="27" t="str">
        <x:v>S22-MATH-02:EVIDENCE</x:v>
      </x:c>
      <x:c r="F2319" s="27" t="str">
        <x:v>Maps one figure to another and explains which distances/angles remain invariant.</x:v>
      </x:c>
      <x:c r="G2319" s="27" t="str">
        <x:v>S22</x:v>
      </x:c>
      <x:c r="H2319" s="27" t="str">
        <x:v>Mathematics</x:v>
      </x:c>
      <x:c r="I2319" s="27" t="str">
        <x:v>SRC09</x:v>
      </x:c>
      <x:c r="J2319" s="27" t="str">
        <x:v>Observable evidence of usable learning.</x:v>
      </x:c>
    </x:row>
    <x:row r="2320">
      <x:c r="A2320" s="27" t="str">
        <x:v>E02316</x:v>
      </x:c>
      <x:c r="B2320" s="27" t="str">
        <x:v>S22-MATH-02</x:v>
      </x:c>
      <x:c r="C2320" s="27" t="str">
        <x:v>Previous node in domain progression</x:v>
      </x:c>
      <x:c r="D2320" s="27" t="str">
        <x:v>DOMAIN_SEQUENCE</x:v>
      </x:c>
      <x:c r="E2320" s="27" t="str">
        <x:v>S22-MATH-03</x:v>
      </x:c>
      <x:c r="F2320" s="27" t="str">
        <x:v>Dilations, similarity, and proportional proof</x:v>
      </x:c>
      <x:c r="G2320" s="27" t="str">
        <x:v>S22</x:v>
      </x:c>
      <x:c r="H2320" s="27" t="str">
        <x:v>Mathematics</x:v>
      </x:c>
      <x:c r="I2320" s="27" t="str">
        <x:v>SRC09</x:v>
      </x:c>
      <x:c r="J2320" s="27" t="str">
        <x:v>Ordered spiral link; consult explicit prerequisites for logical dependency.</x:v>
      </x:c>
    </x:row>
    <x:row r="2321">
      <x:c r="A2321" s="27" t="str">
        <x:v>E02317</x:v>
      </x:c>
      <x:c r="B2321" s="27" t="str">
        <x:v>S22-MATH-03:PREREQ</x:v>
      </x:c>
      <x:c r="C2321" s="27" t="str">
        <x:v>Grade 8 similarity, Grade 7 proportions, and proof foundations.</x:v>
      </x:c>
      <x:c r="D2321" s="27" t="str">
        <x:v>PREREQUISITE</x:v>
      </x:c>
      <x:c r="E2321" s="27" t="str">
        <x:v>S22-MATH-03</x:v>
      </x:c>
      <x:c r="F2321" s="27" t="str">
        <x:v>Dilations, similarity, and proportional proof</x:v>
      </x:c>
      <x:c r="G2321" s="27" t="str">
        <x:v>S22</x:v>
      </x:c>
      <x:c r="H2321" s="27" t="str">
        <x:v>Mathematics</x:v>
      </x:c>
      <x:c r="I2321" s="27" t="str">
        <x:v>SRC09</x:v>
      </x:c>
      <x:c r="J2321" s="27" t="str">
        <x:v>Incoming prerequisite relationship.</x:v>
      </x:c>
    </x:row>
    <x:row r="2322">
      <x:c r="A2322" s="27" t="str">
        <x:v>E02318</x:v>
      </x:c>
      <x:c r="B2322" s="27" t="str">
        <x:v>S22-MATH-03:GROUND</x:v>
      </x:c>
      <x:c r="C2322" s="27" t="str">
        <x:v>G6/G7 — Evidence-based formal system demonstrated through authentic transfer</x:v>
      </x:c>
      <x:c r="D2322" s="27" t="str">
        <x:v>GROUNDED_BY</x:v>
      </x:c>
      <x:c r="E2322" s="27" t="str">
        <x:v>S22-MATH-03</x:v>
      </x:c>
      <x:c r="F2322" s="27" t="str">
        <x:v>Dilations, similarity, and proportional proof</x:v>
      </x:c>
      <x:c r="G2322" s="27" t="str">
        <x:v>S22</x:v>
      </x:c>
      <x:c r="H2322" s="27" t="str">
        <x:v>Mathematics</x:v>
      </x:c>
      <x:c r="I2322" s="27" t="str">
        <x:v>SRC09</x:v>
      </x:c>
      <x:c r="J2322" s="27" t="str">
        <x:v>Grounding form used to preserve meaning.</x:v>
      </x:c>
    </x:row>
    <x:row r="2323">
      <x:c r="A2323" s="27" t="str">
        <x:v>E02319</x:v>
      </x:c>
      <x:c r="B2323" s="27" t="str">
        <x:v>S22-MATH-03</x:v>
      </x:c>
      <x:c r="C2323" s="27" t="str">
        <x:v>Dilations, similarity, and proportional proof</x:v>
      </x:c>
      <x:c r="D2323" s="27" t="str">
        <x:v>CONNECTS_TO</x:v>
      </x:c>
      <x:c r="E2323" s="27" t="str">
        <x:v>S22-MATH-03:CROSS</x:v>
      </x:c>
      <x:c r="F2323" s="27" t="str">
        <x:v>Physical quantity and spatial action; science measurement/models; computing/algorithms; finance; music rhythm/pattern; geographic data.</x:v>
      </x:c>
      <x:c r="G2323" s="27" t="str">
        <x:v>S22</x:v>
      </x:c>
      <x:c r="H2323" s="27" t="str">
        <x:v>Mathematics</x:v>
      </x:c>
      <x:c r="I2323" s="27" t="str">
        <x:v>SRC09</x:v>
      </x:c>
      <x:c r="J2323" s="27" t="str">
        <x:v>Parallel subject and representation links.</x:v>
      </x:c>
    </x:row>
    <x:row r="2324">
      <x:c r="A2324" s="27" t="str">
        <x:v>E02320</x:v>
      </x:c>
      <x:c r="B2324" s="27" t="str">
        <x:v>S22-MATH-03</x:v>
      </x:c>
      <x:c r="C2324" s="27" t="str">
        <x:v>Dilations, similarity, and proportional proof</x:v>
      </x:c>
      <x:c r="D2324" s="27" t="str">
        <x:v>UNLOCKS</x:v>
      </x:c>
      <x:c r="E2324" s="27" t="str">
        <x:v>S22-MATH-03:NEXT</x:v>
      </x:c>
      <x:c r="F2324" s="27" t="str">
        <x:v>Similarity is the geometric source of trigonometric ratios and many scale models.</x:v>
      </x:c>
      <x:c r="G2324" s="27" t="str">
        <x:v>S22</x:v>
      </x:c>
      <x:c r="H2324" s="27" t="str">
        <x:v>Mathematics</x:v>
      </x:c>
      <x:c r="I2324" s="27" t="str">
        <x:v>SRC09</x:v>
      </x:c>
      <x:c r="J2324" s="27" t="str">
        <x:v>Outgoing use and placement rationale.</x:v>
      </x:c>
    </x:row>
    <x:row r="2325">
      <x:c r="A2325" s="27" t="str">
        <x:v>E02321</x:v>
      </x:c>
      <x:c r="B2325" s="27" t="str">
        <x:v>S22-MATH-03</x:v>
      </x:c>
      <x:c r="C2325" s="27" t="str">
        <x:v>Dilations, similarity, and proportional proof</x:v>
      </x:c>
      <x:c r="D2325" s="27" t="str">
        <x:v>VERIFIED_BY</x:v>
      </x:c>
      <x:c r="E2325" s="27" t="str">
        <x:v>S22-MATH-03:EVIDENCE</x:v>
      </x:c>
      <x:c r="F2325" s="27" t="str">
        <x:v>Proves similarity and uses the resulting proportion to solve/interpret a measurement.</x:v>
      </x:c>
      <x:c r="G2325" s="27" t="str">
        <x:v>S22</x:v>
      </x:c>
      <x:c r="H2325" s="27" t="str">
        <x:v>Mathematics</x:v>
      </x:c>
      <x:c r="I2325" s="27" t="str">
        <x:v>SRC09</x:v>
      </x:c>
      <x:c r="J2325" s="27" t="str">
        <x:v>Observable evidence of usable learning.</x:v>
      </x:c>
    </x:row>
    <x:row r="2326">
      <x:c r="A2326" s="27" t="str">
        <x:v>E02322</x:v>
      </x:c>
      <x:c r="B2326" s="27" t="str">
        <x:v>S22-MATH-03</x:v>
      </x:c>
      <x:c r="C2326" s="27" t="str">
        <x:v>Previous node in domain progression</x:v>
      </x:c>
      <x:c r="D2326" s="27" t="str">
        <x:v>DOMAIN_SEQUENCE</x:v>
      </x:c>
      <x:c r="E2326" s="27" t="str">
        <x:v>S22-MATH-04</x:v>
      </x:c>
      <x:c r="F2326" s="27" t="str">
        <x:v>Pythagorean theorem and trigonometric ratios</x:v>
      </x:c>
      <x:c r="G2326" s="27" t="str">
        <x:v>S22</x:v>
      </x:c>
      <x:c r="H2326" s="27" t="str">
        <x:v>Mathematics</x:v>
      </x:c>
      <x:c r="I2326" s="27" t="str">
        <x:v>SRC09</x:v>
      </x:c>
      <x:c r="J2326" s="27" t="str">
        <x:v>Ordered spiral link; consult explicit prerequisites for logical dependency.</x:v>
      </x:c>
    </x:row>
    <x:row r="2327">
      <x:c r="A2327" s="27" t="str">
        <x:v>E02323</x:v>
      </x:c>
      <x:c r="B2327" s="27" t="str">
        <x:v>S22-MATH-04:PREREQ</x:v>
      </x:c>
      <x:c r="C2327" s="27" t="str">
        <x:v>Grade 8 Pythagorean theorem, similarity, functions, and irrational numbers.</x:v>
      </x:c>
      <x:c r="D2327" s="27" t="str">
        <x:v>PREREQUISITE</x:v>
      </x:c>
      <x:c r="E2327" s="27" t="str">
        <x:v>S22-MATH-04</x:v>
      </x:c>
      <x:c r="F2327" s="27" t="str">
        <x:v>Pythagorean theorem and trigonometric ratios</x:v>
      </x:c>
      <x:c r="G2327" s="27" t="str">
        <x:v>S22</x:v>
      </x:c>
      <x:c r="H2327" s="27" t="str">
        <x:v>Mathematics</x:v>
      </x:c>
      <x:c r="I2327" s="27" t="str">
        <x:v>SRC09</x:v>
      </x:c>
      <x:c r="J2327" s="27" t="str">
        <x:v>Incoming prerequisite relationship.</x:v>
      </x:c>
    </x:row>
    <x:row r="2328">
      <x:c r="A2328" s="27" t="str">
        <x:v>E02324</x:v>
      </x:c>
      <x:c r="B2328" s="27" t="str">
        <x:v>S22-MATH-04:GROUND</x:v>
      </x:c>
      <x:c r="C2328" s="27" t="str">
        <x:v>G6/G7 — Evidence-based formal system demonstrated through authentic transfer</x:v>
      </x:c>
      <x:c r="D2328" s="27" t="str">
        <x:v>GROUNDED_BY</x:v>
      </x:c>
      <x:c r="E2328" s="27" t="str">
        <x:v>S22-MATH-04</x:v>
      </x:c>
      <x:c r="F2328" s="27" t="str">
        <x:v>Pythagorean theorem and trigonometric ratios</x:v>
      </x:c>
      <x:c r="G2328" s="27" t="str">
        <x:v>S22</x:v>
      </x:c>
      <x:c r="H2328" s="27" t="str">
        <x:v>Mathematics</x:v>
      </x:c>
      <x:c r="I2328" s="27" t="str">
        <x:v>SRC09</x:v>
      </x:c>
      <x:c r="J2328" s="27" t="str">
        <x:v>Grounding form used to preserve meaning.</x:v>
      </x:c>
    </x:row>
    <x:row r="2329">
      <x:c r="A2329" s="27" t="str">
        <x:v>E02325</x:v>
      </x:c>
      <x:c r="B2329" s="27" t="str">
        <x:v>S22-MATH-04</x:v>
      </x:c>
      <x:c r="C2329" s="27" t="str">
        <x:v>Pythagorean theorem and trigonometric ratios</x:v>
      </x:c>
      <x:c r="D2329" s="27" t="str">
        <x:v>CONNECTS_TO</x:v>
      </x:c>
      <x:c r="E2329" s="27" t="str">
        <x:v>S22-MATH-04:CROSS</x:v>
      </x:c>
      <x:c r="F2329" s="27" t="str">
        <x:v>Physical quantity and spatial action; science measurement/models; computing/algorithms; finance; music rhythm/pattern; geographic data.</x:v>
      </x:c>
      <x:c r="G2329" s="27" t="str">
        <x:v>S22</x:v>
      </x:c>
      <x:c r="H2329" s="27" t="str">
        <x:v>Mathematics</x:v>
      </x:c>
      <x:c r="I2329" s="27" t="str">
        <x:v>SRC09</x:v>
      </x:c>
      <x:c r="J2329" s="27" t="str">
        <x:v>Parallel subject and representation links.</x:v>
      </x:c>
    </x:row>
    <x:row r="2330">
      <x:c r="A2330" s="27" t="str">
        <x:v>E02326</x:v>
      </x:c>
      <x:c r="B2330" s="27" t="str">
        <x:v>S22-MATH-04</x:v>
      </x:c>
      <x:c r="C2330" s="27" t="str">
        <x:v>Pythagorean theorem and trigonometric ratios</x:v>
      </x:c>
      <x:c r="D2330" s="27" t="str">
        <x:v>UNLOCKS</x:v>
      </x:c>
      <x:c r="E2330" s="27" t="str">
        <x:v>S22-MATH-04:NEXT</x:v>
      </x:c>
      <x:c r="F2330" s="27" t="str">
        <x:v>Trig ratios convert geometric similarity into functions of angle.</x:v>
      </x:c>
      <x:c r="G2330" s="27" t="str">
        <x:v>S22</x:v>
      </x:c>
      <x:c r="H2330" s="27" t="str">
        <x:v>Mathematics</x:v>
      </x:c>
      <x:c r="I2330" s="27" t="str">
        <x:v>SRC09</x:v>
      </x:c>
      <x:c r="J2330" s="27" t="str">
        <x:v>Outgoing use and placement rationale.</x:v>
      </x:c>
    </x:row>
    <x:row r="2331">
      <x:c r="A2331" s="27" t="str">
        <x:v>E02327</x:v>
      </x:c>
      <x:c r="B2331" s="27" t="str">
        <x:v>S22-MATH-04</x:v>
      </x:c>
      <x:c r="C2331" s="27" t="str">
        <x:v>Pythagorean theorem and trigonometric ratios</x:v>
      </x:c>
      <x:c r="D2331" s="27" t="str">
        <x:v>VERIFIED_BY</x:v>
      </x:c>
      <x:c r="E2331" s="27" t="str">
        <x:v>S22-MATH-04:EVIDENCE</x:v>
      </x:c>
      <x:c r="F2331" s="27" t="str">
        <x:v>Selects a ratio/theorem, solves, and checks the result against the diagram and units.</x:v>
      </x:c>
      <x:c r="G2331" s="27" t="str">
        <x:v>S22</x:v>
      </x:c>
      <x:c r="H2331" s="27" t="str">
        <x:v>Mathematics</x:v>
      </x:c>
      <x:c r="I2331" s="27" t="str">
        <x:v>SRC09</x:v>
      </x:c>
      <x:c r="J2331" s="27" t="str">
        <x:v>Observable evidence of usable learning.</x:v>
      </x:c>
    </x:row>
    <x:row r="2332">
      <x:c r="A2332" s="27" t="str">
        <x:v>E02328</x:v>
      </x:c>
      <x:c r="B2332" s="27" t="str">
        <x:v>S22-MATH-04</x:v>
      </x:c>
      <x:c r="C2332" s="27" t="str">
        <x:v>Previous node in domain progression</x:v>
      </x:c>
      <x:c r="D2332" s="27" t="str">
        <x:v>DOMAIN_SEQUENCE</x:v>
      </x:c>
      <x:c r="E2332" s="27" t="str">
        <x:v>S22-MATH-05</x:v>
      </x:c>
      <x:c r="F2332" s="27" t="str">
        <x:v>Circle theorems and equations</x:v>
      </x:c>
      <x:c r="G2332" s="27" t="str">
        <x:v>S22</x:v>
      </x:c>
      <x:c r="H2332" s="27" t="str">
        <x:v>Mathematics</x:v>
      </x:c>
      <x:c r="I2332" s="27" t="str">
        <x:v>SRC09</x:v>
      </x:c>
      <x:c r="J2332" s="27" t="str">
        <x:v>Ordered spiral link; consult explicit prerequisites for logical dependency.</x:v>
      </x:c>
    </x:row>
    <x:row r="2333">
      <x:c r="A2333" s="27" t="str">
        <x:v>E02329</x:v>
      </x:c>
      <x:c r="B2333" s="27" t="str">
        <x:v>S22-MATH-05:PREREQ</x:v>
      </x:c>
      <x:c r="C2333" s="27" t="str">
        <x:v>Angle proof, similarity, coordinate algebra, and distance.</x:v>
      </x:c>
      <x:c r="D2333" s="27" t="str">
        <x:v>PREREQUISITE</x:v>
      </x:c>
      <x:c r="E2333" s="27" t="str">
        <x:v>S22-MATH-05</x:v>
      </x:c>
      <x:c r="F2333" s="27" t="str">
        <x:v>Circle theorems and equations</x:v>
      </x:c>
      <x:c r="G2333" s="27" t="str">
        <x:v>S22</x:v>
      </x:c>
      <x:c r="H2333" s="27" t="str">
        <x:v>Mathematics</x:v>
      </x:c>
      <x:c r="I2333" s="27" t="str">
        <x:v>SRC09</x:v>
      </x:c>
      <x:c r="J2333" s="27" t="str">
        <x:v>Incoming prerequisite relationship.</x:v>
      </x:c>
    </x:row>
    <x:row r="2334">
      <x:c r="A2334" s="27" t="str">
        <x:v>E02330</x:v>
      </x:c>
      <x:c r="B2334" s="27" t="str">
        <x:v>S22-MATH-05:GROUND</x:v>
      </x:c>
      <x:c r="C2334" s="27" t="str">
        <x:v>G6/G7 — Evidence-based formal system demonstrated through authentic transfer</x:v>
      </x:c>
      <x:c r="D2334" s="27" t="str">
        <x:v>GROUNDED_BY</x:v>
      </x:c>
      <x:c r="E2334" s="27" t="str">
        <x:v>S22-MATH-05</x:v>
      </x:c>
      <x:c r="F2334" s="27" t="str">
        <x:v>Circle theorems and equations</x:v>
      </x:c>
      <x:c r="G2334" s="27" t="str">
        <x:v>S22</x:v>
      </x:c>
      <x:c r="H2334" s="27" t="str">
        <x:v>Mathematics</x:v>
      </x:c>
      <x:c r="I2334" s="27" t="str">
        <x:v>SRC09</x:v>
      </x:c>
      <x:c r="J2334" s="27" t="str">
        <x:v>Grounding form used to preserve meaning.</x:v>
      </x:c>
    </x:row>
    <x:row r="2335">
      <x:c r="A2335" s="27" t="str">
        <x:v>E02331</x:v>
      </x:c>
      <x:c r="B2335" s="27" t="str">
        <x:v>S22-MATH-05</x:v>
      </x:c>
      <x:c r="C2335" s="27" t="str">
        <x:v>Circle theorems and equations</x:v>
      </x:c>
      <x:c r="D2335" s="27" t="str">
        <x:v>CONNECTS_TO</x:v>
      </x:c>
      <x:c r="E2335" s="27" t="str">
        <x:v>S22-MATH-05:CROSS</x:v>
      </x:c>
      <x:c r="F2335" s="27" t="str">
        <x:v>Physical quantity and spatial action; science measurement/models; computing/algorithms; finance; music rhythm/pattern; geographic data.</x:v>
      </x:c>
      <x:c r="G2335" s="27" t="str">
        <x:v>S22</x:v>
      </x:c>
      <x:c r="H2335" s="27" t="str">
        <x:v>Mathematics</x:v>
      </x:c>
      <x:c r="I2335" s="27" t="str">
        <x:v>SRC09</x:v>
      </x:c>
      <x:c r="J2335" s="27" t="str">
        <x:v>Parallel subject and representation links.</x:v>
      </x:c>
    </x:row>
    <x:row r="2336">
      <x:c r="A2336" s="27" t="str">
        <x:v>E02332</x:v>
      </x:c>
      <x:c r="B2336" s="27" t="str">
        <x:v>S22-MATH-05</x:v>
      </x:c>
      <x:c r="C2336" s="27" t="str">
        <x:v>Circle theorems and equations</x:v>
      </x:c>
      <x:c r="D2336" s="27" t="str">
        <x:v>UNLOCKS</x:v>
      </x:c>
      <x:c r="E2336" s="27" t="str">
        <x:v>S22-MATH-05:NEXT</x:v>
      </x:c>
      <x:c r="F2336" s="27" t="str">
        <x:v>Circle relationships connect synthetic proof with analytic geometry.</x:v>
      </x:c>
      <x:c r="G2336" s="27" t="str">
        <x:v>S22</x:v>
      </x:c>
      <x:c r="H2336" s="27" t="str">
        <x:v>Mathematics</x:v>
      </x:c>
      <x:c r="I2336" s="27" t="str">
        <x:v>SRC09</x:v>
      </x:c>
      <x:c r="J2336" s="27" t="str">
        <x:v>Outgoing use and placement rationale.</x:v>
      </x:c>
    </x:row>
    <x:row r="2337">
      <x:c r="A2337" s="27" t="str">
        <x:v>E02333</x:v>
      </x:c>
      <x:c r="B2337" s="27" t="str">
        <x:v>S22-MATH-05</x:v>
      </x:c>
      <x:c r="C2337" s="27" t="str">
        <x:v>Circle theorems and equations</x:v>
      </x:c>
      <x:c r="D2337" s="27" t="str">
        <x:v>VERIFIED_BY</x:v>
      </x:c>
      <x:c r="E2337" s="27" t="str">
        <x:v>S22-MATH-05:EVIDENCE</x:v>
      </x:c>
      <x:c r="F2337" s="27" t="str">
        <x:v>Proves/uses a circle relationship and interprets equation center/radius.</x:v>
      </x:c>
      <x:c r="G2337" s="27" t="str">
        <x:v>S22</x:v>
      </x:c>
      <x:c r="H2337" s="27" t="str">
        <x:v>Mathematics</x:v>
      </x:c>
      <x:c r="I2337" s="27" t="str">
        <x:v>SRC09</x:v>
      </x:c>
      <x:c r="J2337" s="27" t="str">
        <x:v>Observable evidence of usable learning.</x:v>
      </x:c>
    </x:row>
    <x:row r="2338">
      <x:c r="A2338" s="27" t="str">
        <x:v>E02334</x:v>
      </x:c>
      <x:c r="B2338" s="27" t="str">
        <x:v>S22-MATH-05</x:v>
      </x:c>
      <x:c r="C2338" s="27" t="str">
        <x:v>Previous node in domain progression</x:v>
      </x:c>
      <x:c r="D2338" s="27" t="str">
        <x:v>DOMAIN_SEQUENCE</x:v>
      </x:c>
      <x:c r="E2338" s="27" t="str">
        <x:v>S22-MATH-06</x:v>
      </x:c>
      <x:c r="F2338" s="27" t="str">
        <x:v>Area, volume, density, and modeling</x:v>
      </x:c>
      <x:c r="G2338" s="27" t="str">
        <x:v>S22</x:v>
      </x:c>
      <x:c r="H2338" s="27" t="str">
        <x:v>Mathematics</x:v>
      </x:c>
      <x:c r="I2338" s="27" t="str">
        <x:v>SRC09</x:v>
      </x:c>
      <x:c r="J2338" s="27" t="str">
        <x:v>Ordered spiral link; consult explicit prerequisites for logical dependency.</x:v>
      </x:c>
    </x:row>
    <x:row r="2339">
      <x:c r="A2339" s="27" t="str">
        <x:v>E02335</x:v>
      </x:c>
      <x:c r="B2339" s="27" t="str">
        <x:v>S22-MATH-06:PREREQ</x:v>
      </x:c>
      <x:c r="C2339" s="27" t="str">
        <x:v>Grade 7/8 area-volume, similarity, Algebra I formulas, and unit analysis.</x:v>
      </x:c>
      <x:c r="D2339" s="27" t="str">
        <x:v>PREREQUISITE</x:v>
      </x:c>
      <x:c r="E2339" s="27" t="str">
        <x:v>S22-MATH-06</x:v>
      </x:c>
      <x:c r="F2339" s="27" t="str">
        <x:v>Area, volume, density, and modeling</x:v>
      </x:c>
      <x:c r="G2339" s="27" t="str">
        <x:v>S22</x:v>
      </x:c>
      <x:c r="H2339" s="27" t="str">
        <x:v>Mathematics</x:v>
      </x:c>
      <x:c r="I2339" s="27" t="str">
        <x:v>SRC09</x:v>
      </x:c>
      <x:c r="J2339" s="27" t="str">
        <x:v>Incoming prerequisite relationship.</x:v>
      </x:c>
    </x:row>
    <x:row r="2340">
      <x:c r="A2340" s="27" t="str">
        <x:v>E02336</x:v>
      </x:c>
      <x:c r="B2340" s="27" t="str">
        <x:v>S22-MATH-06:GROUND</x:v>
      </x:c>
      <x:c r="C2340" s="27" t="str">
        <x:v>G6/G7 — Evidence-based formal system demonstrated through authentic transfer</x:v>
      </x:c>
      <x:c r="D2340" s="27" t="str">
        <x:v>GROUNDED_BY</x:v>
      </x:c>
      <x:c r="E2340" s="27" t="str">
        <x:v>S22-MATH-06</x:v>
      </x:c>
      <x:c r="F2340" s="27" t="str">
        <x:v>Area, volume, density, and modeling</x:v>
      </x:c>
      <x:c r="G2340" s="27" t="str">
        <x:v>S22</x:v>
      </x:c>
      <x:c r="H2340" s="27" t="str">
        <x:v>Mathematics</x:v>
      </x:c>
      <x:c r="I2340" s="27" t="str">
        <x:v>SRC09</x:v>
      </x:c>
      <x:c r="J2340" s="27" t="str">
        <x:v>Grounding form used to preserve meaning.</x:v>
      </x:c>
    </x:row>
    <x:row r="2341">
      <x:c r="A2341" s="27" t="str">
        <x:v>E02337</x:v>
      </x:c>
      <x:c r="B2341" s="27" t="str">
        <x:v>S22-MATH-06</x:v>
      </x:c>
      <x:c r="C2341" s="27" t="str">
        <x:v>Area, volume, density, and modeling</x:v>
      </x:c>
      <x:c r="D2341" s="27" t="str">
        <x:v>CONNECTS_TO</x:v>
      </x:c>
      <x:c r="E2341" s="27" t="str">
        <x:v>S22-MATH-06:CROSS</x:v>
      </x:c>
      <x:c r="F2341" s="27" t="str">
        <x:v>Physical quantity and spatial action; science measurement/models; computing/algorithms; finance; music rhythm/pattern; geographic data.</x:v>
      </x:c>
      <x:c r="G2341" s="27" t="str">
        <x:v>S22</x:v>
      </x:c>
      <x:c r="H2341" s="27" t="str">
        <x:v>Mathematics</x:v>
      </x:c>
      <x:c r="I2341" s="27" t="str">
        <x:v>SRC09</x:v>
      </x:c>
      <x:c r="J2341" s="27" t="str">
        <x:v>Parallel subject and representation links.</x:v>
      </x:c>
    </x:row>
    <x:row r="2342">
      <x:c r="A2342" s="27" t="str">
        <x:v>E02338</x:v>
      </x:c>
      <x:c r="B2342" s="27" t="str">
        <x:v>S22-MATH-06</x:v>
      </x:c>
      <x:c r="C2342" s="27" t="str">
        <x:v>Area, volume, density, and modeling</x:v>
      </x:c>
      <x:c r="D2342" s="27" t="str">
        <x:v>UNLOCKS</x:v>
      </x:c>
      <x:c r="E2342" s="27" t="str">
        <x:v>S22-MATH-06:NEXT</x:v>
      </x:c>
      <x:c r="F2342" s="27" t="str">
        <x:v>Three-dimensional scaling and unit reasoning prepare science/engineering models.</x:v>
      </x:c>
      <x:c r="G2342" s="27" t="str">
        <x:v>S22</x:v>
      </x:c>
      <x:c r="H2342" s="27" t="str">
        <x:v>Mathematics</x:v>
      </x:c>
      <x:c r="I2342" s="27" t="str">
        <x:v>SRC09</x:v>
      </x:c>
      <x:c r="J2342" s="27" t="str">
        <x:v>Outgoing use and placement rationale.</x:v>
      </x:c>
    </x:row>
    <x:row r="2343">
      <x:c r="A2343" s="27" t="str">
        <x:v>E02339</x:v>
      </x:c>
      <x:c r="B2343" s="27" t="str">
        <x:v>S22-MATH-06</x:v>
      </x:c>
      <x:c r="C2343" s="27" t="str">
        <x:v>Area, volume, density, and modeling</x:v>
      </x:c>
      <x:c r="D2343" s="27" t="str">
        <x:v>VERIFIED_BY</x:v>
      </x:c>
      <x:c r="E2343" s="27" t="str">
        <x:v>S22-MATH-06:EVIDENCE</x:v>
      </x:c>
      <x:c r="F2343" s="27" t="str">
        <x:v>Builds a geometric model, computes with correct unit powers, and evaluates assumptions/error.</x:v>
      </x:c>
      <x:c r="G2343" s="27" t="str">
        <x:v>S22</x:v>
      </x:c>
      <x:c r="H2343" s="27" t="str">
        <x:v>Mathematics</x:v>
      </x:c>
      <x:c r="I2343" s="27" t="str">
        <x:v>SRC09</x:v>
      </x:c>
      <x:c r="J2343" s="27" t="str">
        <x:v>Observable evidence of usable learning.</x:v>
      </x:c>
    </x:row>
    <x:row r="2344">
      <x:c r="A2344" s="27" t="str">
        <x:v>E02340</x:v>
      </x:c>
      <x:c r="B2344" s="27" t="str">
        <x:v>S22-MATH-06</x:v>
      </x:c>
      <x:c r="C2344" s="27" t="str">
        <x:v>Previous node in domain progression</x:v>
      </x:c>
      <x:c r="D2344" s="27" t="str">
        <x:v>DOMAIN_SEQUENCE</x:v>
      </x:c>
      <x:c r="E2344" s="27" t="str">
        <x:v>S22-MATH-07</x:v>
      </x:c>
      <x:c r="F2344" s="27" t="str">
        <x:v>Set, conditional, and geometric probability</x:v>
      </x:c>
      <x:c r="G2344" s="27" t="str">
        <x:v>S22</x:v>
      </x:c>
      <x:c r="H2344" s="27" t="str">
        <x:v>Mathematics</x:v>
      </x:c>
      <x:c r="I2344" s="27" t="str">
        <x:v>SRC09</x:v>
      </x:c>
      <x:c r="J2344" s="27" t="str">
        <x:v>Ordered spiral link; consult explicit prerequisites for logical dependency.</x:v>
      </x:c>
    </x:row>
    <x:row r="2345">
      <x:c r="A2345" s="27" t="str">
        <x:v>E02341</x:v>
      </x:c>
      <x:c r="B2345" s="27" t="str">
        <x:v>S22-MATH-07:PREREQ</x:v>
      </x:c>
      <x:c r="C2345" s="27" t="str">
        <x:v>Grade 7 probability, Grade 8 two-way tables, ratios, and set classification.</x:v>
      </x:c>
      <x:c r="D2345" s="27" t="str">
        <x:v>PREREQUISITE</x:v>
      </x:c>
      <x:c r="E2345" s="27" t="str">
        <x:v>S22-MATH-07</x:v>
      </x:c>
      <x:c r="F2345" s="27" t="str">
        <x:v>Set, conditional, and geometric probability</x:v>
      </x:c>
      <x:c r="G2345" s="27" t="str">
        <x:v>S22</x:v>
      </x:c>
      <x:c r="H2345" s="27" t="str">
        <x:v>Mathematics</x:v>
      </x:c>
      <x:c r="I2345" s="27" t="str">
        <x:v>SRC09</x:v>
      </x:c>
      <x:c r="J2345" s="27" t="str">
        <x:v>Incoming prerequisite relationship.</x:v>
      </x:c>
    </x:row>
    <x:row r="2346">
      <x:c r="A2346" s="27" t="str">
        <x:v>E02342</x:v>
      </x:c>
      <x:c r="B2346" s="27" t="str">
        <x:v>S22-MATH-07:GROUND</x:v>
      </x:c>
      <x:c r="C2346" s="27" t="str">
        <x:v>G6/G7 — Evidence-based formal system demonstrated through authentic transfer</x:v>
      </x:c>
      <x:c r="D2346" s="27" t="str">
        <x:v>GROUNDED_BY</x:v>
      </x:c>
      <x:c r="E2346" s="27" t="str">
        <x:v>S22-MATH-07</x:v>
      </x:c>
      <x:c r="F2346" s="27" t="str">
        <x:v>Set, conditional, and geometric probability</x:v>
      </x:c>
      <x:c r="G2346" s="27" t="str">
        <x:v>S22</x:v>
      </x:c>
      <x:c r="H2346" s="27" t="str">
        <x:v>Mathematics</x:v>
      </x:c>
      <x:c r="I2346" s="27" t="str">
        <x:v>SRC09</x:v>
      </x:c>
      <x:c r="J2346" s="27" t="str">
        <x:v>Grounding form used to preserve meaning.</x:v>
      </x:c>
    </x:row>
    <x:row r="2347">
      <x:c r="A2347" s="27" t="str">
        <x:v>E02343</x:v>
      </x:c>
      <x:c r="B2347" s="27" t="str">
        <x:v>S22-MATH-07</x:v>
      </x:c>
      <x:c r="C2347" s="27" t="str">
        <x:v>Set, conditional, and geometric probability</x:v>
      </x:c>
      <x:c r="D2347" s="27" t="str">
        <x:v>CONNECTS_TO</x:v>
      </x:c>
      <x:c r="E2347" s="27" t="str">
        <x:v>S22-MATH-07:CROSS</x:v>
      </x:c>
      <x:c r="F2347" s="27" t="str">
        <x:v>Physical quantity and spatial action; science measurement/models; computing/algorithms; finance; music rhythm/pattern; geographic data.</x:v>
      </x:c>
      <x:c r="G2347" s="27" t="str">
        <x:v>S22</x:v>
      </x:c>
      <x:c r="H2347" s="27" t="str">
        <x:v>Mathematics</x:v>
      </x:c>
      <x:c r="I2347" s="27" t="str">
        <x:v>SRC09</x:v>
      </x:c>
      <x:c r="J2347" s="27" t="str">
        <x:v>Parallel subject and representation links.</x:v>
      </x:c>
    </x:row>
    <x:row r="2348">
      <x:c r="A2348" s="27" t="str">
        <x:v>E02344</x:v>
      </x:c>
      <x:c r="B2348" s="27" t="str">
        <x:v>S22-MATH-07</x:v>
      </x:c>
      <x:c r="C2348" s="27" t="str">
        <x:v>Set, conditional, and geometric probability</x:v>
      </x:c>
      <x:c r="D2348" s="27" t="str">
        <x:v>UNLOCKS</x:v>
      </x:c>
      <x:c r="E2348" s="27" t="str">
        <x:v>S22-MATH-07:NEXT</x:v>
      </x:c>
      <x:c r="F2348" s="27" t="str">
        <x:v>Conditional probability formalizes how information changes likelihood.</x:v>
      </x:c>
      <x:c r="G2348" s="27" t="str">
        <x:v>S22</x:v>
      </x:c>
      <x:c r="H2348" s="27" t="str">
        <x:v>Mathematics</x:v>
      </x:c>
      <x:c r="I2348" s="27" t="str">
        <x:v>SRC09</x:v>
      </x:c>
      <x:c r="J2348" s="27" t="str">
        <x:v>Outgoing use and placement rationale.</x:v>
      </x:c>
    </x:row>
    <x:row r="2349">
      <x:c r="A2349" s="27" t="str">
        <x:v>E02345</x:v>
      </x:c>
      <x:c r="B2349" s="27" t="str">
        <x:v>S22-MATH-07</x:v>
      </x:c>
      <x:c r="C2349" s="27" t="str">
        <x:v>Set, conditional, and geometric probability</x:v>
      </x:c>
      <x:c r="D2349" s="27" t="str">
        <x:v>VERIFIED_BY</x:v>
      </x:c>
      <x:c r="E2349" s="27" t="str">
        <x:v>S22-MATH-07:EVIDENCE</x:v>
      </x:c>
      <x:c r="F2349" s="27" t="str">
        <x:v>Represents a probability situation in multiple forms and justifies independence/dependence.</x:v>
      </x:c>
      <x:c r="G2349" s="27" t="str">
        <x:v>S22</x:v>
      </x:c>
      <x:c r="H2349" s="27" t="str">
        <x:v>Mathematics</x:v>
      </x:c>
      <x:c r="I2349" s="27" t="str">
        <x:v>SRC09</x:v>
      </x:c>
      <x:c r="J2349" s="27" t="str">
        <x:v>Observable evidence of usable learning.</x:v>
      </x:c>
    </x:row>
    <x:row r="2350">
      <x:c r="A2350" s="27" t="str">
        <x:v>E02346</x:v>
      </x:c>
      <x:c r="B2350" s="27" t="str">
        <x:v>S21-SCI-05</x:v>
      </x:c>
      <x:c r="C2350" s="27" t="str">
        <x:v>Previous node in domain progression</x:v>
      </x:c>
      <x:c r="D2350" s="27" t="str">
        <x:v>DOMAIN_SEQUENCE</x:v>
      </x:c>
      <x:c r="E2350" s="27" t="str">
        <x:v>S22-SCI-01</x:v>
      </x:c>
      <x:c r="F2350" s="27" t="str">
        <x:v>Atoms, electrons, periodic patterns, and bonding</x:v>
      </x:c>
      <x:c r="G2350" s="27" t="str">
        <x:v>S22</x:v>
      </x:c>
      <x:c r="H2350" s="27" t="str">
        <x:v>Science &amp; Engineering</x:v>
      </x:c>
      <x:c r="I2350" s="27" t="str">
        <x:v>SRC11</x:v>
      </x:c>
      <x:c r="J2350" s="27" t="str">
        <x:v>Ordered spiral link; consult explicit prerequisites for logical dependency.</x:v>
      </x:c>
    </x:row>
    <x:row r="2351">
      <x:c r="A2351" s="27" t="str">
        <x:v>E02347</x:v>
      </x:c>
      <x:c r="B2351" s="27" t="str">
        <x:v>S22-SCI-01:PREREQ</x:v>
      </x:c>
      <x:c r="C2351" s="27" t="str">
        <x:v>Middle-school particle models, Algebra I functions, and energy ideas.</x:v>
      </x:c>
      <x:c r="D2351" s="27" t="str">
        <x:v>PREREQUISITE</x:v>
      </x:c>
      <x:c r="E2351" s="27" t="str">
        <x:v>S22-SCI-01</x:v>
      </x:c>
      <x:c r="F2351" s="27" t="str">
        <x:v>Atoms, electrons, periodic patterns, and bonding</x:v>
      </x:c>
      <x:c r="G2351" s="27" t="str">
        <x:v>S22</x:v>
      </x:c>
      <x:c r="H2351" s="27" t="str">
        <x:v>Science &amp; Engineering</x:v>
      </x:c>
      <x:c r="I2351" s="27" t="str">
        <x:v>SRC11</x:v>
      </x:c>
      <x:c r="J2351" s="27" t="str">
        <x:v>Incoming prerequisite relationship.</x:v>
      </x:c>
    </x:row>
    <x:row r="2352">
      <x:c r="A2352" s="27" t="str">
        <x:v>E02348</x:v>
      </x:c>
      <x:c r="B2352" s="27" t="str">
        <x:v>S22-SCI-01:GROUND</x:v>
      </x:c>
      <x:c r="C2352" s="27" t="str">
        <x:v>G6/G7 — Evidence-based formal system demonstrated through authentic transfer</x:v>
      </x:c>
      <x:c r="D2352" s="27" t="str">
        <x:v>GROUNDED_BY</x:v>
      </x:c>
      <x:c r="E2352" s="27" t="str">
        <x:v>S22-SCI-01</x:v>
      </x:c>
      <x:c r="F2352" s="27" t="str">
        <x:v>Atoms, electrons, periodic patterns, and bonding</x:v>
      </x:c>
      <x:c r="G2352" s="27" t="str">
        <x:v>S22</x:v>
      </x:c>
      <x:c r="H2352" s="27" t="str">
        <x:v>Science &amp; Engineering</x:v>
      </x:c>
      <x:c r="I2352" s="27" t="str">
        <x:v>SRC11</x:v>
      </x:c>
      <x:c r="J2352" s="27" t="str">
        <x:v>Grounding form used to preserve meaning.</x:v>
      </x:c>
    </x:row>
    <x:row r="2353">
      <x:c r="A2353" s="27" t="str">
        <x:v>E02349</x:v>
      </x:c>
      <x:c r="B2353" s="27" t="str">
        <x:v>S22-SCI-01</x:v>
      </x:c>
      <x:c r="C2353" s="27" t="str">
        <x:v>Atoms, electrons, periodic patterns, and bonding</x:v>
      </x:c>
      <x:c r="D2353" s="27" t="str">
        <x:v>CONNECTS_TO</x:v>
      </x:c>
      <x:c r="E2353" s="27" t="str">
        <x:v>S22-SCI-01:CROSS</x:v>
      </x:c>
      <x:c r="F2353" s="27" t="str">
        <x:v>Sensory observation and action; mathematics/data; reading/writing evidence; computing/models; health and environmental/civic decisions.</x:v>
      </x:c>
      <x:c r="G2353" s="27" t="str">
        <x:v>S22</x:v>
      </x:c>
      <x:c r="H2353" s="27" t="str">
        <x:v>Science &amp; Engineering</x:v>
      </x:c>
      <x:c r="I2353" s="27" t="str">
        <x:v>SRC11</x:v>
      </x:c>
      <x:c r="J2353" s="27" t="str">
        <x:v>Parallel subject and representation links.</x:v>
      </x:c>
    </x:row>
    <x:row r="2354">
      <x:c r="A2354" s="27" t="str">
        <x:v>E02350</x:v>
      </x:c>
      <x:c r="B2354" s="27" t="str">
        <x:v>S22-SCI-01</x:v>
      </x:c>
      <x:c r="C2354" s="27" t="str">
        <x:v>Atoms, electrons, periodic patterns, and bonding</x:v>
      </x:c>
      <x:c r="D2354" s="27" t="str">
        <x:v>UNLOCKS</x:v>
      </x:c>
      <x:c r="E2354" s="27" t="str">
        <x:v>S22-SCI-01:NEXT</x:v>
      </x:c>
      <x:c r="F2354" s="27" t="str">
        <x:v>Electron structure and bonding ground molecular properties and reactions.</x:v>
      </x:c>
      <x:c r="G2354" s="27" t="str">
        <x:v>S22</x:v>
      </x:c>
      <x:c r="H2354" s="27" t="str">
        <x:v>Science &amp; Engineering</x:v>
      </x:c>
      <x:c r="I2354" s="27" t="str">
        <x:v>SRC11</x:v>
      </x:c>
      <x:c r="J2354" s="27" t="str">
        <x:v>Outgoing use and placement rationale.</x:v>
      </x:c>
    </x:row>
    <x:row r="2355">
      <x:c r="A2355" s="27" t="str">
        <x:v>E02351</x:v>
      </x:c>
      <x:c r="B2355" s="27" t="str">
        <x:v>S22-SCI-01</x:v>
      </x:c>
      <x:c r="C2355" s="27" t="str">
        <x:v>Atoms, electrons, periodic patterns, and bonding</x:v>
      </x:c>
      <x:c r="D2355" s="27" t="str">
        <x:v>VERIFIED_BY</x:v>
      </x:c>
      <x:c r="E2355" s="27" t="str">
        <x:v>S22-SCI-01:EVIDENCE</x:v>
      </x:c>
      <x:c r="F2355" s="27" t="str">
        <x:v>Uses periodic/structural evidence to predict and explain a substance property.</x:v>
      </x:c>
      <x:c r="G2355" s="27" t="str">
        <x:v>S22</x:v>
      </x:c>
      <x:c r="H2355" s="27" t="str">
        <x:v>Science &amp; Engineering</x:v>
      </x:c>
      <x:c r="I2355" s="27" t="str">
        <x:v>SRC11</x:v>
      </x:c>
      <x:c r="J2355" s="27" t="str">
        <x:v>Observable evidence of usable learning.</x:v>
      </x:c>
    </x:row>
    <x:row r="2356">
      <x:c r="A2356" s="27" t="str">
        <x:v>E02352</x:v>
      </x:c>
      <x:c r="B2356" s="27" t="str">
        <x:v>S22-SCI-01</x:v>
      </x:c>
      <x:c r="C2356" s="27" t="str">
        <x:v>Previous node in domain progression</x:v>
      </x:c>
      <x:c r="D2356" s="27" t="str">
        <x:v>DOMAIN_SEQUENCE</x:v>
      </x:c>
      <x:c r="E2356" s="27" t="str">
        <x:v>S22-SCI-02</x:v>
      </x:c>
      <x:c r="F2356" s="27" t="str">
        <x:v>Moles, formulas, equations, and stoichiometry</x:v>
      </x:c>
      <x:c r="G2356" s="27" t="str">
        <x:v>S22</x:v>
      </x:c>
      <x:c r="H2356" s="27" t="str">
        <x:v>Science &amp; Engineering</x:v>
      </x:c>
      <x:c r="I2356" s="27" t="str">
        <x:v>SRC11</x:v>
      </x:c>
      <x:c r="J2356" s="27" t="str">
        <x:v>Ordered spiral link; consult explicit prerequisites for logical dependency.</x:v>
      </x:c>
    </x:row>
    <x:row r="2357">
      <x:c r="A2357" s="27" t="str">
        <x:v>E02353</x:v>
      </x:c>
      <x:c r="B2357" s="27" t="str">
        <x:v>S22-SCI-02:PREREQ</x:v>
      </x:c>
      <x:c r="C2357" s="27" t="str">
        <x:v>Grade 5 conservation, Algebra I equations, ratios, and scientific notation.</x:v>
      </x:c>
      <x:c r="D2357" s="27" t="str">
        <x:v>PREREQUISITE</x:v>
      </x:c>
      <x:c r="E2357" s="27" t="str">
        <x:v>S22-SCI-02</x:v>
      </x:c>
      <x:c r="F2357" s="27" t="str">
        <x:v>Moles, formulas, equations, and stoichiometry</x:v>
      </x:c>
      <x:c r="G2357" s="27" t="str">
        <x:v>S22</x:v>
      </x:c>
      <x:c r="H2357" s="27" t="str">
        <x:v>Science &amp; Engineering</x:v>
      </x:c>
      <x:c r="I2357" s="27" t="str">
        <x:v>SRC11</x:v>
      </x:c>
      <x:c r="J2357" s="27" t="str">
        <x:v>Incoming prerequisite relationship.</x:v>
      </x:c>
    </x:row>
    <x:row r="2358">
      <x:c r="A2358" s="27" t="str">
        <x:v>E02354</x:v>
      </x:c>
      <x:c r="B2358" s="27" t="str">
        <x:v>S22-SCI-02:GROUND</x:v>
      </x:c>
      <x:c r="C2358" s="27" t="str">
        <x:v>G6/G7 — Evidence-based formal system demonstrated through authentic transfer</x:v>
      </x:c>
      <x:c r="D2358" s="27" t="str">
        <x:v>GROUNDED_BY</x:v>
      </x:c>
      <x:c r="E2358" s="27" t="str">
        <x:v>S22-SCI-02</x:v>
      </x:c>
      <x:c r="F2358" s="27" t="str">
        <x:v>Moles, formulas, equations, and stoichiometry</x:v>
      </x:c>
      <x:c r="G2358" s="27" t="str">
        <x:v>S22</x:v>
      </x:c>
      <x:c r="H2358" s="27" t="str">
        <x:v>Science &amp; Engineering</x:v>
      </x:c>
      <x:c r="I2358" s="27" t="str">
        <x:v>SRC11</x:v>
      </x:c>
      <x:c r="J2358" s="27" t="str">
        <x:v>Grounding form used to preserve meaning.</x:v>
      </x:c>
    </x:row>
    <x:row r="2359">
      <x:c r="A2359" s="27" t="str">
        <x:v>E02355</x:v>
      </x:c>
      <x:c r="B2359" s="27" t="str">
        <x:v>S22-SCI-02</x:v>
      </x:c>
      <x:c r="C2359" s="27" t="str">
        <x:v>Moles, formulas, equations, and stoichiometry</x:v>
      </x:c>
      <x:c r="D2359" s="27" t="str">
        <x:v>CONNECTS_TO</x:v>
      </x:c>
      <x:c r="E2359" s="27" t="str">
        <x:v>S22-SCI-02:CROSS</x:v>
      </x:c>
      <x:c r="F2359" s="27" t="str">
        <x:v>Sensory observation and action; mathematics/data; reading/writing evidence; computing/models; health and environmental/civic decisions.</x:v>
      </x:c>
      <x:c r="G2359" s="27" t="str">
        <x:v>S22</x:v>
      </x:c>
      <x:c r="H2359" s="27" t="str">
        <x:v>Science &amp; Engineering</x:v>
      </x:c>
      <x:c r="I2359" s="27" t="str">
        <x:v>SRC11</x:v>
      </x:c>
      <x:c r="J2359" s="27" t="str">
        <x:v>Parallel subject and representation links.</x:v>
      </x:c>
    </x:row>
    <x:row r="2360">
      <x:c r="A2360" s="27" t="str">
        <x:v>E02356</x:v>
      </x:c>
      <x:c r="B2360" s="27" t="str">
        <x:v>S22-SCI-02</x:v>
      </x:c>
      <x:c r="C2360" s="27" t="str">
        <x:v>Moles, formulas, equations, and stoichiometry</x:v>
      </x:c>
      <x:c r="D2360" s="27" t="str">
        <x:v>UNLOCKS</x:v>
      </x:c>
      <x:c r="E2360" s="27" t="str">
        <x:v>S22-SCI-02:NEXT</x:v>
      </x:c>
      <x:c r="F2360" s="27" t="str">
        <x:v>The mole bridges microscopic models to measurable laboratory quantities.</x:v>
      </x:c>
      <x:c r="G2360" s="27" t="str">
        <x:v>S22</x:v>
      </x:c>
      <x:c r="H2360" s="27" t="str">
        <x:v>Science &amp; Engineering</x:v>
      </x:c>
      <x:c r="I2360" s="27" t="str">
        <x:v>SRC11</x:v>
      </x:c>
      <x:c r="J2360" s="27" t="str">
        <x:v>Outgoing use and placement rationale.</x:v>
      </x:c>
    </x:row>
    <x:row r="2361">
      <x:c r="A2361" s="27" t="str">
        <x:v>E02357</x:v>
      </x:c>
      <x:c r="B2361" s="27" t="str">
        <x:v>S22-SCI-02</x:v>
      </x:c>
      <x:c r="C2361" s="27" t="str">
        <x:v>Moles, formulas, equations, and stoichiometry</x:v>
      </x:c>
      <x:c r="D2361" s="27" t="str">
        <x:v>VERIFIED_BY</x:v>
      </x:c>
      <x:c r="E2361" s="27" t="str">
        <x:v>S22-SCI-02:EVIDENCE</x:v>
      </x:c>
      <x:c r="F2361" s="27" t="str">
        <x:v>Completes and explains a stoichiometric chain with units and conservation checks.</x:v>
      </x:c>
      <x:c r="G2361" s="27" t="str">
        <x:v>S22</x:v>
      </x:c>
      <x:c r="H2361" s="27" t="str">
        <x:v>Science &amp; Engineering</x:v>
      </x:c>
      <x:c r="I2361" s="27" t="str">
        <x:v>SRC11</x:v>
      </x:c>
      <x:c r="J2361" s="27" t="str">
        <x:v>Observable evidence of usable learning.</x:v>
      </x:c>
    </x:row>
    <x:row r="2362">
      <x:c r="A2362" s="27" t="str">
        <x:v>E02358</x:v>
      </x:c>
      <x:c r="B2362" s="27" t="str">
        <x:v>S22-SCI-02</x:v>
      </x:c>
      <x:c r="C2362" s="27" t="str">
        <x:v>Previous node in domain progression</x:v>
      </x:c>
      <x:c r="D2362" s="27" t="str">
        <x:v>DOMAIN_SEQUENCE</x:v>
      </x:c>
      <x:c r="E2362" s="27" t="str">
        <x:v>S22-SCI-03</x:v>
      </x:c>
      <x:c r="F2362" s="27" t="str">
        <x:v>Thermochemistry, collision models, and reaction rates</x:v>
      </x:c>
      <x:c r="G2362" s="27" t="str">
        <x:v>S22</x:v>
      </x:c>
      <x:c r="H2362" s="27" t="str">
        <x:v>Science &amp; Engineering</x:v>
      </x:c>
      <x:c r="I2362" s="27" t="str">
        <x:v>SRC11</x:v>
      </x:c>
      <x:c r="J2362" s="27" t="str">
        <x:v>Ordered spiral link; consult explicit prerequisites for logical dependency.</x:v>
      </x:c>
    </x:row>
    <x:row r="2363">
      <x:c r="A2363" s="27" t="str">
        <x:v>E02359</x:v>
      </x:c>
      <x:c r="B2363" s="27" t="str">
        <x:v>S22-SCI-03:PREREQ</x:v>
      </x:c>
      <x:c r="C2363" s="27" t="str">
        <x:v>Particle/energy models, proportional/exponential graphs, and laboratory measurement.</x:v>
      </x:c>
      <x:c r="D2363" s="27" t="str">
        <x:v>PREREQUISITE</x:v>
      </x:c>
      <x:c r="E2363" s="27" t="str">
        <x:v>S22-SCI-03</x:v>
      </x:c>
      <x:c r="F2363" s="27" t="str">
        <x:v>Thermochemistry, collision models, and reaction rates</x:v>
      </x:c>
      <x:c r="G2363" s="27" t="str">
        <x:v>S22</x:v>
      </x:c>
      <x:c r="H2363" s="27" t="str">
        <x:v>Science &amp; Engineering</x:v>
      </x:c>
      <x:c r="I2363" s="27" t="str">
        <x:v>SRC11</x:v>
      </x:c>
      <x:c r="J2363" s="27" t="str">
        <x:v>Incoming prerequisite relationship.</x:v>
      </x:c>
    </x:row>
    <x:row r="2364">
      <x:c r="A2364" s="27" t="str">
        <x:v>E02360</x:v>
      </x:c>
      <x:c r="B2364" s="27" t="str">
        <x:v>S22-SCI-03:GROUND</x:v>
      </x:c>
      <x:c r="C2364" s="27" t="str">
        <x:v>G6/G7 — Evidence-based formal system demonstrated through authentic transfer</x:v>
      </x:c>
      <x:c r="D2364" s="27" t="str">
        <x:v>GROUNDED_BY</x:v>
      </x:c>
      <x:c r="E2364" s="27" t="str">
        <x:v>S22-SCI-03</x:v>
      </x:c>
      <x:c r="F2364" s="27" t="str">
        <x:v>Thermochemistry, collision models, and reaction rates</x:v>
      </x:c>
      <x:c r="G2364" s="27" t="str">
        <x:v>S22</x:v>
      </x:c>
      <x:c r="H2364" s="27" t="str">
        <x:v>Science &amp; Engineering</x:v>
      </x:c>
      <x:c r="I2364" s="27" t="str">
        <x:v>SRC11</x:v>
      </x:c>
      <x:c r="J2364" s="27" t="str">
        <x:v>Grounding form used to preserve meaning.</x:v>
      </x:c>
    </x:row>
    <x:row r="2365">
      <x:c r="A2365" s="27" t="str">
        <x:v>E02361</x:v>
      </x:c>
      <x:c r="B2365" s="27" t="str">
        <x:v>S22-SCI-03</x:v>
      </x:c>
      <x:c r="C2365" s="27" t="str">
        <x:v>Thermochemistry, collision models, and reaction rates</x:v>
      </x:c>
      <x:c r="D2365" s="27" t="str">
        <x:v>CONNECTS_TO</x:v>
      </x:c>
      <x:c r="E2365" s="27" t="str">
        <x:v>S22-SCI-03:CROSS</x:v>
      </x:c>
      <x:c r="F2365" s="27" t="str">
        <x:v>Sensory observation and action; mathematics/data; reading/writing evidence; computing/models; health and environmental/civic decisions.</x:v>
      </x:c>
      <x:c r="G2365" s="27" t="str">
        <x:v>S22</x:v>
      </x:c>
      <x:c r="H2365" s="27" t="str">
        <x:v>Science &amp; Engineering</x:v>
      </x:c>
      <x:c r="I2365" s="27" t="str">
        <x:v>SRC11</x:v>
      </x:c>
      <x:c r="J2365" s="27" t="str">
        <x:v>Parallel subject and representation links.</x:v>
      </x:c>
    </x:row>
    <x:row r="2366">
      <x:c r="A2366" s="27" t="str">
        <x:v>E02362</x:v>
      </x:c>
      <x:c r="B2366" s="27" t="str">
        <x:v>S22-SCI-03</x:v>
      </x:c>
      <x:c r="C2366" s="27" t="str">
        <x:v>Thermochemistry, collision models, and reaction rates</x:v>
      </x:c>
      <x:c r="D2366" s="27" t="str">
        <x:v>UNLOCKS</x:v>
      </x:c>
      <x:c r="E2366" s="27" t="str">
        <x:v>S22-SCI-03:NEXT</x:v>
      </x:c>
      <x:c r="F2366" s="27" t="str">
        <x:v>Mechanistic rate and energy models explain why reactions differ and how conditions control them.</x:v>
      </x:c>
      <x:c r="G2366" s="27" t="str">
        <x:v>S22</x:v>
      </x:c>
      <x:c r="H2366" s="27" t="str">
        <x:v>Science &amp; Engineering</x:v>
      </x:c>
      <x:c r="I2366" s="27" t="str">
        <x:v>SRC11</x:v>
      </x:c>
      <x:c r="J2366" s="27" t="str">
        <x:v>Outgoing use and placement rationale.</x:v>
      </x:c>
    </x:row>
    <x:row r="2367">
      <x:c r="A2367" s="27" t="str">
        <x:v>E02363</x:v>
      </x:c>
      <x:c r="B2367" s="27" t="str">
        <x:v>S22-SCI-03</x:v>
      </x:c>
      <x:c r="C2367" s="27" t="str">
        <x:v>Thermochemistry, collision models, and reaction rates</x:v>
      </x:c>
      <x:c r="D2367" s="27" t="str">
        <x:v>VERIFIED_BY</x:v>
      </x:c>
      <x:c r="E2367" s="27" t="str">
        <x:v>S22-SCI-03:EVIDENCE</x:v>
      </x:c>
      <x:c r="F2367" s="27" t="str">
        <x:v>Uses molecular reasoning and data to explain a rate or energy observation.</x:v>
      </x:c>
      <x:c r="G2367" s="27" t="str">
        <x:v>S22</x:v>
      </x:c>
      <x:c r="H2367" s="27" t="str">
        <x:v>Science &amp; Engineering</x:v>
      </x:c>
      <x:c r="I2367" s="27" t="str">
        <x:v>SRC11</x:v>
      </x:c>
      <x:c r="J2367" s="27" t="str">
        <x:v>Observable evidence of usable learning.</x:v>
      </x:c>
    </x:row>
    <x:row r="2368">
      <x:c r="A2368" s="27" t="str">
        <x:v>E02364</x:v>
      </x:c>
      <x:c r="B2368" s="27" t="str">
        <x:v>S22-SCI-03</x:v>
      </x:c>
      <x:c r="C2368" s="27" t="str">
        <x:v>Previous node in domain progression</x:v>
      </x:c>
      <x:c r="D2368" s="27" t="str">
        <x:v>DOMAIN_SEQUENCE</x:v>
      </x:c>
      <x:c r="E2368" s="27" t="str">
        <x:v>S22-SCI-04</x:v>
      </x:c>
      <x:c r="F2368" s="27" t="str">
        <x:v>Dynamic equilibrium, Le Châtelier reasoning, acids/bases, and solutions</x:v>
      </x:c>
      <x:c r="G2368" s="27" t="str">
        <x:v>S22</x:v>
      </x:c>
      <x:c r="H2368" s="27" t="str">
        <x:v>Science &amp; Engineering</x:v>
      </x:c>
      <x:c r="I2368" s="27" t="str">
        <x:v>SRC11</x:v>
      </x:c>
      <x:c r="J2368" s="27" t="str">
        <x:v>Ordered spiral link; consult explicit prerequisites for logical dependency.</x:v>
      </x:c>
    </x:row>
    <x:row r="2369">
      <x:c r="A2369" s="27" t="str">
        <x:v>E02365</x:v>
      </x:c>
      <x:c r="B2369" s="27" t="str">
        <x:v>S22-SCI-04:PREREQ</x:v>
      </x:c>
      <x:c r="C2369" s="27" t="str">
        <x:v>Reaction models, ratios, algebraic relationships, and particle interactions.</x:v>
      </x:c>
      <x:c r="D2369" s="27" t="str">
        <x:v>PREREQUISITE</x:v>
      </x:c>
      <x:c r="E2369" s="27" t="str">
        <x:v>S22-SCI-04</x:v>
      </x:c>
      <x:c r="F2369" s="27" t="str">
        <x:v>Dynamic equilibrium, Le Châtelier reasoning, acids/bases, and solutions</x:v>
      </x:c>
      <x:c r="G2369" s="27" t="str">
        <x:v>S22</x:v>
      </x:c>
      <x:c r="H2369" s="27" t="str">
        <x:v>Science &amp; Engineering</x:v>
      </x:c>
      <x:c r="I2369" s="27" t="str">
        <x:v>SRC11</x:v>
      </x:c>
      <x:c r="J2369" s="27" t="str">
        <x:v>Incoming prerequisite relationship.</x:v>
      </x:c>
    </x:row>
    <x:row r="2370">
      <x:c r="A2370" s="27" t="str">
        <x:v>E02366</x:v>
      </x:c>
      <x:c r="B2370" s="27" t="str">
        <x:v>S22-SCI-04:GROUND</x:v>
      </x:c>
      <x:c r="C2370" s="27" t="str">
        <x:v>G6/G7 — Evidence-based formal system demonstrated through authentic transfer</x:v>
      </x:c>
      <x:c r="D2370" s="27" t="str">
        <x:v>GROUNDED_BY</x:v>
      </x:c>
      <x:c r="E2370" s="27" t="str">
        <x:v>S22-SCI-04</x:v>
      </x:c>
      <x:c r="F2370" s="27" t="str">
        <x:v>Dynamic equilibrium, Le Châtelier reasoning, acids/bases, and solutions</x:v>
      </x:c>
      <x:c r="G2370" s="27" t="str">
        <x:v>S22</x:v>
      </x:c>
      <x:c r="H2370" s="27" t="str">
        <x:v>Science &amp; Engineering</x:v>
      </x:c>
      <x:c r="I2370" s="27" t="str">
        <x:v>SRC11</x:v>
      </x:c>
      <x:c r="J2370" s="27" t="str">
        <x:v>Grounding form used to preserve meaning.</x:v>
      </x:c>
    </x:row>
    <x:row r="2371">
      <x:c r="A2371" s="27" t="str">
        <x:v>E02367</x:v>
      </x:c>
      <x:c r="B2371" s="27" t="str">
        <x:v>S22-SCI-04</x:v>
      </x:c>
      <x:c r="C2371" s="27" t="str">
        <x:v>Dynamic equilibrium, Le Châtelier reasoning, acids/bases, and solutions</x:v>
      </x:c>
      <x:c r="D2371" s="27" t="str">
        <x:v>CONNECTS_TO</x:v>
      </x:c>
      <x:c r="E2371" s="27" t="str">
        <x:v>S22-SCI-04:CROSS</x:v>
      </x:c>
      <x:c r="F2371" s="27" t="str">
        <x:v>Sensory observation and action; mathematics/data; reading/writing evidence; computing/models; health and environmental/civic decisions.</x:v>
      </x:c>
      <x:c r="G2371" s="27" t="str">
        <x:v>S22</x:v>
      </x:c>
      <x:c r="H2371" s="27" t="str">
        <x:v>Science &amp; Engineering</x:v>
      </x:c>
      <x:c r="I2371" s="27" t="str">
        <x:v>SRC11</x:v>
      </x:c>
      <x:c r="J2371" s="27" t="str">
        <x:v>Parallel subject and representation links.</x:v>
      </x:c>
    </x:row>
    <x:row r="2372">
      <x:c r="A2372" s="27" t="str">
        <x:v>E02368</x:v>
      </x:c>
      <x:c r="B2372" s="27" t="str">
        <x:v>S22-SCI-04</x:v>
      </x:c>
      <x:c r="C2372" s="27" t="str">
        <x:v>Dynamic equilibrium, Le Châtelier reasoning, acids/bases, and solutions</x:v>
      </x:c>
      <x:c r="D2372" s="27" t="str">
        <x:v>UNLOCKS</x:v>
      </x:c>
      <x:c r="E2372" s="27" t="str">
        <x:v>S22-SCI-04:NEXT</x:v>
      </x:c>
      <x:c r="F2372" s="27" t="str">
        <x:v>Dynamic balance and concentration reasoning prepare advanced chemistry/biology/environmental systems.</x:v>
      </x:c>
      <x:c r="G2372" s="27" t="str">
        <x:v>S22</x:v>
      </x:c>
      <x:c r="H2372" s="27" t="str">
        <x:v>Science &amp; Engineering</x:v>
      </x:c>
      <x:c r="I2372" s="27" t="str">
        <x:v>SRC11</x:v>
      </x:c>
      <x:c r="J2372" s="27" t="str">
        <x:v>Outgoing use and placement rationale.</x:v>
      </x:c>
    </x:row>
    <x:row r="2373">
      <x:c r="A2373" s="27" t="str">
        <x:v>E02369</x:v>
      </x:c>
      <x:c r="B2373" s="27" t="str">
        <x:v>S22-SCI-04</x:v>
      </x:c>
      <x:c r="C2373" s="27" t="str">
        <x:v>Dynamic equilibrium, Le Châtelier reasoning, acids/bases, and solutions</x:v>
      </x:c>
      <x:c r="D2373" s="27" t="str">
        <x:v>VERIFIED_BY</x:v>
      </x:c>
      <x:c r="E2373" s="27" t="str">
        <x:v>S22-SCI-04:EVIDENCE</x:v>
      </x:c>
      <x:c r="F2373" s="27" t="str">
        <x:v>Predicts a system response and connects symbolic, particle, and observable representations.</x:v>
      </x:c>
      <x:c r="G2373" s="27" t="str">
        <x:v>S22</x:v>
      </x:c>
      <x:c r="H2373" s="27" t="str">
        <x:v>Science &amp; Engineering</x:v>
      </x:c>
      <x:c r="I2373" s="27" t="str">
        <x:v>SRC11</x:v>
      </x:c>
      <x:c r="J2373" s="27" t="str">
        <x:v>Observable evidence of usable learning.</x:v>
      </x:c>
    </x:row>
    <x:row r="2374">
      <x:c r="A2374" s="27" t="str">
        <x:v>E02370</x:v>
      </x:c>
      <x:c r="B2374" s="27" t="str">
        <x:v>S22-SCI-04</x:v>
      </x:c>
      <x:c r="C2374" s="27" t="str">
        <x:v>Previous node in domain progression</x:v>
      </x:c>
      <x:c r="D2374" s="27" t="str">
        <x:v>DOMAIN_SEQUENCE</x:v>
      </x:c>
      <x:c r="E2374" s="27" t="str">
        <x:v>S22-SCI-05</x:v>
      </x:c>
      <x:c r="F2374" s="27" t="str">
        <x:v>Measurement, uncertainty, controls, and safety</x:v>
      </x:c>
      <x:c r="G2374" s="27" t="str">
        <x:v>S22</x:v>
      </x:c>
      <x:c r="H2374" s="27" t="str">
        <x:v>Science &amp; Engineering</x:v>
      </x:c>
      <x:c r="I2374" s="27" t="str">
        <x:v>SRC11</x:v>
      </x:c>
      <x:c r="J2374" s="27" t="str">
        <x:v>Ordered spiral link; consult explicit prerequisites for logical dependency.</x:v>
      </x:c>
    </x:row>
    <x:row r="2375">
      <x:c r="A2375" s="27" t="str">
        <x:v>E02371</x:v>
      </x:c>
      <x:c r="B2375" s="27" t="str">
        <x:v>S22-SCI-05:PREREQ</x:v>
      </x:c>
      <x:c r="C2375" s="27" t="str">
        <x:v>Middle-school fair tests, statistics, research method, and ethical responsibility.</x:v>
      </x:c>
      <x:c r="D2375" s="27" t="str">
        <x:v>PREREQUISITE</x:v>
      </x:c>
      <x:c r="E2375" s="27" t="str">
        <x:v>S22-SCI-05</x:v>
      </x:c>
      <x:c r="F2375" s="27" t="str">
        <x:v>Measurement, uncertainty, controls, and safety</x:v>
      </x:c>
      <x:c r="G2375" s="27" t="str">
        <x:v>S22</x:v>
      </x:c>
      <x:c r="H2375" s="27" t="str">
        <x:v>Science &amp; Engineering</x:v>
      </x:c>
      <x:c r="I2375" s="27" t="str">
        <x:v>SRC11</x:v>
      </x:c>
      <x:c r="J2375" s="27" t="str">
        <x:v>Incoming prerequisite relationship.</x:v>
      </x:c>
    </x:row>
    <x:row r="2376">
      <x:c r="A2376" s="27" t="str">
        <x:v>E02372</x:v>
      </x:c>
      <x:c r="B2376" s="27" t="str">
        <x:v>S22-SCI-05:GROUND</x:v>
      </x:c>
      <x:c r="C2376" s="27" t="str">
        <x:v>G6/G7 — Evidence-based formal system demonstrated through authentic transfer</x:v>
      </x:c>
      <x:c r="D2376" s="27" t="str">
        <x:v>GROUNDED_BY</x:v>
      </x:c>
      <x:c r="E2376" s="27" t="str">
        <x:v>S22-SCI-05</x:v>
      </x:c>
      <x:c r="F2376" s="27" t="str">
        <x:v>Measurement, uncertainty, controls, and safety</x:v>
      </x:c>
      <x:c r="G2376" s="27" t="str">
        <x:v>S22</x:v>
      </x:c>
      <x:c r="H2376" s="27" t="str">
        <x:v>Science &amp; Engineering</x:v>
      </x:c>
      <x:c r="I2376" s="27" t="str">
        <x:v>SRC11</x:v>
      </x:c>
      <x:c r="J2376" s="27" t="str">
        <x:v>Grounding form used to preserve meaning.</x:v>
      </x:c>
    </x:row>
    <x:row r="2377">
      <x:c r="A2377" s="27" t="str">
        <x:v>E02373</x:v>
      </x:c>
      <x:c r="B2377" s="27" t="str">
        <x:v>S22-SCI-05</x:v>
      </x:c>
      <x:c r="C2377" s="27" t="str">
        <x:v>Measurement, uncertainty, controls, and safety</x:v>
      </x:c>
      <x:c r="D2377" s="27" t="str">
        <x:v>CONNECTS_TO</x:v>
      </x:c>
      <x:c r="E2377" s="27" t="str">
        <x:v>S22-SCI-05:CROSS</x:v>
      </x:c>
      <x:c r="F2377" s="27" t="str">
        <x:v>Sensory observation and action; mathematics/data; reading/writing evidence; computing/models; health and environmental/civic decisions.</x:v>
      </x:c>
      <x:c r="G2377" s="27" t="str">
        <x:v>S22</x:v>
      </x:c>
      <x:c r="H2377" s="27" t="str">
        <x:v>Science &amp; Engineering</x:v>
      </x:c>
      <x:c r="I2377" s="27" t="str">
        <x:v>SRC11</x:v>
      </x:c>
      <x:c r="J2377" s="27" t="str">
        <x:v>Parallel subject and representation links.</x:v>
      </x:c>
    </x:row>
    <x:row r="2378">
      <x:c r="A2378" s="27" t="str">
        <x:v>E02374</x:v>
      </x:c>
      <x:c r="B2378" s="27" t="str">
        <x:v>S22-SCI-05</x:v>
      </x:c>
      <x:c r="C2378" s="27" t="str">
        <x:v>Measurement, uncertainty, controls, and safety</x:v>
      </x:c>
      <x:c r="D2378" s="27" t="str">
        <x:v>UNLOCKS</x:v>
      </x:c>
      <x:c r="E2378" s="27" t="str">
        <x:v>S22-SCI-05:NEXT</x:v>
      </x:c>
      <x:c r="F2378" s="27" t="str">
        <x:v>Reliable measurement and transparent method ground scientific claims.</x:v>
      </x:c>
      <x:c r="G2378" s="27" t="str">
        <x:v>S22</x:v>
      </x:c>
      <x:c r="H2378" s="27" t="str">
        <x:v>Science &amp; Engineering</x:v>
      </x:c>
      <x:c r="I2378" s="27" t="str">
        <x:v>SRC11</x:v>
      </x:c>
      <x:c r="J2378" s="27" t="str">
        <x:v>Outgoing use and placement rationale.</x:v>
      </x:c>
    </x:row>
    <x:row r="2379">
      <x:c r="A2379" s="27" t="str">
        <x:v>E02375</x:v>
      </x:c>
      <x:c r="B2379" s="27" t="str">
        <x:v>S22-SCI-05</x:v>
      </x:c>
      <x:c r="C2379" s="27" t="str">
        <x:v>Measurement, uncertainty, controls, and safety</x:v>
      </x:c>
      <x:c r="D2379" s="27" t="str">
        <x:v>VERIFIED_BY</x:v>
      </x:c>
      <x:c r="E2379" s="27" t="str">
        <x:v>S22-SCI-05:EVIDENCE</x:v>
      </x:c>
      <x:c r="F2379" s="27" t="str">
        <x:v>Produces a complete lab record with controls, uncertainty, evidence-based conclusion, and safety compliance.</x:v>
      </x:c>
      <x:c r="G2379" s="27" t="str">
        <x:v>S22</x:v>
      </x:c>
      <x:c r="H2379" s="27" t="str">
        <x:v>Science &amp; Engineering</x:v>
      </x:c>
      <x:c r="I2379" s="27" t="str">
        <x:v>SRC11</x:v>
      </x:c>
      <x:c r="J2379" s="27" t="str">
        <x:v>Observable evidence of usable learning.</x:v>
      </x:c>
    </x:row>
    <x:row r="2380">
      <x:c r="A2380" s="27" t="str">
        <x:v>E02376</x:v>
      </x:c>
      <x:c r="B2380" s="27" t="str">
        <x:v>S21-SST-02</x:v>
      </x:c>
      <x:c r="C2380" s="27" t="str">
        <x:v>Previous node in domain progression</x:v>
      </x:c>
      <x:c r="D2380" s="27" t="str">
        <x:v>DOMAIN_SEQUENCE</x:v>
      </x:c>
      <x:c r="E2380" s="27" t="str">
        <x:v>S22-SST-01</x:v>
      </x:c>
      <x:c r="F2380" s="27" t="str">
        <x:v>Modern states, industrialization, imperialism, wars, decolonization, and globalization</x:v>
      </x:c>
      <x:c r="G2380" s="27" t="str">
        <x:v>S22</x:v>
      </x:c>
      <x:c r="H2380" s="27" t="str">
        <x:v>Social Studies</x:v>
      </x:c>
      <x:c r="I2380" s="27" t="str">
        <x:v>SRC12; SRC24</x:v>
      </x:c>
      <x:c r="J2380" s="27" t="str">
        <x:v>Ordered spiral link; consult explicit prerequisites for logical dependency.</x:v>
      </x:c>
    </x:row>
    <x:row r="2381">
      <x:c r="A2381" s="27" t="str">
        <x:v>E02377</x:v>
      </x:c>
      <x:c r="B2381" s="27" t="str">
        <x:v>S22-SST-01:PREREQ</x:v>
      </x:c>
      <x:c r="C2381" s="27" t="str">
        <x:v>Grade 9 world systems, causal/context tools, and rhetorical analysis.</x:v>
      </x:c>
      <x:c r="D2381" s="27" t="str">
        <x:v>PREREQUISITE</x:v>
      </x:c>
      <x:c r="E2381" s="27" t="str">
        <x:v>S22-SST-01</x:v>
      </x:c>
      <x:c r="F2381" s="27" t="str">
        <x:v>Modern states, industrialization, imperialism, wars, decolonization, and globalization</x:v>
      </x:c>
      <x:c r="G2381" s="27" t="str">
        <x:v>S22</x:v>
      </x:c>
      <x:c r="H2381" s="27" t="str">
        <x:v>Social Studies</x:v>
      </x:c>
      <x:c r="I2381" s="27" t="str">
        <x:v>SRC12; SRC24</x:v>
      </x:c>
      <x:c r="J2381" s="27" t="str">
        <x:v>Incoming prerequisite relationship.</x:v>
      </x:c>
    </x:row>
    <x:row r="2382">
      <x:c r="A2382" s="27" t="str">
        <x:v>E02378</x:v>
      </x:c>
      <x:c r="B2382" s="27" t="str">
        <x:v>S22-SST-01:GROUND</x:v>
      </x:c>
      <x:c r="C2382" s="27" t="str">
        <x:v>G6/G7 — Evidence-based formal system demonstrated through authentic transfer</x:v>
      </x:c>
      <x:c r="D2382" s="27" t="str">
        <x:v>GROUNDED_BY</x:v>
      </x:c>
      <x:c r="E2382" s="27" t="str">
        <x:v>S22-SST-01</x:v>
      </x:c>
      <x:c r="F2382" s="27" t="str">
        <x:v>Modern states, industrialization, imperialism, wars, decolonization, and globalization</x:v>
      </x:c>
      <x:c r="G2382" s="27" t="str">
        <x:v>S22</x:v>
      </x:c>
      <x:c r="H2382" s="27" t="str">
        <x:v>Social Studies</x:v>
      </x:c>
      <x:c r="I2382" s="27" t="str">
        <x:v>SRC12; SRC24</x:v>
      </x:c>
      <x:c r="J2382" s="27" t="str">
        <x:v>Grounding form used to preserve meaning.</x:v>
      </x:c>
    </x:row>
    <x:row r="2383">
      <x:c r="A2383" s="27" t="str">
        <x:v>E02379</x:v>
      </x:c>
      <x:c r="B2383" s="27" t="str">
        <x:v>S22-SST-01</x:v>
      </x:c>
      <x:c r="C2383" s="27" t="str">
        <x:v>Modern states, industrialization, imperialism, wars, decolonization, and globalization</x:v>
      </x:c>
      <x:c r="D2383" s="27" t="str">
        <x:v>CONNECTS_TO</x:v>
      </x:c>
      <x:c r="E2383" s="27" t="str">
        <x:v>S22-SST-01:CROSS</x:v>
      </x:c>
      <x:c r="F2383" s="27" t="str">
        <x:v>Language/literacy and source evidence; maps/data/economics; ethics/SEL; media literacy; arts/culture; civic action.</x:v>
      </x:c>
      <x:c r="G2383" s="27" t="str">
        <x:v>S22</x:v>
      </x:c>
      <x:c r="H2383" s="27" t="str">
        <x:v>Social Studies</x:v>
      </x:c>
      <x:c r="I2383" s="27" t="str">
        <x:v>SRC12; SRC24</x:v>
      </x:c>
      <x:c r="J2383" s="27" t="str">
        <x:v>Parallel subject and representation links.</x:v>
      </x:c>
    </x:row>
    <x:row r="2384">
      <x:c r="A2384" s="27" t="str">
        <x:v>E02380</x:v>
      </x:c>
      <x:c r="B2384" s="27" t="str">
        <x:v>S22-SST-01</x:v>
      </x:c>
      <x:c r="C2384" s="27" t="str">
        <x:v>Modern states, industrialization, imperialism, wars, decolonization, and globalization</x:v>
      </x:c>
      <x:c r="D2384" s="27" t="str">
        <x:v>UNLOCKS</x:v>
      </x:c>
      <x:c r="E2384" s="27" t="str">
        <x:v>S22-SST-01:NEXT</x:v>
      </x:c>
      <x:c r="F2384" s="27" t="str">
        <x:v>Modern world history supplies context for current institutions, conflicts, and global interdependence.</x:v>
      </x:c>
      <x:c r="G2384" s="27" t="str">
        <x:v>S22</x:v>
      </x:c>
      <x:c r="H2384" s="27" t="str">
        <x:v>Social Studies</x:v>
      </x:c>
      <x:c r="I2384" s="27" t="str">
        <x:v>SRC12; SRC24</x:v>
      </x:c>
      <x:c r="J2384" s="27" t="str">
        <x:v>Outgoing use and placement rationale.</x:v>
      </x:c>
    </x:row>
    <x:row r="2385">
      <x:c r="A2385" s="27" t="str">
        <x:v>E02381</x:v>
      </x:c>
      <x:c r="B2385" s="27" t="str">
        <x:v>S22-SST-01</x:v>
      </x:c>
      <x:c r="C2385" s="27" t="str">
        <x:v>Modern states, industrialization, imperialism, wars, decolonization, and globalization</x:v>
      </x:c>
      <x:c r="D2385" s="27" t="str">
        <x:v>VERIFIED_BY</x:v>
      </x:c>
      <x:c r="E2385" s="27" t="str">
        <x:v>S22-SST-01:EVIDENCE</x:v>
      </x:c>
      <x:c r="F2385" s="27" t="str">
        <x:v>Develops a comparative causal argument using primary/secondary evidence and affected perspectives.</x:v>
      </x:c>
      <x:c r="G2385" s="27" t="str">
        <x:v>S22</x:v>
      </x:c>
      <x:c r="H2385" s="27" t="str">
        <x:v>Social Studies</x:v>
      </x:c>
      <x:c r="I2385" s="27" t="str">
        <x:v>SRC12; SRC24</x:v>
      </x:c>
      <x:c r="J2385" s="27" t="str">
        <x:v>Observable evidence of usable learning.</x:v>
      </x:c>
    </x:row>
    <x:row r="2386">
      <x:c r="A2386" s="27" t="str">
        <x:v>E02382</x:v>
      </x:c>
      <x:c r="B2386" s="27" t="str">
        <x:v>S22-SST-01</x:v>
      </x:c>
      <x:c r="C2386" s="27" t="str">
        <x:v>Previous node in domain progression</x:v>
      </x:c>
      <x:c r="D2386" s="27" t="str">
        <x:v>DOMAIN_SEQUENCE</x:v>
      </x:c>
      <x:c r="E2386" s="27" t="str">
        <x:v>S22-SST-02</x:v>
      </x:c>
      <x:c r="F2386" s="27" t="str">
        <x:v>Corroboration, sourcing, contextualization, and silence</x:v>
      </x:c>
      <x:c r="G2386" s="27" t="str">
        <x:v>S22</x:v>
      </x:c>
      <x:c r="H2386" s="27" t="str">
        <x:v>Social Studies</x:v>
      </x:c>
      <x:c r="I2386" s="27" t="str">
        <x:v>SRC12; SRC20</x:v>
      </x:c>
      <x:c r="J2386" s="27" t="str">
        <x:v>Ordered spiral link; consult explicit prerequisites for logical dependency.</x:v>
      </x:c>
    </x:row>
    <x:row r="2387">
      <x:c r="A2387" s="27" t="str">
        <x:v>E02383</x:v>
      </x:c>
      <x:c r="B2387" s="27" t="str">
        <x:v>S22-SST-02:PREREQ</x:v>
      </x:c>
      <x:c r="C2387" s="27" t="str">
        <x:v>Grade 9 source conversation, media omission analysis, and ethical reasoning.</x:v>
      </x:c>
      <x:c r="D2387" s="27" t="str">
        <x:v>PREREQUISITE</x:v>
      </x:c>
      <x:c r="E2387" s="27" t="str">
        <x:v>S22-SST-02</x:v>
      </x:c>
      <x:c r="F2387" s="27" t="str">
        <x:v>Corroboration, sourcing, contextualization, and silence</x:v>
      </x:c>
      <x:c r="G2387" s="27" t="str">
        <x:v>S22</x:v>
      </x:c>
      <x:c r="H2387" s="27" t="str">
        <x:v>Social Studies</x:v>
      </x:c>
      <x:c r="I2387" s="27" t="str">
        <x:v>SRC12; SRC20</x:v>
      </x:c>
      <x:c r="J2387" s="27" t="str">
        <x:v>Incoming prerequisite relationship.</x:v>
      </x:c>
    </x:row>
    <x:row r="2388">
      <x:c r="A2388" s="27" t="str">
        <x:v>E02384</x:v>
      </x:c>
      <x:c r="B2388" s="27" t="str">
        <x:v>S22-SST-02:GROUND</x:v>
      </x:c>
      <x:c r="C2388" s="27" t="str">
        <x:v>G6/G7 — Evidence-based formal system demonstrated through authentic transfer</x:v>
      </x:c>
      <x:c r="D2388" s="27" t="str">
        <x:v>GROUNDED_BY</x:v>
      </x:c>
      <x:c r="E2388" s="27" t="str">
        <x:v>S22-SST-02</x:v>
      </x:c>
      <x:c r="F2388" s="27" t="str">
        <x:v>Corroboration, sourcing, contextualization, and silence</x:v>
      </x:c>
      <x:c r="G2388" s="27" t="str">
        <x:v>S22</x:v>
      </x:c>
      <x:c r="H2388" s="27" t="str">
        <x:v>Social Studies</x:v>
      </x:c>
      <x:c r="I2388" s="27" t="str">
        <x:v>SRC12; SRC20</x:v>
      </x:c>
      <x:c r="J2388" s="27" t="str">
        <x:v>Grounding form used to preserve meaning.</x:v>
      </x:c>
    </x:row>
    <x:row r="2389">
      <x:c r="A2389" s="27" t="str">
        <x:v>E02385</x:v>
      </x:c>
      <x:c r="B2389" s="27" t="str">
        <x:v>S22-SST-02</x:v>
      </x:c>
      <x:c r="C2389" s="27" t="str">
        <x:v>Corroboration, sourcing, contextualization, and silence</x:v>
      </x:c>
      <x:c r="D2389" s="27" t="str">
        <x:v>CONNECTS_TO</x:v>
      </x:c>
      <x:c r="E2389" s="27" t="str">
        <x:v>S22-SST-02:CROSS</x:v>
      </x:c>
      <x:c r="F2389" s="27" t="str">
        <x:v>Language/literacy and source evidence; maps/data/economics; ethics/SEL; media literacy; arts/culture; civic action.</x:v>
      </x:c>
      <x:c r="G2389" s="27" t="str">
        <x:v>S22</x:v>
      </x:c>
      <x:c r="H2389" s="27" t="str">
        <x:v>Social Studies</x:v>
      </x:c>
      <x:c r="I2389" s="27" t="str">
        <x:v>SRC12; SRC20</x:v>
      </x:c>
      <x:c r="J2389" s="27" t="str">
        <x:v>Parallel subject and representation links.</x:v>
      </x:c>
    </x:row>
    <x:row r="2390">
      <x:c r="A2390" s="27" t="str">
        <x:v>E02386</x:v>
      </x:c>
      <x:c r="B2390" s="27" t="str">
        <x:v>S22-SST-02</x:v>
      </x:c>
      <x:c r="C2390" s="27" t="str">
        <x:v>Corroboration, sourcing, contextualization, and silence</x:v>
      </x:c>
      <x:c r="D2390" s="27" t="str">
        <x:v>UNLOCKS</x:v>
      </x:c>
      <x:c r="E2390" s="27" t="str">
        <x:v>S22-SST-02:NEXT</x:v>
      </x:c>
      <x:c r="F2390" s="27" t="str">
        <x:v>Source method determines the warranted historical claim and exposes limits of the record.</x:v>
      </x:c>
      <x:c r="G2390" s="27" t="str">
        <x:v>S22</x:v>
      </x:c>
      <x:c r="H2390" s="27" t="str">
        <x:v>Social Studies</x:v>
      </x:c>
      <x:c r="I2390" s="27" t="str">
        <x:v>SRC12; SRC20</x:v>
      </x:c>
      <x:c r="J2390" s="27" t="str">
        <x:v>Outgoing use and placement rationale.</x:v>
      </x:c>
    </x:row>
    <x:row r="2391">
      <x:c r="A2391" s="27" t="str">
        <x:v>E02387</x:v>
      </x:c>
      <x:c r="B2391" s="27" t="str">
        <x:v>S22-SST-02</x:v>
      </x:c>
      <x:c r="C2391" s="27" t="str">
        <x:v>Corroboration, sourcing, contextualization, and silence</x:v>
      </x:c>
      <x:c r="D2391" s="27" t="str">
        <x:v>VERIFIED_BY</x:v>
      </x:c>
      <x:c r="E2391" s="27" t="str">
        <x:v>S22-SST-02:EVIDENCE</x:v>
      </x:c>
      <x:c r="F2391" s="27" t="str">
        <x:v>Creates a source analysis that affects—not merely accompanies—the final conclusion.</x:v>
      </x:c>
      <x:c r="G2391" s="27" t="str">
        <x:v>S22</x:v>
      </x:c>
      <x:c r="H2391" s="27" t="str">
        <x:v>Social Studies</x:v>
      </x:c>
      <x:c r="I2391" s="27" t="str">
        <x:v>SRC12; SRC20</x:v>
      </x:c>
      <x:c r="J2391" s="27" t="str">
        <x:v>Observable evidence of usable learning.</x:v>
      </x:c>
    </x:row>
    <x:row r="2392">
      <x:c r="A2392" s="27" t="str">
        <x:v>E02388</x:v>
      </x:c>
      <x:c r="B2392" s="27" t="str">
        <x:v>S21-ARTS-01</x:v>
      </x:c>
      <x:c r="C2392" s="27" t="str">
        <x:v>Previous node in domain progression</x:v>
      </x:c>
      <x:c r="D2392" s="27" t="str">
        <x:v>DOMAIN_SEQUENCE</x:v>
      </x:c>
      <x:c r="E2392" s="27" t="str">
        <x:v>S22-ARTS-01</x:v>
      </x:c>
      <x:c r="F2392" s="27" t="str">
        <x:v>Technique, theory, portfolio, and critique</x:v>
      </x:c>
      <x:c r="G2392" s="27" t="str">
        <x:v>S22</x:v>
      </x:c>
      <x:c r="H2392" s="27" t="str">
        <x:v>Music &amp; Arts</x:v>
      </x:c>
      <x:c r="I2392" s="27" t="str">
        <x:v>SRC13</x:v>
      </x:c>
      <x:c r="J2392" s="27" t="str">
        <x:v>Ordered spiral link; consult explicit prerequisites for logical dependency.</x:v>
      </x:c>
    </x:row>
    <x:row r="2393">
      <x:c r="A2393" s="27" t="str">
        <x:v>E02389</x:v>
      </x:c>
      <x:c r="B2393" s="27" t="str">
        <x:v>S22-ARTS-01:PREREQ</x:v>
      </x:c>
      <x:c r="C2393" s="27" t="str">
        <x:v>Grade 9 proficient arts process and schema/refinement cycles.</x:v>
      </x:c>
      <x:c r="D2393" s="27" t="str">
        <x:v>PREREQUISITE</x:v>
      </x:c>
      <x:c r="E2393" s="27" t="str">
        <x:v>S22-ARTS-01</x:v>
      </x:c>
      <x:c r="F2393" s="27" t="str">
        <x:v>Technique, theory, portfolio, and critique</x:v>
      </x:c>
      <x:c r="G2393" s="27" t="str">
        <x:v>S22</x:v>
      </x:c>
      <x:c r="H2393" s="27" t="str">
        <x:v>Music &amp; Arts</x:v>
      </x:c>
      <x:c r="I2393" s="27" t="str">
        <x:v>SRC13</x:v>
      </x:c>
      <x:c r="J2393" s="27" t="str">
        <x:v>Incoming prerequisite relationship.</x:v>
      </x:c>
    </x:row>
    <x:row r="2394">
      <x:c r="A2394" s="27" t="str">
        <x:v>E02390</x:v>
      </x:c>
      <x:c r="B2394" s="27" t="str">
        <x:v>S22-ARTS-01:GROUND</x:v>
      </x:c>
      <x:c r="C2394" s="27" t="str">
        <x:v>G6/G7 — Evidence-based formal system demonstrated through authentic transfer</x:v>
      </x:c>
      <x:c r="D2394" s="27" t="str">
        <x:v>GROUNDED_BY</x:v>
      </x:c>
      <x:c r="E2394" s="27" t="str">
        <x:v>S22-ARTS-01</x:v>
      </x:c>
      <x:c r="F2394" s="27" t="str">
        <x:v>Technique, theory, portfolio, and critique</x:v>
      </x:c>
      <x:c r="G2394" s="27" t="str">
        <x:v>S22</x:v>
      </x:c>
      <x:c r="H2394" s="27" t="str">
        <x:v>Music &amp; Arts</x:v>
      </x:c>
      <x:c r="I2394" s="27" t="str">
        <x:v>SRC13</x:v>
      </x:c>
      <x:c r="J2394" s="27" t="str">
        <x:v>Grounding form used to preserve meaning.</x:v>
      </x:c>
    </x:row>
    <x:row r="2395">
      <x:c r="A2395" s="27" t="str">
        <x:v>E02391</x:v>
      </x:c>
      <x:c r="B2395" s="27" t="str">
        <x:v>S22-ARTS-01</x:v>
      </x:c>
      <x:c r="C2395" s="27" t="str">
        <x:v>Technique, theory, portfolio, and critique</x:v>
      </x:c>
      <x:c r="D2395" s="27" t="str">
        <x:v>CONNECTS_TO</x:v>
      </x:c>
      <x:c r="E2395" s="27" t="str">
        <x:v>S22-ARTS-01:CROSS</x:v>
      </x:c>
      <x:c r="F2395" s="27" t="str">
        <x:v>Sensory discrimination; motor timing; language/prosody; mathematics/pattern; history/culture; emotion, design, and technology.</x:v>
      </x:c>
      <x:c r="G2395" s="27" t="str">
        <x:v>S22</x:v>
      </x:c>
      <x:c r="H2395" s="27" t="str">
        <x:v>Music &amp; Arts</x:v>
      </x:c>
      <x:c r="I2395" s="27" t="str">
        <x:v>SRC13</x:v>
      </x:c>
      <x:c r="J2395" s="27" t="str">
        <x:v>Parallel subject and representation links.</x:v>
      </x:c>
    </x:row>
    <x:row r="2396">
      <x:c r="A2396" s="27" t="str">
        <x:v>E02392</x:v>
      </x:c>
      <x:c r="B2396" s="27" t="str">
        <x:v>S22-ARTS-01</x:v>
      </x:c>
      <x:c r="C2396" s="27" t="str">
        <x:v>Technique, theory, portfolio, and critique</x:v>
      </x:c>
      <x:c r="D2396" s="27" t="str">
        <x:v>UNLOCKS</x:v>
      </x:c>
      <x:c r="E2396" s="27" t="str">
        <x:v>S22-ARTS-01:NEXT</x:v>
      </x:c>
      <x:c r="F2396" s="27" t="str">
        <x:v>Specialization combines fluency, deliberate practice, authorship, and informed critique.</x:v>
      </x:c>
      <x:c r="G2396" s="27" t="str">
        <x:v>S22</x:v>
      </x:c>
      <x:c r="H2396" s="27" t="str">
        <x:v>Music &amp; Arts</x:v>
      </x:c>
      <x:c r="I2396" s="27" t="str">
        <x:v>SRC13</x:v>
      </x:c>
      <x:c r="J2396" s="27" t="str">
        <x:v>Outgoing use and placement rationale.</x:v>
      </x:c>
    </x:row>
    <x:row r="2397">
      <x:c r="A2397" s="27" t="str">
        <x:v>E02393</x:v>
      </x:c>
      <x:c r="B2397" s="27" t="str">
        <x:v>S22-ARTS-01</x:v>
      </x:c>
      <x:c r="C2397" s="27" t="str">
        <x:v>Technique, theory, portfolio, and critique</x:v>
      </x:c>
      <x:c r="D2397" s="27" t="str">
        <x:v>VERIFIED_BY</x:v>
      </x:c>
      <x:c r="E2397" s="27" t="str">
        <x:v>S22-ARTS-01:EVIDENCE</x:v>
      </x:c>
      <x:c r="F2397" s="27" t="str">
        <x:v>Presents a coherent portfolio/performance and defends revisions using field-specific criteria.</x:v>
      </x:c>
      <x:c r="G2397" s="27" t="str">
        <x:v>S22</x:v>
      </x:c>
      <x:c r="H2397" s="27" t="str">
        <x:v>Music &amp; Arts</x:v>
      </x:c>
      <x:c r="I2397" s="27" t="str">
        <x:v>SRC13</x:v>
      </x:c>
      <x:c r="J2397" s="27" t="str">
        <x:v>Observable evidence of usable learning.</x:v>
      </x:c>
    </x:row>
    <x:row r="2398">
      <x:c r="A2398" s="27" t="str">
        <x:v>E02394</x:v>
      </x:c>
      <x:c r="B2398" s="27" t="str">
        <x:v>S21-HLTH-01</x:v>
      </x:c>
      <x:c r="C2398" s="27" t="str">
        <x:v>Previous node in domain progression</x:v>
      </x:c>
      <x:c r="D2398" s="27" t="str">
        <x:v>DOMAIN_SEQUENCE</x:v>
      </x:c>
      <x:c r="E2398" s="27" t="str">
        <x:v>S22-HLTH-01</x:v>
      </x:c>
      <x:c r="F2398" s="27" t="str">
        <x:v>Sexual health, substance decisions, safety, and public health</x:v>
      </x:c>
      <x:c r="G2398" s="27" t="str">
        <x:v>S22</x:v>
      </x:c>
      <x:c r="H2398" s="27" t="str">
        <x:v>Physical &amp; Health</x:v>
      </x:c>
      <x:c r="I2398" s="27" t="str">
        <x:v>SRC15</x:v>
      </x:c>
      <x:c r="J2398" s="27" t="str">
        <x:v>Ordered spiral link; consult explicit prerequisites for logical dependency.</x:v>
      </x:c>
    </x:row>
    <x:row r="2399">
      <x:c r="A2399" s="27" t="str">
        <x:v>E02395</x:v>
      </x:c>
      <x:c r="B2399" s="27" t="str">
        <x:v>S22-HLTH-01:PREREQ</x:v>
      </x:c>
      <x:c r="C2399" s="27" t="str">
        <x:v>Grade 9 wellness systems, research reliability, consent/communication, and ethical reasoning.</x:v>
      </x:c>
      <x:c r="D2399" s="27" t="str">
        <x:v>PREREQUISITE</x:v>
      </x:c>
      <x:c r="E2399" s="27" t="str">
        <x:v>S22-HLTH-01</x:v>
      </x:c>
      <x:c r="F2399" s="27" t="str">
        <x:v>Sexual health, substance decisions, safety, and public health</x:v>
      </x:c>
      <x:c r="G2399" s="27" t="str">
        <x:v>S22</x:v>
      </x:c>
      <x:c r="H2399" s="27" t="str">
        <x:v>Physical &amp; Health</x:v>
      </x:c>
      <x:c r="I2399" s="27" t="str">
        <x:v>SRC15</x:v>
      </x:c>
      <x:c r="J2399" s="27" t="str">
        <x:v>Incoming prerequisite relationship.</x:v>
      </x:c>
    </x:row>
    <x:row r="2400">
      <x:c r="A2400" s="27" t="str">
        <x:v>E02396</x:v>
      </x:c>
      <x:c r="B2400" s="27" t="str">
        <x:v>S22-HLTH-01:GROUND</x:v>
      </x:c>
      <x:c r="C2400" s="27" t="str">
        <x:v>G6/G7 — Evidence-based formal system demonstrated through authentic transfer</x:v>
      </x:c>
      <x:c r="D2400" s="27" t="str">
        <x:v>GROUNDED_BY</x:v>
      </x:c>
      <x:c r="E2400" s="27" t="str">
        <x:v>S22-HLTH-01</x:v>
      </x:c>
      <x:c r="F2400" s="27" t="str">
        <x:v>Sexual health, substance decisions, safety, and public health</x:v>
      </x:c>
      <x:c r="G2400" s="27" t="str">
        <x:v>S22</x:v>
      </x:c>
      <x:c r="H2400" s="27" t="str">
        <x:v>Physical &amp; Health</x:v>
      </x:c>
      <x:c r="I2400" s="27" t="str">
        <x:v>SRC15</x:v>
      </x:c>
      <x:c r="J2400" s="27" t="str">
        <x:v>Grounding form used to preserve meaning.</x:v>
      </x:c>
    </x:row>
    <x:row r="2401">
      <x:c r="A2401" s="27" t="str">
        <x:v>E02397</x:v>
      </x:c>
      <x:c r="B2401" s="27" t="str">
        <x:v>S22-HLTH-01</x:v>
      </x:c>
      <x:c r="C2401" s="27" t="str">
        <x:v>Sexual health, substance decisions, safety, and public health</x:v>
      </x:c>
      <x:c r="D2401" s="27" t="str">
        <x:v>CONNECTS_TO</x:v>
      </x:c>
      <x:c r="E2401" s="27" t="str">
        <x:v>S22-HLTH-01:CROSS</x:v>
      </x:c>
      <x:c r="F2401" s="27" t="str">
        <x:v>Motor/sensory development; life science; measurement/data; SEL/self-management; communication, safety, and decision-making.</x:v>
      </x:c>
      <x:c r="G2401" s="27" t="str">
        <x:v>S22</x:v>
      </x:c>
      <x:c r="H2401" s="27" t="str">
        <x:v>Physical &amp; Health</x:v>
      </x:c>
      <x:c r="I2401" s="27" t="str">
        <x:v>SRC15</x:v>
      </x:c>
      <x:c r="J2401" s="27" t="str">
        <x:v>Parallel subject and representation links.</x:v>
      </x:c>
    </x:row>
    <x:row r="2402">
      <x:c r="A2402" s="27" t="str">
        <x:v>E02398</x:v>
      </x:c>
      <x:c r="B2402" s="27" t="str">
        <x:v>S22-HLTH-01</x:v>
      </x:c>
      <x:c r="C2402" s="27" t="str">
        <x:v>Sexual health, substance decisions, safety, and public health</x:v>
      </x:c>
      <x:c r="D2402" s="27" t="str">
        <x:v>UNLOCKS</x:v>
      </x:c>
      <x:c r="E2402" s="27" t="str">
        <x:v>S22-HLTH-01:NEXT</x:v>
      </x:c>
      <x:c r="F2402" s="27" t="str">
        <x:v>Scenario-based health literacy connects accurate knowledge to action and services.</x:v>
      </x:c>
      <x:c r="G2402" s="27" t="str">
        <x:v>S22</x:v>
      </x:c>
      <x:c r="H2402" s="27" t="str">
        <x:v>Physical &amp; Health</x:v>
      </x:c>
      <x:c r="I2402" s="27" t="str">
        <x:v>SRC15</x:v>
      </x:c>
      <x:c r="J2402" s="27" t="str">
        <x:v>Outgoing use and placement rationale.</x:v>
      </x:c>
    </x:row>
    <x:row r="2403">
      <x:c r="A2403" s="27" t="str">
        <x:v>E02399</x:v>
      </x:c>
      <x:c r="B2403" s="27" t="str">
        <x:v>S22-HLTH-01</x:v>
      </x:c>
      <x:c r="C2403" s="27" t="str">
        <x:v>Sexual health, substance decisions, safety, and public health</x:v>
      </x:c>
      <x:c r="D2403" s="27" t="str">
        <x:v>VERIFIED_BY</x:v>
      </x:c>
      <x:c r="E2403" s="27" t="str">
        <x:v>S22-HLTH-01:EVIDENCE</x:v>
      </x:c>
      <x:c r="F2403" s="27" t="str">
        <x:v>Evaluates a scenario, verifies a source, selects a protective action, and identifies appropriate services.</x:v>
      </x:c>
      <x:c r="G2403" s="27" t="str">
        <x:v>S22</x:v>
      </x:c>
      <x:c r="H2403" s="27" t="str">
        <x:v>Physical &amp; Health</x:v>
      </x:c>
      <x:c r="I2403" s="27" t="str">
        <x:v>SRC15</x:v>
      </x:c>
      <x:c r="J2403" s="27" t="str">
        <x:v>Observable evidence of usable learning.</x:v>
      </x:c>
    </x:row>
    <x:row r="2404">
      <x:c r="A2404" s="27" t="str">
        <x:v>E02400</x:v>
      </x:c>
      <x:c r="B2404" s="27" t="str">
        <x:v>S21-COMP-01</x:v>
      </x:c>
      <x:c r="C2404" s="27" t="str">
        <x:v>Previous node in domain progression</x:v>
      </x:c>
      <x:c r="D2404" s="27" t="str">
        <x:v>DOMAIN_SEQUENCE</x:v>
      </x:c>
      <x:c r="E2404" s="27" t="str">
        <x:v>S22-COMP-01</x:v>
      </x:c>
      <x:c r="F2404" s="27" t="str">
        <x:v>Object/data abstractions and software engineering</x:v>
      </x:c>
      <x:c r="G2404" s="27" t="str">
        <x:v>S22</x:v>
      </x:c>
      <x:c r="H2404" s="27" t="str">
        <x:v>Computing &amp; Media</x:v>
      </x:c>
      <x:c r="I2404" s="27" t="str">
        <x:v>SRC16</x:v>
      </x:c>
      <x:c r="J2404" s="27" t="str">
        <x:v>Ordered spiral link; consult explicit prerequisites for logical dependency.</x:v>
      </x:c>
    </x:row>
    <x:row r="2405">
      <x:c r="A2405" s="27" t="str">
        <x:v>E02401</x:v>
      </x:c>
      <x:c r="B2405" s="27" t="str">
        <x:v>S22-COMP-01:PREREQ</x:v>
      </x:c>
      <x:c r="C2405" s="27" t="str">
        <x:v>Grade 9 program design/functions/data and project workload systems.</x:v>
      </x:c>
      <x:c r="D2405" s="27" t="str">
        <x:v>PREREQUISITE</x:v>
      </x:c>
      <x:c r="E2405" s="27" t="str">
        <x:v>S22-COMP-01</x:v>
      </x:c>
      <x:c r="F2405" s="27" t="str">
        <x:v>Object/data abstractions and software engineering</x:v>
      </x:c>
      <x:c r="G2405" s="27" t="str">
        <x:v>S22</x:v>
      </x:c>
      <x:c r="H2405" s="27" t="str">
        <x:v>Computing &amp; Media</x:v>
      </x:c>
      <x:c r="I2405" s="27" t="str">
        <x:v>SRC16</x:v>
      </x:c>
      <x:c r="J2405" s="27" t="str">
        <x:v>Incoming prerequisite relationship.</x:v>
      </x:c>
    </x:row>
    <x:row r="2406">
      <x:c r="A2406" s="27" t="str">
        <x:v>E02402</x:v>
      </x:c>
      <x:c r="B2406" s="27" t="str">
        <x:v>S22-COMP-01:GROUND</x:v>
      </x:c>
      <x:c r="C2406" s="27" t="str">
        <x:v>G6/G7 — Evidence-based formal system demonstrated through authentic transfer</x:v>
      </x:c>
      <x:c r="D2406" s="27" t="str">
        <x:v>GROUNDED_BY</x:v>
      </x:c>
      <x:c r="E2406" s="27" t="str">
        <x:v>S22-COMP-01</x:v>
      </x:c>
      <x:c r="F2406" s="27" t="str">
        <x:v>Object/data abstractions and software engineering</x:v>
      </x:c>
      <x:c r="G2406" s="27" t="str">
        <x:v>S22</x:v>
      </x:c>
      <x:c r="H2406" s="27" t="str">
        <x:v>Computing &amp; Media</x:v>
      </x:c>
      <x:c r="I2406" s="27" t="str">
        <x:v>SRC16</x:v>
      </x:c>
      <x:c r="J2406" s="27" t="str">
        <x:v>Grounding form used to preserve meaning.</x:v>
      </x:c>
    </x:row>
    <x:row r="2407">
      <x:c r="A2407" s="27" t="str">
        <x:v>E02403</x:v>
      </x:c>
      <x:c r="B2407" s="27" t="str">
        <x:v>S22-COMP-01</x:v>
      </x:c>
      <x:c r="C2407" s="27" t="str">
        <x:v>Object/data abstractions and software engineering</x:v>
      </x:c>
      <x:c r="D2407" s="27" t="str">
        <x:v>CONNECTS_TO</x:v>
      </x:c>
      <x:c r="E2407" s="27" t="str">
        <x:v>S22-COMP-01:CROSS</x:v>
      </x:c>
      <x:c r="F2407" s="27" t="str">
        <x:v>Mathematics/logic/data; language and media evidence; science/engineering models; art/design; civics, privacy, finance, and ethics.</x:v>
      </x:c>
      <x:c r="G2407" s="27" t="str">
        <x:v>S22</x:v>
      </x:c>
      <x:c r="H2407" s="27" t="str">
        <x:v>Computing &amp; Media</x:v>
      </x:c>
      <x:c r="I2407" s="27" t="str">
        <x:v>SRC16</x:v>
      </x:c>
      <x:c r="J2407" s="27" t="str">
        <x:v>Parallel subject and representation links.</x:v>
      </x:c>
    </x:row>
    <x:row r="2408">
      <x:c r="A2408" s="27" t="str">
        <x:v>E02404</x:v>
      </x:c>
      <x:c r="B2408" s="27" t="str">
        <x:v>S22-COMP-01</x:v>
      </x:c>
      <x:c r="C2408" s="27" t="str">
        <x:v>Object/data abstractions and software engineering</x:v>
      </x:c>
      <x:c r="D2408" s="27" t="str">
        <x:v>UNLOCKS</x:v>
      </x:c>
      <x:c r="E2408" s="27" t="str">
        <x:v>S22-COMP-01:NEXT</x:v>
      </x:c>
      <x:c r="F2408" s="27" t="str">
        <x:v>Software engineering practices make complex programs maintainable and collaborative.</x:v>
      </x:c>
      <x:c r="G2408" s="27" t="str">
        <x:v>S22</x:v>
      </x:c>
      <x:c r="H2408" s="27" t="str">
        <x:v>Computing &amp; Media</x:v>
      </x:c>
      <x:c r="I2408" s="27" t="str">
        <x:v>SRC16</x:v>
      </x:c>
      <x:c r="J2408" s="27" t="str">
        <x:v>Outgoing use and placement rationale.</x:v>
      </x:c>
    </x:row>
    <x:row r="2409">
      <x:c r="A2409" s="27" t="str">
        <x:v>E02405</x:v>
      </x:c>
      <x:c r="B2409" s="27" t="str">
        <x:v>S22-COMP-01</x:v>
      </x:c>
      <x:c r="C2409" s="27" t="str">
        <x:v>Object/data abstractions and software engineering</x:v>
      </x:c>
      <x:c r="D2409" s="27" t="str">
        <x:v>VERIFIED_BY</x:v>
      </x:c>
      <x:c r="E2409" s="27" t="str">
        <x:v>S22-COMP-01:EVIDENCE</x:v>
      </x:c>
      <x:c r="F2409" s="27" t="str">
        <x:v>Delivers tested software with architecture rationale, version history, documentation, and user feedback revision.</x:v>
      </x:c>
      <x:c r="G2409" s="27" t="str">
        <x:v>S22</x:v>
      </x:c>
      <x:c r="H2409" s="27" t="str">
        <x:v>Computing &amp; Media</x:v>
      </x:c>
      <x:c r="I2409" s="27" t="str">
        <x:v>SRC16</x:v>
      </x:c>
      <x:c r="J2409" s="27" t="str">
        <x:v>Observable evidence of usable learning.</x:v>
      </x:c>
    </x:row>
    <x:row r="2410">
      <x:c r="A2410" s="27" t="str">
        <x:v>E02406</x:v>
      </x:c>
      <x:c r="B2410" s="27" t="str">
        <x:v>S22-COMP-01</x:v>
      </x:c>
      <x:c r="C2410" s="27" t="str">
        <x:v>Previous node in domain progression</x:v>
      </x:c>
      <x:c r="D2410" s="27" t="str">
        <x:v>DOMAIN_SEQUENCE</x:v>
      </x:c>
      <x:c r="E2410" s="27" t="str">
        <x:v>S22-COMP-02</x:v>
      </x:c>
      <x:c r="F2410" s="27" t="str">
        <x:v>Threat models, cryptographic concepts, policy, and equity</x:v>
      </x:c>
      <x:c r="G2410" s="27" t="str">
        <x:v>S22</x:v>
      </x:c>
      <x:c r="H2410" s="27" t="str">
        <x:v>Computing &amp; Media</x:v>
      </x:c>
      <x:c r="I2410" s="27" t="str">
        <x:v>SRC16</x:v>
      </x:c>
      <x:c r="J2410" s="27" t="str">
        <x:v>Ordered spiral link; consult explicit prerequisites for logical dependency.</x:v>
      </x:c>
    </x:row>
    <x:row r="2411">
      <x:c r="A2411" s="27" t="str">
        <x:v>E02407</x:v>
      </x:c>
      <x:c r="B2411" s="27" t="str">
        <x:v>S22-COMP-02:PREREQ</x:v>
      </x:c>
      <x:c r="C2411" s="27" t="str">
        <x:v>Grade 8 cybersecurity, Algebra logic, and ethical stakeholder analysis.</x:v>
      </x:c>
      <x:c r="D2411" s="27" t="str">
        <x:v>PREREQUISITE</x:v>
      </x:c>
      <x:c r="E2411" s="27" t="str">
        <x:v>S22-COMP-02</x:v>
      </x:c>
      <x:c r="F2411" s="27" t="str">
        <x:v>Threat models, cryptographic concepts, policy, and equity</x:v>
      </x:c>
      <x:c r="G2411" s="27" t="str">
        <x:v>S22</x:v>
      </x:c>
      <x:c r="H2411" s="27" t="str">
        <x:v>Computing &amp; Media</x:v>
      </x:c>
      <x:c r="I2411" s="27" t="str">
        <x:v>SRC16</x:v>
      </x:c>
      <x:c r="J2411" s="27" t="str">
        <x:v>Incoming prerequisite relationship.</x:v>
      </x:c>
    </x:row>
    <x:row r="2412">
      <x:c r="A2412" s="27" t="str">
        <x:v>E02408</x:v>
      </x:c>
      <x:c r="B2412" s="27" t="str">
        <x:v>S22-COMP-02:GROUND</x:v>
      </x:c>
      <x:c r="C2412" s="27" t="str">
        <x:v>G6/G7 — Evidence-based formal system demonstrated through authentic transfer</x:v>
      </x:c>
      <x:c r="D2412" s="27" t="str">
        <x:v>GROUNDED_BY</x:v>
      </x:c>
      <x:c r="E2412" s="27" t="str">
        <x:v>S22-COMP-02</x:v>
      </x:c>
      <x:c r="F2412" s="27" t="str">
        <x:v>Threat models, cryptographic concepts, policy, and equity</x:v>
      </x:c>
      <x:c r="G2412" s="27" t="str">
        <x:v>S22</x:v>
      </x:c>
      <x:c r="H2412" s="27" t="str">
        <x:v>Computing &amp; Media</x:v>
      </x:c>
      <x:c r="I2412" s="27" t="str">
        <x:v>SRC16</x:v>
      </x:c>
      <x:c r="J2412" s="27" t="str">
        <x:v>Grounding form used to preserve meaning.</x:v>
      </x:c>
    </x:row>
    <x:row r="2413">
      <x:c r="A2413" s="27" t="str">
        <x:v>E02409</x:v>
      </x:c>
      <x:c r="B2413" s="27" t="str">
        <x:v>S22-COMP-02</x:v>
      </x:c>
      <x:c r="C2413" s="27" t="str">
        <x:v>Threat models, cryptographic concepts, policy, and equity</x:v>
      </x:c>
      <x:c r="D2413" s="27" t="str">
        <x:v>CONNECTS_TO</x:v>
      </x:c>
      <x:c r="E2413" s="27" t="str">
        <x:v>S22-COMP-02:CROSS</x:v>
      </x:c>
      <x:c r="F2413" s="27" t="str">
        <x:v>Mathematics/logic/data; language and media evidence; science/engineering models; art/design; civics, privacy, finance, and ethics.</x:v>
      </x:c>
      <x:c r="G2413" s="27" t="str">
        <x:v>S22</x:v>
      </x:c>
      <x:c r="H2413" s="27" t="str">
        <x:v>Computing &amp; Media</x:v>
      </x:c>
      <x:c r="I2413" s="27" t="str">
        <x:v>SRC16</x:v>
      </x:c>
      <x:c r="J2413" s="27" t="str">
        <x:v>Parallel subject and representation links.</x:v>
      </x:c>
    </x:row>
    <x:row r="2414">
      <x:c r="A2414" s="27" t="str">
        <x:v>E02410</x:v>
      </x:c>
      <x:c r="B2414" s="27" t="str">
        <x:v>S22-COMP-02</x:v>
      </x:c>
      <x:c r="C2414" s="27" t="str">
        <x:v>Threat models, cryptographic concepts, policy, and equity</x:v>
      </x:c>
      <x:c r="D2414" s="27" t="str">
        <x:v>UNLOCKS</x:v>
      </x:c>
      <x:c r="E2414" s="27" t="str">
        <x:v>S22-COMP-02:NEXT</x:v>
      </x:c>
      <x:c r="F2414" s="27" t="str">
        <x:v>Threat models connect technical controls to human, legal, and social systems.</x:v>
      </x:c>
      <x:c r="G2414" s="27" t="str">
        <x:v>S22</x:v>
      </x:c>
      <x:c r="H2414" s="27" t="str">
        <x:v>Computing &amp; Media</x:v>
      </x:c>
      <x:c r="I2414" s="27" t="str">
        <x:v>SRC16</x:v>
      </x:c>
      <x:c r="J2414" s="27" t="str">
        <x:v>Outgoing use and placement rationale.</x:v>
      </x:c>
    </x:row>
    <x:row r="2415">
      <x:c r="A2415" s="27" t="str">
        <x:v>E02411</x:v>
      </x:c>
      <x:c r="B2415" s="27" t="str">
        <x:v>S22-COMP-02</x:v>
      </x:c>
      <x:c r="C2415" s="27" t="str">
        <x:v>Threat models, cryptographic concepts, policy, and equity</x:v>
      </x:c>
      <x:c r="D2415" s="27" t="str">
        <x:v>VERIFIED_BY</x:v>
      </x:c>
      <x:c r="E2415" s="27" t="str">
        <x:v>S22-COMP-02:EVIDENCE</x:v>
      </x:c>
      <x:c r="F2415" s="27" t="str">
        <x:v>Creates a threat model and recommends layered controls with impact/tradeoff analysis.</x:v>
      </x:c>
      <x:c r="G2415" s="27" t="str">
        <x:v>S22</x:v>
      </x:c>
      <x:c r="H2415" s="27" t="str">
        <x:v>Computing &amp; Media</x:v>
      </x:c>
      <x:c r="I2415" s="27" t="str">
        <x:v>SRC16</x:v>
      </x:c>
      <x:c r="J2415" s="27" t="str">
        <x:v>Observable evidence of usable learning.</x:v>
      </x:c>
    </x:row>
    <x:row r="2416">
      <x:c r="A2416" s="27" t="str">
        <x:v>E02412</x:v>
      </x:c>
      <x:c r="B2416" s="27" t="str">
        <x:v>S21-WLANG-01</x:v>
      </x:c>
      <x:c r="C2416" s="27" t="str">
        <x:v>Previous node in domain progression</x:v>
      </x:c>
      <x:c r="D2416" s="27" t="str">
        <x:v>DOMAIN_SEQUENCE</x:v>
      </x:c>
      <x:c r="E2416" s="27" t="str">
        <x:v>S22-WLANG-01</x:v>
      </x:c>
      <x:c r="F2416" s="27" t="str">
        <x:v>Intermediate-high emerging paragraph discourse</x:v>
      </x:c>
      <x:c r="G2416" s="27" t="str">
        <x:v>S22</x:v>
      </x:c>
      <x:c r="H2416" s="27" t="str">
        <x:v>World Languages</x:v>
      </x:c>
      <x:c r="I2416" s="27" t="str">
        <x:v>SRC17</x:v>
      </x:c>
      <x:c r="J2416" s="27" t="str">
        <x:v>Ordered spiral link; consult explicit prerequisites for logical dependency.</x:v>
      </x:c>
    </x:row>
    <x:row r="2417">
      <x:c r="A2417" s="27" t="str">
        <x:v>E02413</x:v>
      </x:c>
      <x:c r="B2417" s="27" t="str">
        <x:v>S22-WLANG-01:PREREQ</x:v>
      </x:c>
      <x:c r="C2417" s="27" t="str">
        <x:v>Grade 9 intermediate communication and rhetorical structures.</x:v>
      </x:c>
      <x:c r="D2417" s="27" t="str">
        <x:v>PREREQUISITE</x:v>
      </x:c>
      <x:c r="E2417" s="27" t="str">
        <x:v>S22-WLANG-01</x:v>
      </x:c>
      <x:c r="F2417" s="27" t="str">
        <x:v>Intermediate-high emerging paragraph discourse</x:v>
      </x:c>
      <x:c r="G2417" s="27" t="str">
        <x:v>S22</x:v>
      </x:c>
      <x:c r="H2417" s="27" t="str">
        <x:v>World Languages</x:v>
      </x:c>
      <x:c r="I2417" s="27" t="str">
        <x:v>SRC17</x:v>
      </x:c>
      <x:c r="J2417" s="27" t="str">
        <x:v>Incoming prerequisite relationship.</x:v>
      </x:c>
    </x:row>
    <x:row r="2418">
      <x:c r="A2418" s="27" t="str">
        <x:v>E02414</x:v>
      </x:c>
      <x:c r="B2418" s="27" t="str">
        <x:v>S22-WLANG-01:GROUND</x:v>
      </x:c>
      <x:c r="C2418" s="27" t="str">
        <x:v>G6/G7 — Evidence-based formal system demonstrated through authentic transfer</x:v>
      </x:c>
      <x:c r="D2418" s="27" t="str">
        <x:v>GROUNDED_BY</x:v>
      </x:c>
      <x:c r="E2418" s="27" t="str">
        <x:v>S22-WLANG-01</x:v>
      </x:c>
      <x:c r="F2418" s="27" t="str">
        <x:v>Intermediate-high emerging paragraph discourse</x:v>
      </x:c>
      <x:c r="G2418" s="27" t="str">
        <x:v>S22</x:v>
      </x:c>
      <x:c r="H2418" s="27" t="str">
        <x:v>World Languages</x:v>
      </x:c>
      <x:c r="I2418" s="27" t="str">
        <x:v>SRC17</x:v>
      </x:c>
      <x:c r="J2418" s="27" t="str">
        <x:v>Grounding form used to preserve meaning.</x:v>
      </x:c>
    </x:row>
    <x:row r="2419">
      <x:c r="A2419" s="27" t="str">
        <x:v>E02415</x:v>
      </x:c>
      <x:c r="B2419" s="27" t="str">
        <x:v>S22-WLANG-01</x:v>
      </x:c>
      <x:c r="C2419" s="27" t="str">
        <x:v>Intermediate-high emerging paragraph discourse</x:v>
      </x:c>
      <x:c r="D2419" s="27" t="str">
        <x:v>CONNECTS_TO</x:v>
      </x:c>
      <x:c r="E2419" s="27" t="str">
        <x:v>S22-WLANG-01:CROSS</x:v>
      </x:c>
      <x:c r="F2419" s="27" t="str">
        <x:v>Oral language, reading, and writing; memory/retrieval; social interaction; history/geography/arts; intercultural perspective.</x:v>
      </x:c>
      <x:c r="G2419" s="27" t="str">
        <x:v>S22</x:v>
      </x:c>
      <x:c r="H2419" s="27" t="str">
        <x:v>World Languages</x:v>
      </x:c>
      <x:c r="I2419" s="27" t="str">
        <x:v>SRC17</x:v>
      </x:c>
      <x:c r="J2419" s="27" t="str">
        <x:v>Parallel subject and representation links.</x:v>
      </x:c>
    </x:row>
    <x:row r="2420">
      <x:c r="A2420" s="27" t="str">
        <x:v>E02416</x:v>
      </x:c>
      <x:c r="B2420" s="27" t="str">
        <x:v>S22-WLANG-01</x:v>
      </x:c>
      <x:c r="C2420" s="27" t="str">
        <x:v>Intermediate-high emerging paragraph discourse</x:v>
      </x:c>
      <x:c r="D2420" s="27" t="str">
        <x:v>UNLOCKS</x:v>
      </x:c>
      <x:c r="E2420" s="27" t="str">
        <x:v>S22-WLANG-01:NEXT</x:v>
      </x:c>
      <x:c r="F2420" s="27" t="str">
        <x:v>Paragraph-level discourse prepares advanced-low proficiency and academic/professional use.</x:v>
      </x:c>
      <x:c r="G2420" s="27" t="str">
        <x:v>S22</x:v>
      </x:c>
      <x:c r="H2420" s="27" t="str">
        <x:v>World Languages</x:v>
      </x:c>
      <x:c r="I2420" s="27" t="str">
        <x:v>SRC17</x:v>
      </x:c>
      <x:c r="J2420" s="27" t="str">
        <x:v>Outgoing use and placement rationale.</x:v>
      </x:c>
    </x:row>
    <x:row r="2421">
      <x:c r="A2421" s="27" t="str">
        <x:v>E02417</x:v>
      </x:c>
      <x:c r="B2421" s="27" t="str">
        <x:v>S22-WLANG-01</x:v>
      </x:c>
      <x:c r="C2421" s="27" t="str">
        <x:v>Intermediate-high emerging paragraph discourse</x:v>
      </x:c>
      <x:c r="D2421" s="27" t="str">
        <x:v>VERIFIED_BY</x:v>
      </x:c>
      <x:c r="E2421" s="27" t="str">
        <x:v>S22-WLANG-01:EVIDENCE</x:v>
      </x:c>
      <x:c r="F2421" s="27" t="str">
        <x:v>Sustains an unrehearsed interaction and produces comprehensible paragraph-level narration/explanation.</x:v>
      </x:c>
      <x:c r="G2421" s="27" t="str">
        <x:v>S22</x:v>
      </x:c>
      <x:c r="H2421" s="27" t="str">
        <x:v>World Languages</x:v>
      </x:c>
      <x:c r="I2421" s="27" t="str">
        <x:v>SRC17</x:v>
      </x:c>
      <x:c r="J2421" s="27" t="str">
        <x:v>Observable evidence of usable learning.</x:v>
      </x:c>
    </x:row>
    <x:row r="2422">
      <x:c r="A2422" s="27" t="str">
        <x:v>E02418</x:v>
      </x:c>
      <x:c r="B2422" s="27" t="str">
        <x:v>S21-LIFE-01</x:v>
      </x:c>
      <x:c r="C2422" s="27" t="str">
        <x:v>Previous node in domain progression</x:v>
      </x:c>
      <x:c r="D2422" s="27" t="str">
        <x:v>DOMAIN_SEQUENCE</x:v>
      </x:c>
      <x:c r="E2422" s="27" t="str">
        <x:v>S22-LIFE-01</x:v>
      </x:c>
      <x:c r="F2422" s="27" t="str">
        <x:v>Credit reports/scores, loans, insurance, and contracts</x:v>
      </x:c>
      <x:c r="G2422" s="27" t="str">
        <x:v>S22</x:v>
      </x:c>
      <x:c r="H2422" s="27" t="str">
        <x:v>Life, Finance &amp; Career</x:v>
      </x:c>
      <x:c r="I2422" s="27" t="str">
        <x:v>SRC19</x:v>
      </x:c>
      <x:c r="J2422" s="27" t="str">
        <x:v>Ordered spiral link; consult explicit prerequisites for logical dependency.</x:v>
      </x:c>
    </x:row>
    <x:row r="2423">
      <x:c r="A2423" s="27" t="str">
        <x:v>E02419</x:v>
      </x:c>
      <x:c r="B2423" s="27" t="str">
        <x:v>S22-LIFE-01:PREREQ</x:v>
      </x:c>
      <x:c r="C2423" s="27" t="str">
        <x:v>Grade 9 income/budget, Algebra I functions, percent growth, and source reliability.</x:v>
      </x:c>
      <x:c r="D2423" s="27" t="str">
        <x:v>PREREQUISITE</x:v>
      </x:c>
      <x:c r="E2423" s="27" t="str">
        <x:v>S22-LIFE-01</x:v>
      </x:c>
      <x:c r="F2423" s="27" t="str">
        <x:v>Credit reports/scores, loans, insurance, and contracts</x:v>
      </x:c>
      <x:c r="G2423" s="27" t="str">
        <x:v>S22</x:v>
      </x:c>
      <x:c r="H2423" s="27" t="str">
        <x:v>Life, Finance &amp; Career</x:v>
      </x:c>
      <x:c r="I2423" s="27" t="str">
        <x:v>SRC19</x:v>
      </x:c>
      <x:c r="J2423" s="27" t="str">
        <x:v>Incoming prerequisite relationship.</x:v>
      </x:c>
    </x:row>
    <x:row r="2424">
      <x:c r="A2424" s="27" t="str">
        <x:v>E02420</x:v>
      </x:c>
      <x:c r="B2424" s="27" t="str">
        <x:v>S22-LIFE-01:GROUND</x:v>
      </x:c>
      <x:c r="C2424" s="27" t="str">
        <x:v>G6/G7 — Evidence-based formal system demonstrated through authentic transfer</x:v>
      </x:c>
      <x:c r="D2424" s="27" t="str">
        <x:v>GROUNDED_BY</x:v>
      </x:c>
      <x:c r="E2424" s="27" t="str">
        <x:v>S22-LIFE-01</x:v>
      </x:c>
      <x:c r="F2424" s="27" t="str">
        <x:v>Credit reports/scores, loans, insurance, and contracts</x:v>
      </x:c>
      <x:c r="G2424" s="27" t="str">
        <x:v>S22</x:v>
      </x:c>
      <x:c r="H2424" s="27" t="str">
        <x:v>Life, Finance &amp; Career</x:v>
      </x:c>
      <x:c r="I2424" s="27" t="str">
        <x:v>SRC19</x:v>
      </x:c>
      <x:c r="J2424" s="27" t="str">
        <x:v>Grounding form used to preserve meaning.</x:v>
      </x:c>
    </x:row>
    <x:row r="2425">
      <x:c r="A2425" s="27" t="str">
        <x:v>E02421</x:v>
      </x:c>
      <x:c r="B2425" s="27" t="str">
        <x:v>S22-LIFE-01</x:v>
      </x:c>
      <x:c r="C2425" s="27" t="str">
        <x:v>Credit reports/scores, loans, insurance, and contracts</x:v>
      </x:c>
      <x:c r="D2425" s="27" t="str">
        <x:v>CONNECTS_TO</x:v>
      </x:c>
      <x:c r="E2425" s="27" t="str">
        <x:v>S22-LIFE-01:CROSS</x:v>
      </x:c>
      <x:c r="F2425" s="27" t="str">
        <x:v>Mathematics/percent/growth; economics/civics; reading contracts/sources; computing/privacy; SEL, planning, and risk decisions.</x:v>
      </x:c>
      <x:c r="G2425" s="27" t="str">
        <x:v>S22</x:v>
      </x:c>
      <x:c r="H2425" s="27" t="str">
        <x:v>Life, Finance &amp; Career</x:v>
      </x:c>
      <x:c r="I2425" s="27" t="str">
        <x:v>SRC19</x:v>
      </x:c>
      <x:c r="J2425" s="27" t="str">
        <x:v>Parallel subject and representation links.</x:v>
      </x:c>
    </x:row>
    <x:row r="2426">
      <x:c r="A2426" s="27" t="str">
        <x:v>E02422</x:v>
      </x:c>
      <x:c r="B2426" s="27" t="str">
        <x:v>S22-LIFE-01</x:v>
      </x:c>
      <x:c r="C2426" s="27" t="str">
        <x:v>Credit reports/scores, loans, insurance, and contracts</x:v>
      </x:c>
      <x:c r="D2426" s="27" t="str">
        <x:v>UNLOCKS</x:v>
      </x:c>
      <x:c r="E2426" s="27" t="str">
        <x:v>S22-LIFE-01:NEXT</x:v>
      </x:c>
      <x:c r="F2426" s="27" t="str">
        <x:v>Total-cost and risk-transfer analysis prepares major adult commitments.</x:v>
      </x:c>
      <x:c r="G2426" s="27" t="str">
        <x:v>S22</x:v>
      </x:c>
      <x:c r="H2426" s="27" t="str">
        <x:v>Life, Finance &amp; Career</x:v>
      </x:c>
      <x:c r="I2426" s="27" t="str">
        <x:v>SRC19</x:v>
      </x:c>
      <x:c r="J2426" s="27" t="str">
        <x:v>Outgoing use and placement rationale.</x:v>
      </x:c>
    </x:row>
    <x:row r="2427">
      <x:c r="A2427" s="27" t="str">
        <x:v>E02423</x:v>
      </x:c>
      <x:c r="B2427" s="27" t="str">
        <x:v>S22-LIFE-01</x:v>
      </x:c>
      <x:c r="C2427" s="27" t="str">
        <x:v>Credit reports/scores, loans, insurance, and contracts</x:v>
      </x:c>
      <x:c r="D2427" s="27" t="str">
        <x:v>VERIFIED_BY</x:v>
      </x:c>
      <x:c r="E2427" s="27" t="str">
        <x:v>S22-LIFE-01:EVIDENCE</x:v>
      </x:c>
      <x:c r="F2427" s="27" t="str">
        <x:v>Builds an amortized or total-cost comparison and identifies material contract/coverage risks.</x:v>
      </x:c>
      <x:c r="G2427" s="27" t="str">
        <x:v>S22</x:v>
      </x:c>
      <x:c r="H2427" s="27" t="str">
        <x:v>Life, Finance &amp; Career</x:v>
      </x:c>
      <x:c r="I2427" s="27" t="str">
        <x:v>SRC19</x:v>
      </x:c>
      <x:c r="J2427" s="27" t="str">
        <x:v>Observable evidence of usable learning.</x:v>
      </x:c>
    </x:row>
    <x:row r="2428">
      <x:c r="A2428" s="27" t="str">
        <x:v>E02424</x:v>
      </x:c>
      <x:c r="B2428" s="27" t="str">
        <x:v>S22-LEARN-01</x:v>
      </x:c>
      <x:c r="C2428" s="27" t="str">
        <x:v>Previous node in domain progression</x:v>
      </x:c>
      <x:c r="D2428" s="27" t="str">
        <x:v>DOMAIN_SEQUENCE</x:v>
      </x:c>
      <x:c r="E2428" s="27" t="str">
        <x:v>S23-LEARN-01</x:v>
      </x:c>
      <x:c r="F2428" s="27" t="str">
        <x:v>Deliberate practice and feedback loops</x:v>
      </x:c>
      <x:c r="G2428" s="27" t="str">
        <x:v>S23</x:v>
      </x:c>
      <x:c r="H2428" s="27" t="str">
        <x:v>Learning Foundations</x:v>
      </x:c>
      <x:c r="I2428" s="27" t="str">
        <x:v>SRC23; SRC29; SRC34</x:v>
      </x:c>
      <x:c r="J2428" s="27" t="str">
        <x:v>Ordered spiral link; consult explicit prerequisites for logical dependency.</x:v>
      </x:c>
    </x:row>
    <x:row r="2429">
      <x:c r="A2429" s="27" t="str">
        <x:v>E02425</x:v>
      </x:c>
      <x:c r="B2429" s="27" t="str">
        <x:v>S23-LEARN-01:PREREQ</x:v>
      </x:c>
      <x:c r="C2429" s="27" t="str">
        <x:v>Schema building, mastery progression, workload systems, and error classification.</x:v>
      </x:c>
      <x:c r="D2429" s="27" t="str">
        <x:v>PREREQUISITE</x:v>
      </x:c>
      <x:c r="E2429" s="27" t="str">
        <x:v>S23-LEARN-01</x:v>
      </x:c>
      <x:c r="F2429" s="27" t="str">
        <x:v>Deliberate practice and feedback loops</x:v>
      </x:c>
      <x:c r="G2429" s="27" t="str">
        <x:v>S23</x:v>
      </x:c>
      <x:c r="H2429" s="27" t="str">
        <x:v>Learning Foundations</x:v>
      </x:c>
      <x:c r="I2429" s="27" t="str">
        <x:v>SRC23; SRC29; SRC34</x:v>
      </x:c>
      <x:c r="J2429" s="27" t="str">
        <x:v>Incoming prerequisite relationship.</x:v>
      </x:c>
    </x:row>
    <x:row r="2430">
      <x:c r="A2430" s="27" t="str">
        <x:v>E02426</x:v>
      </x:c>
      <x:c r="B2430" s="27" t="str">
        <x:v>S23-LEARN-01:GROUND</x:v>
      </x:c>
      <x:c r="C2430" s="27" t="str">
        <x:v>G6/G7 — Evidence-based formal system demonstrated through authentic transfer</x:v>
      </x:c>
      <x:c r="D2430" s="27" t="str">
        <x:v>GROUNDED_BY</x:v>
      </x:c>
      <x:c r="E2430" s="27" t="str">
        <x:v>S23-LEARN-01</x:v>
      </x:c>
      <x:c r="F2430" s="27" t="str">
        <x:v>Deliberate practice and feedback loops</x:v>
      </x:c>
      <x:c r="G2430" s="27" t="str">
        <x:v>S23</x:v>
      </x:c>
      <x:c r="H2430" s="27" t="str">
        <x:v>Learning Foundations</x:v>
      </x:c>
      <x:c r="I2430" s="27" t="str">
        <x:v>SRC23; SRC29; SRC34</x:v>
      </x:c>
      <x:c r="J2430" s="27" t="str">
        <x:v>Grounding form used to preserve meaning.</x:v>
      </x:c>
    </x:row>
    <x:row r="2431">
      <x:c r="A2431" s="27" t="str">
        <x:v>E02427</x:v>
      </x:c>
      <x:c r="B2431" s="27" t="str">
        <x:v>S23-LEARN-01</x:v>
      </x:c>
      <x:c r="C2431" s="27" t="str">
        <x:v>Deliberate practice and feedback loops</x:v>
      </x:c>
      <x:c r="D2431" s="27" t="str">
        <x:v>CONNECTS_TO</x:v>
      </x:c>
      <x:c r="E2431" s="27" t="str">
        <x:v>S23-LEARN-01:CROSS</x:v>
      </x:c>
      <x:c r="F2431" s="27" t="str">
        <x:v>All domains: attention, memory, strategy choice, monitoring, retrieval, and transfer.</x:v>
      </x:c>
      <x:c r="G2431" s="27" t="str">
        <x:v>S23</x:v>
      </x:c>
      <x:c r="H2431" s="27" t="str">
        <x:v>Learning Foundations</x:v>
      </x:c>
      <x:c r="I2431" s="27" t="str">
        <x:v>SRC23; SRC29; SRC34</x:v>
      </x:c>
      <x:c r="J2431" s="27" t="str">
        <x:v>Parallel subject and representation links.</x:v>
      </x:c>
    </x:row>
    <x:row r="2432">
      <x:c r="A2432" s="27" t="str">
        <x:v>E02428</x:v>
      </x:c>
      <x:c r="B2432" s="27" t="str">
        <x:v>S23-LEARN-01</x:v>
      </x:c>
      <x:c r="C2432" s="27" t="str">
        <x:v>Deliberate practice and feedback loops</x:v>
      </x:c>
      <x:c r="D2432" s="27" t="str">
        <x:v>UNLOCKS</x:v>
      </x:c>
      <x:c r="E2432" s="27" t="str">
        <x:v>S23-LEARN-01:NEXT</x:v>
      </x:c>
      <x:c r="F2432" s="27" t="str">
        <x:v>Targeted practice improves the limiting component while preserving the full performance context.</x:v>
      </x:c>
      <x:c r="G2432" s="27" t="str">
        <x:v>S23</x:v>
      </x:c>
      <x:c r="H2432" s="27" t="str">
        <x:v>Learning Foundations</x:v>
      </x:c>
      <x:c r="I2432" s="27" t="str">
        <x:v>SRC23; SRC29; SRC34</x:v>
      </x:c>
      <x:c r="J2432" s="27" t="str">
        <x:v>Outgoing use and placement rationale.</x:v>
      </x:c>
    </x:row>
    <x:row r="2433">
      <x:c r="A2433" s="27" t="str">
        <x:v>E02429</x:v>
      </x:c>
      <x:c r="B2433" s="27" t="str">
        <x:v>S23-LEARN-01</x:v>
      </x:c>
      <x:c r="C2433" s="27" t="str">
        <x:v>Deliberate practice and feedback loops</x:v>
      </x:c>
      <x:c r="D2433" s="27" t="str">
        <x:v>VERIFIED_BY</x:v>
      </x:c>
      <x:c r="E2433" s="27" t="str">
        <x:v>S23-LEARN-01:EVIDENCE</x:v>
      </x:c>
      <x:c r="F2433" s="27" t="str">
        <x:v>Documents baseline, target, practice trials, feedback-driven changes, and delayed performance.</x:v>
      </x:c>
      <x:c r="G2433" s="27" t="str">
        <x:v>S23</x:v>
      </x:c>
      <x:c r="H2433" s="27" t="str">
        <x:v>Learning Foundations</x:v>
      </x:c>
      <x:c r="I2433" s="27" t="str">
        <x:v>SRC23; SRC29; SRC34</x:v>
      </x:c>
      <x:c r="J2433" s="27" t="str">
        <x:v>Observable evidence of usable learning.</x:v>
      </x:c>
    </x:row>
    <x:row r="2434">
      <x:c r="A2434" s="27" t="str">
        <x:v>E02430</x:v>
      </x:c>
      <x:c r="B2434" s="27" t="str">
        <x:v>S22-SEL-01</x:v>
      </x:c>
      <x:c r="C2434" s="27" t="str">
        <x:v>Previous node in domain progression</x:v>
      </x:c>
      <x:c r="D2434" s="27" t="str">
        <x:v>DOMAIN_SEQUENCE</x:v>
      </x:c>
      <x:c r="E2434" s="27" t="str">
        <x:v>S23-SEL-01</x:v>
      </x:c>
      <x:c r="F2434" s="27" t="str">
        <x:v>Conflict, negotiation, and accountable leadership</x:v>
      </x:c>
      <x:c r="G2434" s="27" t="str">
        <x:v>S23</x:v>
      </x:c>
      <x:c r="H2434" s="27" t="str">
        <x:v>Social-Emotional</x:v>
      </x:c>
      <x:c r="I2434" s="27" t="str">
        <x:v>SRC18</x:v>
      </x:c>
      <x:c r="J2434" s="27" t="str">
        <x:v>Ordered spiral link; consult explicit prerequisites for logical dependency.</x:v>
      </x:c>
    </x:row>
    <x:row r="2435">
      <x:c r="A2435" s="27" t="str">
        <x:v>E02431</x:v>
      </x:c>
      <x:c r="B2435" s="27" t="str">
        <x:v>S23-SEL-01:PREREQ</x:v>
      </x:c>
      <x:c r="C2435" s="27" t="str">
        <x:v>Grade 10 stakeholder ethics, Grade 9 workload systems, and consensus skills.</x:v>
      </x:c>
      <x:c r="D2435" s="27" t="str">
        <x:v>PREREQUISITE</x:v>
      </x:c>
      <x:c r="E2435" s="27" t="str">
        <x:v>S23-SEL-01</x:v>
      </x:c>
      <x:c r="F2435" s="27" t="str">
        <x:v>Conflict, negotiation, and accountable leadership</x:v>
      </x:c>
      <x:c r="G2435" s="27" t="str">
        <x:v>S23</x:v>
      </x:c>
      <x:c r="H2435" s="27" t="str">
        <x:v>Social-Emotional</x:v>
      </x:c>
      <x:c r="I2435" s="27" t="str">
        <x:v>SRC18</x:v>
      </x:c>
      <x:c r="J2435" s="27" t="str">
        <x:v>Incoming prerequisite relationship.</x:v>
      </x:c>
    </x:row>
    <x:row r="2436">
      <x:c r="A2436" s="27" t="str">
        <x:v>E02432</x:v>
      </x:c>
      <x:c r="B2436" s="27" t="str">
        <x:v>S23-SEL-01:GROUND</x:v>
      </x:c>
      <x:c r="C2436" s="27" t="str">
        <x:v>G6/G7 — Evidence-based formal system demonstrated through authentic transfer</x:v>
      </x:c>
      <x:c r="D2436" s="27" t="str">
        <x:v>GROUNDED_BY</x:v>
      </x:c>
      <x:c r="E2436" s="27" t="str">
        <x:v>S23-SEL-01</x:v>
      </x:c>
      <x:c r="F2436" s="27" t="str">
        <x:v>Conflict, negotiation, and accountable leadership</x:v>
      </x:c>
      <x:c r="G2436" s="27" t="str">
        <x:v>S23</x:v>
      </x:c>
      <x:c r="H2436" s="27" t="str">
        <x:v>Social-Emotional</x:v>
      </x:c>
      <x:c r="I2436" s="27" t="str">
        <x:v>SRC18</x:v>
      </x:c>
      <x:c r="J2436" s="27" t="str">
        <x:v>Grounding form used to preserve meaning.</x:v>
      </x:c>
    </x:row>
    <x:row r="2437">
      <x:c r="A2437" s="27" t="str">
        <x:v>E02433</x:v>
      </x:c>
      <x:c r="B2437" s="27" t="str">
        <x:v>S23-SEL-01</x:v>
      </x:c>
      <x:c r="C2437" s="27" t="str">
        <x:v>Conflict, negotiation, and accountable leadership</x:v>
      </x:c>
      <x:c r="D2437" s="27" t="str">
        <x:v>CONNECTS_TO</x:v>
      </x:c>
      <x:c r="E2437" s="27" t="str">
        <x:v>S23-SEL-01:CROSS</x:v>
      </x:c>
      <x:c r="F2437" s="27" t="str">
        <x:v>Language and communication; health; collaboration in science, arts, civics, and projects; responsible digital/financial decisions.</x:v>
      </x:c>
      <x:c r="G2437" s="27" t="str">
        <x:v>S23</x:v>
      </x:c>
      <x:c r="H2437" s="27" t="str">
        <x:v>Social-Emotional</x:v>
      </x:c>
      <x:c r="I2437" s="27" t="str">
        <x:v>SRC18</x:v>
      </x:c>
      <x:c r="J2437" s="27" t="str">
        <x:v>Parallel subject and representation links.</x:v>
      </x:c>
    </x:row>
    <x:row r="2438">
      <x:c r="A2438" s="27" t="str">
        <x:v>E02434</x:v>
      </x:c>
      <x:c r="B2438" s="27" t="str">
        <x:v>S23-SEL-01</x:v>
      </x:c>
      <x:c r="C2438" s="27" t="str">
        <x:v>Conflict, negotiation, and accountable leadership</x:v>
      </x:c>
      <x:c r="D2438" s="27" t="str">
        <x:v>UNLOCKS</x:v>
      </x:c>
      <x:c r="E2438" s="27" t="str">
        <x:v>S23-SEL-01:NEXT</x:v>
      </x:c>
      <x:c r="F2438" s="27" t="str">
        <x:v>Accountable negotiation supports leadership in projects, workplaces, communities, and relationships.</x:v>
      </x:c>
      <x:c r="G2438" s="27" t="str">
        <x:v>S23</x:v>
      </x:c>
      <x:c r="H2438" s="27" t="str">
        <x:v>Social-Emotional</x:v>
      </x:c>
      <x:c r="I2438" s="27" t="str">
        <x:v>SRC18</x:v>
      </x:c>
      <x:c r="J2438" s="27" t="str">
        <x:v>Outgoing use and placement rationale.</x:v>
      </x:c>
    </x:row>
    <x:row r="2439">
      <x:c r="A2439" s="27" t="str">
        <x:v>E02435</x:v>
      </x:c>
      <x:c r="B2439" s="27" t="str">
        <x:v>S23-SEL-01</x:v>
      </x:c>
      <x:c r="C2439" s="27" t="str">
        <x:v>Conflict, negotiation, and accountable leadership</x:v>
      </x:c>
      <x:c r="D2439" s="27" t="str">
        <x:v>VERIFIED_BY</x:v>
      </x:c>
      <x:c r="E2439" s="27" t="str">
        <x:v>S23-SEL-01:EVIDENCE</x:v>
      </x:c>
      <x:c r="F2439" s="27" t="str">
        <x:v>Reaches or evaluates an agreement with explicit interests, criteria, responsibilities, and review conditions.</x:v>
      </x:c>
      <x:c r="G2439" s="27" t="str">
        <x:v>S23</x:v>
      </x:c>
      <x:c r="H2439" s="27" t="str">
        <x:v>Social-Emotional</x:v>
      </x:c>
      <x:c r="I2439" s="27" t="str">
        <x:v>SRC18</x:v>
      </x:c>
      <x:c r="J2439" s="27" t="str">
        <x:v>Observable evidence of usable learning.</x:v>
      </x:c>
    </x:row>
    <x:row r="2440">
      <x:c r="A2440" s="27" t="str">
        <x:v>E02436</x:v>
      </x:c>
      <x:c r="B2440" s="27" t="str">
        <x:v>S22-READ-02</x:v>
      </x:c>
      <x:c r="C2440" s="27" t="str">
        <x:v>Previous node in domain progression</x:v>
      </x:c>
      <x:c r="D2440" s="27" t="str">
        <x:v>DOMAIN_SEQUENCE</x:v>
      </x:c>
      <x:c r="E2440" s="27" t="str">
        <x:v>S23-READ-01</x:v>
      </x:c>
      <x:c r="F2440" s="27" t="str">
        <x:v>Literary movements, context, and critical lenses</x:v>
      </x:c>
      <x:c r="G2440" s="27" t="str">
        <x:v>S23</x:v>
      </x:c>
      <x:c r="H2440" s="27" t="str">
        <x:v>Reading</x:v>
      </x:c>
      <x:c r="I2440" s="27" t="str">
        <x:v>SRC10</x:v>
      </x:c>
      <x:c r="J2440" s="27" t="str">
        <x:v>Ordered spiral link; consult explicit prerequisites for logical dependency.</x:v>
      </x:c>
    </x:row>
    <x:row r="2441">
      <x:c r="A2441" s="27" t="str">
        <x:v>E02437</x:v>
      </x:c>
      <x:c r="B2441" s="27" t="str">
        <x:v>S23-READ-01:PREREQ</x:v>
      </x:c>
      <x:c r="C2441" s="27" t="str">
        <x:v>Grade 10 genre/context and thesis analysis.</x:v>
      </x:c>
      <x:c r="D2441" s="27" t="str">
        <x:v>PREREQUISITE</x:v>
      </x:c>
      <x:c r="E2441" s="27" t="str">
        <x:v>S23-READ-01</x:v>
      </x:c>
      <x:c r="F2441" s="27" t="str">
        <x:v>Literary movements, context, and critical lenses</x:v>
      </x:c>
      <x:c r="G2441" s="27" t="str">
        <x:v>S23</x:v>
      </x:c>
      <x:c r="H2441" s="27" t="str">
        <x:v>Reading</x:v>
      </x:c>
      <x:c r="I2441" s="27" t="str">
        <x:v>SRC10</x:v>
      </x:c>
      <x:c r="J2441" s="27" t="str">
        <x:v>Incoming prerequisite relationship.</x:v>
      </x:c>
    </x:row>
    <x:row r="2442">
      <x:c r="A2442" s="27" t="str">
        <x:v>E02438</x:v>
      </x:c>
      <x:c r="B2442" s="27" t="str">
        <x:v>S23-READ-01:GROUND</x:v>
      </x:c>
      <x:c r="C2442" s="27" t="str">
        <x:v>G6/G7 — Evidence-based formal system demonstrated through authentic transfer</x:v>
      </x:c>
      <x:c r="D2442" s="27" t="str">
        <x:v>GROUNDED_BY</x:v>
      </x:c>
      <x:c r="E2442" s="27" t="str">
        <x:v>S23-READ-01</x:v>
      </x:c>
      <x:c r="F2442" s="27" t="str">
        <x:v>Literary movements, context, and critical lenses</x:v>
      </x:c>
      <x:c r="G2442" s="27" t="str">
        <x:v>S23</x:v>
      </x:c>
      <x:c r="H2442" s="27" t="str">
        <x:v>Reading</x:v>
      </x:c>
      <x:c r="I2442" s="27" t="str">
        <x:v>SRC10</x:v>
      </x:c>
      <x:c r="J2442" s="27" t="str">
        <x:v>Grounding form used to preserve meaning.</x:v>
      </x:c>
    </x:row>
    <x:row r="2443">
      <x:c r="A2443" s="27" t="str">
        <x:v>E02439</x:v>
      </x:c>
      <x:c r="B2443" s="27" t="str">
        <x:v>S23-READ-01</x:v>
      </x:c>
      <x:c r="C2443" s="27" t="str">
        <x:v>Literary movements, context, and critical lenses</x:v>
      </x:c>
      <x:c r="D2443" s="27" t="str">
        <x:v>CONNECTS_TO</x:v>
      </x:c>
      <x:c r="E2443" s="27" t="str">
        <x:v>S23-READ-01:CROSS</x:v>
      </x:c>
      <x:c r="F2443" s="27" t="str">
        <x:v>Oral language and writing; evidence in science/social studies; mathematical and technical problem interpretation; media verification.</x:v>
      </x:c>
      <x:c r="G2443" s="27" t="str">
        <x:v>S23</x:v>
      </x:c>
      <x:c r="H2443" s="27" t="str">
        <x:v>Reading</x:v>
      </x:c>
      <x:c r="I2443" s="27" t="str">
        <x:v>SRC10</x:v>
      </x:c>
      <x:c r="J2443" s="27" t="str">
        <x:v>Parallel subject and representation links.</x:v>
      </x:c>
    </x:row>
    <x:row r="2444">
      <x:c r="A2444" s="27" t="str">
        <x:v>E02440</x:v>
      </x:c>
      <x:c r="B2444" s="27" t="str">
        <x:v>S23-READ-01</x:v>
      </x:c>
      <x:c r="C2444" s="27" t="str">
        <x:v>Literary movements, context, and critical lenses</x:v>
      </x:c>
      <x:c r="D2444" s="27" t="str">
        <x:v>UNLOCKS</x:v>
      </x:c>
      <x:c r="E2444" s="27" t="str">
        <x:v>S23-READ-01:NEXT</x:v>
      </x:c>
      <x:c r="F2444" s="27" t="str">
        <x:v>Multiple lenses reveal how questions and assumptions shape interpretation.</x:v>
      </x:c>
      <x:c r="G2444" s="27" t="str">
        <x:v>S23</x:v>
      </x:c>
      <x:c r="H2444" s="27" t="str">
        <x:v>Reading</x:v>
      </x:c>
      <x:c r="I2444" s="27" t="str">
        <x:v>SRC10</x:v>
      </x:c>
      <x:c r="J2444" s="27" t="str">
        <x:v>Outgoing use and placement rationale.</x:v>
      </x:c>
    </x:row>
    <x:row r="2445">
      <x:c r="A2445" s="27" t="str">
        <x:v>E02441</x:v>
      </x:c>
      <x:c r="B2445" s="27" t="str">
        <x:v>S23-READ-01</x:v>
      </x:c>
      <x:c r="C2445" s="27" t="str">
        <x:v>Literary movements, context, and critical lenses</x:v>
      </x:c>
      <x:c r="D2445" s="27" t="str">
        <x:v>VERIFIED_BY</x:v>
      </x:c>
      <x:c r="E2445" s="27" t="str">
        <x:v>S23-READ-01:EVIDENCE</x:v>
      </x:c>
      <x:c r="F2445" s="27" t="str">
        <x:v>Applies two lenses to the same evidence and evaluates what each explains.</x:v>
      </x:c>
      <x:c r="G2445" s="27" t="str">
        <x:v>S23</x:v>
      </x:c>
      <x:c r="H2445" s="27" t="str">
        <x:v>Reading</x:v>
      </x:c>
      <x:c r="I2445" s="27" t="str">
        <x:v>SRC10</x:v>
      </x:c>
      <x:c r="J2445" s="27" t="str">
        <x:v>Observable evidence of usable learning.</x:v>
      </x:c>
    </x:row>
    <x:row r="2446">
      <x:c r="A2446" s="27" t="str">
        <x:v>E02442</x:v>
      </x:c>
      <x:c r="B2446" s="27" t="str">
        <x:v>S23-READ-01</x:v>
      </x:c>
      <x:c r="C2446" s="27" t="str">
        <x:v>Previous node in domain progression</x:v>
      </x:c>
      <x:c r="D2446" s="27" t="str">
        <x:v>DOMAIN_SEQUENCE</x:v>
      </x:c>
      <x:c r="E2446" s="27" t="str">
        <x:v>S23-READ-02</x:v>
      </x:c>
      <x:c r="F2446" s="27" t="str">
        <x:v>Assumptions, warrants, evidence hierarchy, and uncertainty</x:v>
      </x:c>
      <x:c r="G2446" s="27" t="str">
        <x:v>S23</x:v>
      </x:c>
      <x:c r="H2446" s="27" t="str">
        <x:v>Reading</x:v>
      </x:c>
      <x:c r="I2446" s="27" t="str">
        <x:v>SRC10; SRC20</x:v>
      </x:c>
      <x:c r="J2446" s="27" t="str">
        <x:v>Ordered spiral link; consult explicit prerequisites for logical dependency.</x:v>
      </x:c>
    </x:row>
    <x:row r="2447">
      <x:c r="A2447" s="27" t="str">
        <x:v>E02443</x:v>
      </x:c>
      <x:c r="B2447" s="27" t="str">
        <x:v>S23-READ-02:PREREQ</x:v>
      </x:c>
      <x:c r="C2447" s="27" t="str">
        <x:v>Grade 10 rhetoric/fallacies, research limitations, and ethical reasoning.</x:v>
      </x:c>
      <x:c r="D2447" s="27" t="str">
        <x:v>PREREQUISITE</x:v>
      </x:c>
      <x:c r="E2447" s="27" t="str">
        <x:v>S23-READ-02</x:v>
      </x:c>
      <x:c r="F2447" s="27" t="str">
        <x:v>Assumptions, warrants, evidence hierarchy, and uncertainty</x:v>
      </x:c>
      <x:c r="G2447" s="27" t="str">
        <x:v>S23</x:v>
      </x:c>
      <x:c r="H2447" s="27" t="str">
        <x:v>Reading</x:v>
      </x:c>
      <x:c r="I2447" s="27" t="str">
        <x:v>SRC10; SRC20</x:v>
      </x:c>
      <x:c r="J2447" s="27" t="str">
        <x:v>Incoming prerequisite relationship.</x:v>
      </x:c>
    </x:row>
    <x:row r="2448">
      <x:c r="A2448" s="27" t="str">
        <x:v>E02444</x:v>
      </x:c>
      <x:c r="B2448" s="27" t="str">
        <x:v>S23-READ-02:GROUND</x:v>
      </x:c>
      <x:c r="C2448" s="27" t="str">
        <x:v>G6/G7 — Evidence-based formal system demonstrated through authentic transfer</x:v>
      </x:c>
      <x:c r="D2448" s="27" t="str">
        <x:v>GROUNDED_BY</x:v>
      </x:c>
      <x:c r="E2448" s="27" t="str">
        <x:v>S23-READ-02</x:v>
      </x:c>
      <x:c r="F2448" s="27" t="str">
        <x:v>Assumptions, warrants, evidence hierarchy, and uncertainty</x:v>
      </x:c>
      <x:c r="G2448" s="27" t="str">
        <x:v>S23</x:v>
      </x:c>
      <x:c r="H2448" s="27" t="str">
        <x:v>Reading</x:v>
      </x:c>
      <x:c r="I2448" s="27" t="str">
        <x:v>SRC10; SRC20</x:v>
      </x:c>
      <x:c r="J2448" s="27" t="str">
        <x:v>Grounding form used to preserve meaning.</x:v>
      </x:c>
    </x:row>
    <x:row r="2449">
      <x:c r="A2449" s="27" t="str">
        <x:v>E02445</x:v>
      </x:c>
      <x:c r="B2449" s="27" t="str">
        <x:v>S23-READ-02</x:v>
      </x:c>
      <x:c r="C2449" s="27" t="str">
        <x:v>Assumptions, warrants, evidence hierarchy, and uncertainty</x:v>
      </x:c>
      <x:c r="D2449" s="27" t="str">
        <x:v>CONNECTS_TO</x:v>
      </x:c>
      <x:c r="E2449" s="27" t="str">
        <x:v>S23-READ-02:CROSS</x:v>
      </x:c>
      <x:c r="F2449" s="27" t="str">
        <x:v>Oral language and writing; evidence in science/social studies; mathematical and technical problem interpretation; media verification.</x:v>
      </x:c>
      <x:c r="G2449" s="27" t="str">
        <x:v>S23</x:v>
      </x:c>
      <x:c r="H2449" s="27" t="str">
        <x:v>Reading</x:v>
      </x:c>
      <x:c r="I2449" s="27" t="str">
        <x:v>SRC10; SRC20</x:v>
      </x:c>
      <x:c r="J2449" s="27" t="str">
        <x:v>Parallel subject and representation links.</x:v>
      </x:c>
    </x:row>
    <x:row r="2450">
      <x:c r="A2450" s="27" t="str">
        <x:v>E02446</x:v>
      </x:c>
      <x:c r="B2450" s="27" t="str">
        <x:v>S23-READ-02</x:v>
      </x:c>
      <x:c r="C2450" s="27" t="str">
        <x:v>Assumptions, warrants, evidence hierarchy, and uncertainty</x:v>
      </x:c>
      <x:c r="D2450" s="27" t="str">
        <x:v>UNLOCKS</x:v>
      </x:c>
      <x:c r="E2450" s="27" t="str">
        <x:v>S23-READ-02:NEXT</x:v>
      </x:c>
      <x:c r="F2450" s="27" t="str">
        <x:v>Warrant and uncertainty analysis prepares college-level reading and public/scientific judgment.</x:v>
      </x:c>
      <x:c r="G2450" s="27" t="str">
        <x:v>S23</x:v>
      </x:c>
      <x:c r="H2450" s="27" t="str">
        <x:v>Reading</x:v>
      </x:c>
      <x:c r="I2450" s="27" t="str">
        <x:v>SRC10; SRC20</x:v>
      </x:c>
      <x:c r="J2450" s="27" t="str">
        <x:v>Outgoing use and placement rationale.</x:v>
      </x:c>
    </x:row>
    <x:row r="2451">
      <x:c r="A2451" s="27" t="str">
        <x:v>E02447</x:v>
      </x:c>
      <x:c r="B2451" s="27" t="str">
        <x:v>S23-READ-02</x:v>
      </x:c>
      <x:c r="C2451" s="27" t="str">
        <x:v>Assumptions, warrants, evidence hierarchy, and uncertainty</x:v>
      </x:c>
      <x:c r="D2451" s="27" t="str">
        <x:v>VERIFIED_BY</x:v>
      </x:c>
      <x:c r="E2451" s="27" t="str">
        <x:v>S23-READ-02:EVIDENCE</x:v>
      </x:c>
      <x:c r="F2451" s="27" t="str">
        <x:v>Reconstructs an argument, tests a key assumption, and writes a calibrated evaluation.</x:v>
      </x:c>
      <x:c r="G2451" s="27" t="str">
        <x:v>S23</x:v>
      </x:c>
      <x:c r="H2451" s="27" t="str">
        <x:v>Reading</x:v>
      </x:c>
      <x:c r="I2451" s="27" t="str">
        <x:v>SRC10; SRC20</x:v>
      </x:c>
      <x:c r="J2451" s="27" t="str">
        <x:v>Observable evidence of usable learning.</x:v>
      </x:c>
    </x:row>
    <x:row r="2452">
      <x:c r="A2452" s="27" t="str">
        <x:v>E02448</x:v>
      </x:c>
      <x:c r="B2452" s="27" t="str">
        <x:v>S22-WRITE-02</x:v>
      </x:c>
      <x:c r="C2452" s="27" t="str">
        <x:v>Previous node in domain progression</x:v>
      </x:c>
      <x:c r="D2452" s="27" t="str">
        <x:v>DOMAIN_SEQUENCE</x:v>
      </x:c>
      <x:c r="E2452" s="27" t="str">
        <x:v>S23-WRITE-01</x:v>
      </x:c>
      <x:c r="F2452" s="27" t="str">
        <x:v>Sustained argument and style</x:v>
      </x:c>
      <x:c r="G2452" s="27" t="str">
        <x:v>S23</x:v>
      </x:c>
      <x:c r="H2452" s="27" t="str">
        <x:v>Writing &amp; Language</x:v>
      </x:c>
      <x:c r="I2452" s="27" t="str">
        <x:v>SRC10; SRC22</x:v>
      </x:c>
      <x:c r="J2452" s="27" t="str">
        <x:v>Ordered spiral link; consult explicit prerequisites for logical dependency.</x:v>
      </x:c>
    </x:row>
    <x:row r="2453">
      <x:c r="A2453" s="27" t="str">
        <x:v>E02449</x:v>
      </x:c>
      <x:c r="B2453" s="27" t="str">
        <x:v>S23-WRITE-01:PREREQ</x:v>
      </x:c>
      <x:c r="C2453" s="27" t="str">
        <x:v>Grade 10 rhetorical composition and advanced argument reading.</x:v>
      </x:c>
      <x:c r="D2453" s="27" t="str">
        <x:v>PREREQUISITE</x:v>
      </x:c>
      <x:c r="E2453" s="27" t="str">
        <x:v>S23-WRITE-01</x:v>
      </x:c>
      <x:c r="F2453" s="27" t="str">
        <x:v>Sustained argument and style</x:v>
      </x:c>
      <x:c r="G2453" s="27" t="str">
        <x:v>S23</x:v>
      </x:c>
      <x:c r="H2453" s="27" t="str">
        <x:v>Writing &amp; Language</x:v>
      </x:c>
      <x:c r="I2453" s="27" t="str">
        <x:v>SRC10; SRC22</x:v>
      </x:c>
      <x:c r="J2453" s="27" t="str">
        <x:v>Incoming prerequisite relationship.</x:v>
      </x:c>
    </x:row>
    <x:row r="2454">
      <x:c r="A2454" s="27" t="str">
        <x:v>E02450</x:v>
      </x:c>
      <x:c r="B2454" s="27" t="str">
        <x:v>S23-WRITE-01:GROUND</x:v>
      </x:c>
      <x:c r="C2454" s="27" t="str">
        <x:v>G6/G7 — Evidence-based formal system demonstrated through authentic transfer</x:v>
      </x:c>
      <x:c r="D2454" s="27" t="str">
        <x:v>GROUNDED_BY</x:v>
      </x:c>
      <x:c r="E2454" s="27" t="str">
        <x:v>S23-WRITE-01</x:v>
      </x:c>
      <x:c r="F2454" s="27" t="str">
        <x:v>Sustained argument and style</x:v>
      </x:c>
      <x:c r="G2454" s="27" t="str">
        <x:v>S23</x:v>
      </x:c>
      <x:c r="H2454" s="27" t="str">
        <x:v>Writing &amp; Language</x:v>
      </x:c>
      <x:c r="I2454" s="27" t="str">
        <x:v>SRC10; SRC22</x:v>
      </x:c>
      <x:c r="J2454" s="27" t="str">
        <x:v>Grounding form used to preserve meaning.</x:v>
      </x:c>
    </x:row>
    <x:row r="2455">
      <x:c r="A2455" s="27" t="str">
        <x:v>E02451</x:v>
      </x:c>
      <x:c r="B2455" s="27" t="str">
        <x:v>S23-WRITE-01</x:v>
      </x:c>
      <x:c r="C2455" s="27" t="str">
        <x:v>Sustained argument and style</x:v>
      </x:c>
      <x:c r="D2455" s="27" t="str">
        <x:v>CONNECTS_TO</x:v>
      </x:c>
      <x:c r="E2455" s="27" t="str">
        <x:v>S23-WRITE-01:CROSS</x:v>
      </x:c>
      <x:c r="F2455" s="27" t="str">
        <x:v>Reading models; evidence from science/social studies; mathematical explanation; research, media, and presentation.</x:v>
      </x:c>
      <x:c r="G2455" s="27" t="str">
        <x:v>S23</x:v>
      </x:c>
      <x:c r="H2455" s="27" t="str">
        <x:v>Writing &amp; Language</x:v>
      </x:c>
      <x:c r="I2455" s="27" t="str">
        <x:v>SRC10; SRC22</x:v>
      </x:c>
      <x:c r="J2455" s="27" t="str">
        <x:v>Parallel subject and representation links.</x:v>
      </x:c>
    </x:row>
    <x:row r="2456">
      <x:c r="A2456" s="27" t="str">
        <x:v>E02452</x:v>
      </x:c>
      <x:c r="B2456" s="27" t="str">
        <x:v>S23-WRITE-01</x:v>
      </x:c>
      <x:c r="C2456" s="27" t="str">
        <x:v>Sustained argument and style</x:v>
      </x:c>
      <x:c r="D2456" s="27" t="str">
        <x:v>UNLOCKS</x:v>
      </x:c>
      <x:c r="E2456" s="27" t="str">
        <x:v>S23-WRITE-01:NEXT</x:v>
      </x:c>
      <x:c r="F2456" s="27" t="str">
        <x:v>Nuanced argument balances clarity with complexity and uncertainty.</x:v>
      </x:c>
      <x:c r="G2456" s="27" t="str">
        <x:v>S23</x:v>
      </x:c>
      <x:c r="H2456" s="27" t="str">
        <x:v>Writing &amp; Language</x:v>
      </x:c>
      <x:c r="I2456" s="27" t="str">
        <x:v>SRC10; SRC22</x:v>
      </x:c>
      <x:c r="J2456" s="27" t="str">
        <x:v>Outgoing use and placement rationale.</x:v>
      </x:c>
    </x:row>
    <x:row r="2457">
      <x:c r="A2457" s="27" t="str">
        <x:v>E02453</x:v>
      </x:c>
      <x:c r="B2457" s="27" t="str">
        <x:v>S23-WRITE-01</x:v>
      </x:c>
      <x:c r="C2457" s="27" t="str">
        <x:v>Sustained argument and style</x:v>
      </x:c>
      <x:c r="D2457" s="27" t="str">
        <x:v>VERIFIED_BY</x:v>
      </x:c>
      <x:c r="E2457" s="27" t="str">
        <x:v>S23-WRITE-01:EVIDENCE</x:v>
      </x:c>
      <x:c r="F2457" s="27" t="str">
        <x:v>Produces a sustained argument whose qualification, evidence, and style match its claims.</x:v>
      </x:c>
      <x:c r="G2457" s="27" t="str">
        <x:v>S23</x:v>
      </x:c>
      <x:c r="H2457" s="27" t="str">
        <x:v>Writing &amp; Language</x:v>
      </x:c>
      <x:c r="I2457" s="27" t="str">
        <x:v>SRC10; SRC22</x:v>
      </x:c>
      <x:c r="J2457" s="27" t="str">
        <x:v>Observable evidence of usable learning.</x:v>
      </x:c>
    </x:row>
    <x:row r="2458">
      <x:c r="A2458" s="27" t="str">
        <x:v>E02454</x:v>
      </x:c>
      <x:c r="B2458" s="27" t="str">
        <x:v>S23-WRITE-01</x:v>
      </x:c>
      <x:c r="C2458" s="27" t="str">
        <x:v>Previous node in domain progression</x:v>
      </x:c>
      <x:c r="D2458" s="27" t="str">
        <x:v>DOMAIN_SEQUENCE</x:v>
      </x:c>
      <x:c r="E2458" s="27" t="str">
        <x:v>S23-WRITE-02</x:v>
      </x:c>
      <x:c r="F2458" s="27" t="str">
        <x:v>Proposal, literature review, method, findings, and limitations</x:v>
      </x:c>
      <x:c r="G2458" s="27" t="str">
        <x:v>S23</x:v>
      </x:c>
      <x:c r="H2458" s="27" t="str">
        <x:v>Writing &amp; Language</x:v>
      </x:c>
      <x:c r="I2458" s="27" t="str">
        <x:v>SRC10; SRC22</x:v>
      </x:c>
      <x:c r="J2458" s="27" t="str">
        <x:v>Ordered spiral link; consult explicit prerequisites for logical dependency.</x:v>
      </x:c>
    </x:row>
    <x:row r="2459">
      <x:c r="A2459" s="27" t="str">
        <x:v>E02455</x:v>
      </x:c>
      <x:c r="B2459" s="27" t="str">
        <x:v>S23-WRITE-02:PREREQ</x:v>
      </x:c>
      <x:c r="C2459" s="27" t="str">
        <x:v>Grade 10 method/reliability research and project systems.</x:v>
      </x:c>
      <x:c r="D2459" s="27" t="str">
        <x:v>PREREQUISITE</x:v>
      </x:c>
      <x:c r="E2459" s="27" t="str">
        <x:v>S23-WRITE-02</x:v>
      </x:c>
      <x:c r="F2459" s="27" t="str">
        <x:v>Proposal, literature review, method, findings, and limitations</x:v>
      </x:c>
      <x:c r="G2459" s="27" t="str">
        <x:v>S23</x:v>
      </x:c>
      <x:c r="H2459" s="27" t="str">
        <x:v>Writing &amp; Language</x:v>
      </x:c>
      <x:c r="I2459" s="27" t="str">
        <x:v>SRC10; SRC22</x:v>
      </x:c>
      <x:c r="J2459" s="27" t="str">
        <x:v>Incoming prerequisite relationship.</x:v>
      </x:c>
    </x:row>
    <x:row r="2460">
      <x:c r="A2460" s="27" t="str">
        <x:v>E02456</x:v>
      </x:c>
      <x:c r="B2460" s="27" t="str">
        <x:v>S23-WRITE-02:GROUND</x:v>
      </x:c>
      <x:c r="C2460" s="27" t="str">
        <x:v>G6/G7 — Evidence-based formal system demonstrated through authentic transfer</x:v>
      </x:c>
      <x:c r="D2460" s="27" t="str">
        <x:v>GROUNDED_BY</x:v>
      </x:c>
      <x:c r="E2460" s="27" t="str">
        <x:v>S23-WRITE-02</x:v>
      </x:c>
      <x:c r="F2460" s="27" t="str">
        <x:v>Proposal, literature review, method, findings, and limitations</x:v>
      </x:c>
      <x:c r="G2460" s="27" t="str">
        <x:v>S23</x:v>
      </x:c>
      <x:c r="H2460" s="27" t="str">
        <x:v>Writing &amp; Language</x:v>
      </x:c>
      <x:c r="I2460" s="27" t="str">
        <x:v>SRC10; SRC22</x:v>
      </x:c>
      <x:c r="J2460" s="27" t="str">
        <x:v>Grounding form used to preserve meaning.</x:v>
      </x:c>
    </x:row>
    <x:row r="2461">
      <x:c r="A2461" s="27" t="str">
        <x:v>E02457</x:v>
      </x:c>
      <x:c r="B2461" s="27" t="str">
        <x:v>S23-WRITE-02</x:v>
      </x:c>
      <x:c r="C2461" s="27" t="str">
        <x:v>Proposal, literature review, method, findings, and limitations</x:v>
      </x:c>
      <x:c r="D2461" s="27" t="str">
        <x:v>CONNECTS_TO</x:v>
      </x:c>
      <x:c r="E2461" s="27" t="str">
        <x:v>S23-WRITE-02:CROSS</x:v>
      </x:c>
      <x:c r="F2461" s="27" t="str">
        <x:v>Reading models; evidence from science/social studies; mathematical explanation; research, media, and presentation.</x:v>
      </x:c>
      <x:c r="G2461" s="27" t="str">
        <x:v>S23</x:v>
      </x:c>
      <x:c r="H2461" s="27" t="str">
        <x:v>Writing &amp; Language</x:v>
      </x:c>
      <x:c r="I2461" s="27" t="str">
        <x:v>SRC10; SRC22</x:v>
      </x:c>
      <x:c r="J2461" s="27" t="str">
        <x:v>Parallel subject and representation links.</x:v>
      </x:c>
    </x:row>
    <x:row r="2462">
      <x:c r="A2462" s="27" t="str">
        <x:v>E02458</x:v>
      </x:c>
      <x:c r="B2462" s="27" t="str">
        <x:v>S23-WRITE-02</x:v>
      </x:c>
      <x:c r="C2462" s="27" t="str">
        <x:v>Proposal, literature review, method, findings, and limitations</x:v>
      </x:c>
      <x:c r="D2462" s="27" t="str">
        <x:v>UNLOCKS</x:v>
      </x:c>
      <x:c r="E2462" s="27" t="str">
        <x:v>S23-WRITE-02:NEXT</x:v>
      </x:c>
      <x:c r="F2462" s="27" t="str">
        <x:v>A complete research architecture prepares capstone and postsecondary inquiry.</x:v>
      </x:c>
      <x:c r="G2462" s="27" t="str">
        <x:v>S23</x:v>
      </x:c>
      <x:c r="H2462" s="27" t="str">
        <x:v>Writing &amp; Language</x:v>
      </x:c>
      <x:c r="I2462" s="27" t="str">
        <x:v>SRC10; SRC22</x:v>
      </x:c>
      <x:c r="J2462" s="27" t="str">
        <x:v>Outgoing use and placement rationale.</x:v>
      </x:c>
    </x:row>
    <x:row r="2463">
      <x:c r="A2463" s="27" t="str">
        <x:v>E02459</x:v>
      </x:c>
      <x:c r="B2463" s="27" t="str">
        <x:v>S23-WRITE-02</x:v>
      </x:c>
      <x:c r="C2463" s="27" t="str">
        <x:v>Proposal, literature review, method, findings, and limitations</x:v>
      </x:c>
      <x:c r="D2463" s="27" t="str">
        <x:v>VERIFIED_BY</x:v>
      </x:c>
      <x:c r="E2463" s="27" t="str">
        <x:v>S23-WRITE-02:EVIDENCE</x:v>
      </x:c>
      <x:c r="F2463" s="27" t="str">
        <x:v>Submits an auditable project in which question, method, evidence, findings, and limits align.</x:v>
      </x:c>
      <x:c r="G2463" s="27" t="str">
        <x:v>S23</x:v>
      </x:c>
      <x:c r="H2463" s="27" t="str">
        <x:v>Writing &amp; Language</x:v>
      </x:c>
      <x:c r="I2463" s="27" t="str">
        <x:v>SRC10; SRC22</x:v>
      </x:c>
      <x:c r="J2463" s="27" t="str">
        <x:v>Observable evidence of usable learning.</x:v>
      </x:c>
    </x:row>
    <x:row r="2464">
      <x:c r="A2464" s="27" t="str">
        <x:v>E02460</x:v>
      </x:c>
      <x:c r="B2464" s="27" t="str">
        <x:v>S22-MATH-07</x:v>
      </x:c>
      <x:c r="C2464" s="27" t="str">
        <x:v>Previous node in domain progression</x:v>
      </x:c>
      <x:c r="D2464" s="27" t="str">
        <x:v>DOMAIN_SEQUENCE</x:v>
      </x:c>
      <x:c r="E2464" s="27" t="str">
        <x:v>S23-MATH-01</x:v>
      </x:c>
      <x:c r="F2464" s="27" t="str">
        <x:v>Complex number system and quadratic solutions</x:v>
      </x:c>
      <x:c r="G2464" s="27" t="str">
        <x:v>S23</x:v>
      </x:c>
      <x:c r="H2464" s="27" t="str">
        <x:v>Mathematics</x:v>
      </x:c>
      <x:c r="I2464" s="27" t="str">
        <x:v>SRC09</x:v>
      </x:c>
      <x:c r="J2464" s="27" t="str">
        <x:v>Ordered spiral link; consult explicit prerequisites for logical dependency.</x:v>
      </x:c>
    </x:row>
    <x:row r="2465">
      <x:c r="A2465" s="27" t="str">
        <x:v>E02461</x:v>
      </x:c>
      <x:c r="B2465" s="27" t="str">
        <x:v>S23-MATH-01:PREREQ</x:v>
      </x:c>
      <x:c r="C2465" s="27" t="str">
        <x:v>Algebra I quadratics, real-number structure, and exponent/root operations.</x:v>
      </x:c>
      <x:c r="D2465" s="27" t="str">
        <x:v>PREREQUISITE</x:v>
      </x:c>
      <x:c r="E2465" s="27" t="str">
        <x:v>S23-MATH-01</x:v>
      </x:c>
      <x:c r="F2465" s="27" t="str">
        <x:v>Complex number system and quadratic solutions</x:v>
      </x:c>
      <x:c r="G2465" s="27" t="str">
        <x:v>S23</x:v>
      </x:c>
      <x:c r="H2465" s="27" t="str">
        <x:v>Mathematics</x:v>
      </x:c>
      <x:c r="I2465" s="27" t="str">
        <x:v>SRC09</x:v>
      </x:c>
      <x:c r="J2465" s="27" t="str">
        <x:v>Incoming prerequisite relationship.</x:v>
      </x:c>
    </x:row>
    <x:row r="2466">
      <x:c r="A2466" s="27" t="str">
        <x:v>E02462</x:v>
      </x:c>
      <x:c r="B2466" s="27" t="str">
        <x:v>S23-MATH-01:GROUND</x:v>
      </x:c>
      <x:c r="C2466" s="27" t="str">
        <x:v>G6/G7 — Evidence-based formal system demonstrated through authentic transfer</x:v>
      </x:c>
      <x:c r="D2466" s="27" t="str">
        <x:v>GROUNDED_BY</x:v>
      </x:c>
      <x:c r="E2466" s="27" t="str">
        <x:v>S23-MATH-01</x:v>
      </x:c>
      <x:c r="F2466" s="27" t="str">
        <x:v>Complex number system and quadratic solutions</x:v>
      </x:c>
      <x:c r="G2466" s="27" t="str">
        <x:v>S23</x:v>
      </x:c>
      <x:c r="H2466" s="27" t="str">
        <x:v>Mathematics</x:v>
      </x:c>
      <x:c r="I2466" s="27" t="str">
        <x:v>SRC09</x:v>
      </x:c>
      <x:c r="J2466" s="27" t="str">
        <x:v>Grounding form used to preserve meaning.</x:v>
      </x:c>
    </x:row>
    <x:row r="2467">
      <x:c r="A2467" s="27" t="str">
        <x:v>E02463</x:v>
      </x:c>
      <x:c r="B2467" s="27" t="str">
        <x:v>S23-MATH-01</x:v>
      </x:c>
      <x:c r="C2467" s="27" t="str">
        <x:v>Complex number system and quadratic solutions</x:v>
      </x:c>
      <x:c r="D2467" s="27" t="str">
        <x:v>CONNECTS_TO</x:v>
      </x:c>
      <x:c r="E2467" s="27" t="str">
        <x:v>S23-MATH-01:CROSS</x:v>
      </x:c>
      <x:c r="F2467" s="27" t="str">
        <x:v>Physical quantity and spatial action; science measurement/models; computing/algorithms; finance; music rhythm/pattern; geographic data.</x:v>
      </x:c>
      <x:c r="G2467" s="27" t="str">
        <x:v>S23</x:v>
      </x:c>
      <x:c r="H2467" s="27" t="str">
        <x:v>Mathematics</x:v>
      </x:c>
      <x:c r="I2467" s="27" t="str">
        <x:v>SRC09</x:v>
      </x:c>
      <x:c r="J2467" s="27" t="str">
        <x:v>Parallel subject and representation links.</x:v>
      </x:c>
    </x:row>
    <x:row r="2468">
      <x:c r="A2468" s="27" t="str">
        <x:v>E02464</x:v>
      </x:c>
      <x:c r="B2468" s="27" t="str">
        <x:v>S23-MATH-01</x:v>
      </x:c>
      <x:c r="C2468" s="27" t="str">
        <x:v>Complex number system and quadratic solutions</x:v>
      </x:c>
      <x:c r="D2468" s="27" t="str">
        <x:v>UNLOCKS</x:v>
      </x:c>
      <x:c r="E2468" s="27" t="str">
        <x:v>S23-MATH-01:NEXT</x:v>
      </x:c>
      <x:c r="F2468" s="27" t="str">
        <x:v>Complex numbers make polynomial solution patterns algebraically complete and support advanced STEM.</x:v>
      </x:c>
      <x:c r="G2468" s="27" t="str">
        <x:v>S23</x:v>
      </x:c>
      <x:c r="H2468" s="27" t="str">
        <x:v>Mathematics</x:v>
      </x:c>
      <x:c r="I2468" s="27" t="str">
        <x:v>SRC09</x:v>
      </x:c>
      <x:c r="J2468" s="27" t="str">
        <x:v>Outgoing use and placement rationale.</x:v>
      </x:c>
    </x:row>
    <x:row r="2469">
      <x:c r="A2469" s="27" t="str">
        <x:v>E02465</x:v>
      </x:c>
      <x:c r="B2469" s="27" t="str">
        <x:v>S23-MATH-01</x:v>
      </x:c>
      <x:c r="C2469" s="27" t="str">
        <x:v>Complex number system and quadratic solutions</x:v>
      </x:c>
      <x:c r="D2469" s="27" t="str">
        <x:v>VERIFIED_BY</x:v>
      </x:c>
      <x:c r="E2469" s="27" t="str">
        <x:v>S23-MATH-01:EVIDENCE</x:v>
      </x:c>
      <x:c r="F2469" s="27" t="str">
        <x:v>Solves a quadratic with nonreal roots and verifies the solutions algebraically.</x:v>
      </x:c>
      <x:c r="G2469" s="27" t="str">
        <x:v>S23</x:v>
      </x:c>
      <x:c r="H2469" s="27" t="str">
        <x:v>Mathematics</x:v>
      </x:c>
      <x:c r="I2469" s="27" t="str">
        <x:v>SRC09</x:v>
      </x:c>
      <x:c r="J2469" s="27" t="str">
        <x:v>Observable evidence of usable learning.</x:v>
      </x:c>
    </x:row>
    <x:row r="2470">
      <x:c r="A2470" s="27" t="str">
        <x:v>E02466</x:v>
      </x:c>
      <x:c r="B2470" s="27" t="str">
        <x:v>S23-MATH-01</x:v>
      </x:c>
      <x:c r="C2470" s="27" t="str">
        <x:v>Previous node in domain progression</x:v>
      </x:c>
      <x:c r="D2470" s="27" t="str">
        <x:v>DOMAIN_SEQUENCE</x:v>
      </x:c>
      <x:c r="E2470" s="27" t="str">
        <x:v>S23-MATH-02</x:v>
      </x:c>
      <x:c r="F2470" s="27" t="str">
        <x:v>Zeros, factors, graphs, and identities</x:v>
      </x:c>
      <x:c r="G2470" s="27" t="str">
        <x:v>S23</x:v>
      </x:c>
      <x:c r="H2470" s="27" t="str">
        <x:v>Mathematics</x:v>
      </x:c>
      <x:c r="I2470" s="27" t="str">
        <x:v>SRC09</x:v>
      </x:c>
      <x:c r="J2470" s="27" t="str">
        <x:v>Ordered spiral link; consult explicit prerequisites for logical dependency.</x:v>
      </x:c>
    </x:row>
    <x:row r="2471">
      <x:c r="A2471" s="27" t="str">
        <x:v>E02467</x:v>
      </x:c>
      <x:c r="B2471" s="27" t="str">
        <x:v>S23-MATH-02:PREREQ</x:v>
      </x:c>
      <x:c r="C2471" s="27" t="str">
        <x:v>Algebra I polynomials/quadratics and function representations.</x:v>
      </x:c>
      <x:c r="D2471" s="27" t="str">
        <x:v>PREREQUISITE</x:v>
      </x:c>
      <x:c r="E2471" s="27" t="str">
        <x:v>S23-MATH-02</x:v>
      </x:c>
      <x:c r="F2471" s="27" t="str">
        <x:v>Zeros, factors, graphs, and identities</x:v>
      </x:c>
      <x:c r="G2471" s="27" t="str">
        <x:v>S23</x:v>
      </x:c>
      <x:c r="H2471" s="27" t="str">
        <x:v>Mathematics</x:v>
      </x:c>
      <x:c r="I2471" s="27" t="str">
        <x:v>SRC09</x:v>
      </x:c>
      <x:c r="J2471" s="27" t="str">
        <x:v>Incoming prerequisite relationship.</x:v>
      </x:c>
    </x:row>
    <x:row r="2472">
      <x:c r="A2472" s="27" t="str">
        <x:v>E02468</x:v>
      </x:c>
      <x:c r="B2472" s="27" t="str">
        <x:v>S23-MATH-02:GROUND</x:v>
      </x:c>
      <x:c r="C2472" s="27" t="str">
        <x:v>G6/G7 — Evidence-based formal system demonstrated through authentic transfer</x:v>
      </x:c>
      <x:c r="D2472" s="27" t="str">
        <x:v>GROUNDED_BY</x:v>
      </x:c>
      <x:c r="E2472" s="27" t="str">
        <x:v>S23-MATH-02</x:v>
      </x:c>
      <x:c r="F2472" s="27" t="str">
        <x:v>Zeros, factors, graphs, and identities</x:v>
      </x:c>
      <x:c r="G2472" s="27" t="str">
        <x:v>S23</x:v>
      </x:c>
      <x:c r="H2472" s="27" t="str">
        <x:v>Mathematics</x:v>
      </x:c>
      <x:c r="I2472" s="27" t="str">
        <x:v>SRC09</x:v>
      </x:c>
      <x:c r="J2472" s="27" t="str">
        <x:v>Grounding form used to preserve meaning.</x:v>
      </x:c>
    </x:row>
    <x:row r="2473">
      <x:c r="A2473" s="27" t="str">
        <x:v>E02469</x:v>
      </x:c>
      <x:c r="B2473" s="27" t="str">
        <x:v>S23-MATH-02</x:v>
      </x:c>
      <x:c r="C2473" s="27" t="str">
        <x:v>Zeros, factors, graphs, and identities</x:v>
      </x:c>
      <x:c r="D2473" s="27" t="str">
        <x:v>CONNECTS_TO</x:v>
      </x:c>
      <x:c r="E2473" s="27" t="str">
        <x:v>S23-MATH-02:CROSS</x:v>
      </x:c>
      <x:c r="F2473" s="27" t="str">
        <x:v>Physical quantity and spatial action; science measurement/models; computing/algorithms; finance; music rhythm/pattern; geographic data.</x:v>
      </x:c>
      <x:c r="G2473" s="27" t="str">
        <x:v>S23</x:v>
      </x:c>
      <x:c r="H2473" s="27" t="str">
        <x:v>Mathematics</x:v>
      </x:c>
      <x:c r="I2473" s="27" t="str">
        <x:v>SRC09</x:v>
      </x:c>
      <x:c r="J2473" s="27" t="str">
        <x:v>Parallel subject and representation links.</x:v>
      </x:c>
    </x:row>
    <x:row r="2474">
      <x:c r="A2474" s="27" t="str">
        <x:v>E02470</x:v>
      </x:c>
      <x:c r="B2474" s="27" t="str">
        <x:v>S23-MATH-02</x:v>
      </x:c>
      <x:c r="C2474" s="27" t="str">
        <x:v>Zeros, factors, graphs, and identities</x:v>
      </x:c>
      <x:c r="D2474" s="27" t="str">
        <x:v>UNLOCKS</x:v>
      </x:c>
      <x:c r="E2474" s="27" t="str">
        <x:v>S23-MATH-02:NEXT</x:v>
      </x:c>
      <x:c r="F2474" s="27" t="str">
        <x:v>Polynomial structure connects symbolic factors to graphical behavior and later series/calculus.</x:v>
      </x:c>
      <x:c r="G2474" s="27" t="str">
        <x:v>S23</x:v>
      </x:c>
      <x:c r="H2474" s="27" t="str">
        <x:v>Mathematics</x:v>
      </x:c>
      <x:c r="I2474" s="27" t="str">
        <x:v>SRC09</x:v>
      </x:c>
      <x:c r="J2474" s="27" t="str">
        <x:v>Outgoing use and placement rationale.</x:v>
      </x:c>
    </x:row>
    <x:row r="2475">
      <x:c r="A2475" s="27" t="str">
        <x:v>E02471</x:v>
      </x:c>
      <x:c r="B2475" s="27" t="str">
        <x:v>S23-MATH-02</x:v>
      </x:c>
      <x:c r="C2475" s="27" t="str">
        <x:v>Zeros, factors, graphs, and identities</x:v>
      </x:c>
      <x:c r="D2475" s="27" t="str">
        <x:v>VERIFIED_BY</x:v>
      </x:c>
      <x:c r="E2475" s="27" t="str">
        <x:v>S23-MATH-02:EVIDENCE</x:v>
      </x:c>
      <x:c r="F2475" s="27" t="str">
        <x:v>Builds or analyzes a polynomial from conditions and verifies features across forms.</x:v>
      </x:c>
      <x:c r="G2475" s="27" t="str">
        <x:v>S23</x:v>
      </x:c>
      <x:c r="H2475" s="27" t="str">
        <x:v>Mathematics</x:v>
      </x:c>
      <x:c r="I2475" s="27" t="str">
        <x:v>SRC09</x:v>
      </x:c>
      <x:c r="J2475" s="27" t="str">
        <x:v>Observable evidence of usable learning.</x:v>
      </x:c>
    </x:row>
    <x:row r="2476">
      <x:c r="A2476" s="27" t="str">
        <x:v>E02472</x:v>
      </x:c>
      <x:c r="B2476" s="27" t="str">
        <x:v>S23-MATH-02</x:v>
      </x:c>
      <x:c r="C2476" s="27" t="str">
        <x:v>Previous node in domain progression</x:v>
      </x:c>
      <x:c r="D2476" s="27" t="str">
        <x:v>DOMAIN_SEQUENCE</x:v>
      </x:c>
      <x:c r="E2476" s="27" t="str">
        <x:v>S23-MATH-03</x:v>
      </x:c>
      <x:c r="F2476" s="27" t="str">
        <x:v>Domains, transformations, equations, and extraneous solutions</x:v>
      </x:c>
      <x:c r="G2476" s="27" t="str">
        <x:v>S23</x:v>
      </x:c>
      <x:c r="H2476" s="27" t="str">
        <x:v>Mathematics</x:v>
      </x:c>
      <x:c r="I2476" s="27" t="str">
        <x:v>SRC09</x:v>
      </x:c>
      <x:c r="J2476" s="27" t="str">
        <x:v>Ordered spiral link; consult explicit prerequisites for logical dependency.</x:v>
      </x:c>
    </x:row>
    <x:row r="2477">
      <x:c r="A2477" s="27" t="str">
        <x:v>E02473</x:v>
      </x:c>
      <x:c r="B2477" s="27" t="str">
        <x:v>S23-MATH-03:PREREQ</x:v>
      </x:c>
      <x:c r="C2477" s="27" t="str">
        <x:v>Polynomial factoring, fractions, roots, and function notation.</x:v>
      </x:c>
      <x:c r="D2477" s="27" t="str">
        <x:v>PREREQUISITE</x:v>
      </x:c>
      <x:c r="E2477" s="27" t="str">
        <x:v>S23-MATH-03</x:v>
      </x:c>
      <x:c r="F2477" s="27" t="str">
        <x:v>Domains, transformations, equations, and extraneous solutions</x:v>
      </x:c>
      <x:c r="G2477" s="27" t="str">
        <x:v>S23</x:v>
      </x:c>
      <x:c r="H2477" s="27" t="str">
        <x:v>Mathematics</x:v>
      </x:c>
      <x:c r="I2477" s="27" t="str">
        <x:v>SRC09</x:v>
      </x:c>
      <x:c r="J2477" s="27" t="str">
        <x:v>Incoming prerequisite relationship.</x:v>
      </x:c>
    </x:row>
    <x:row r="2478">
      <x:c r="A2478" s="27" t="str">
        <x:v>E02474</x:v>
      </x:c>
      <x:c r="B2478" s="27" t="str">
        <x:v>S23-MATH-03:GROUND</x:v>
      </x:c>
      <x:c r="C2478" s="27" t="str">
        <x:v>G6/G7 — Evidence-based formal system demonstrated through authentic transfer</x:v>
      </x:c>
      <x:c r="D2478" s="27" t="str">
        <x:v>GROUNDED_BY</x:v>
      </x:c>
      <x:c r="E2478" s="27" t="str">
        <x:v>S23-MATH-03</x:v>
      </x:c>
      <x:c r="F2478" s="27" t="str">
        <x:v>Domains, transformations, equations, and extraneous solutions</x:v>
      </x:c>
      <x:c r="G2478" s="27" t="str">
        <x:v>S23</x:v>
      </x:c>
      <x:c r="H2478" s="27" t="str">
        <x:v>Mathematics</x:v>
      </x:c>
      <x:c r="I2478" s="27" t="str">
        <x:v>SRC09</x:v>
      </x:c>
      <x:c r="J2478" s="27" t="str">
        <x:v>Grounding form used to preserve meaning.</x:v>
      </x:c>
    </x:row>
    <x:row r="2479">
      <x:c r="A2479" s="27" t="str">
        <x:v>E02475</x:v>
      </x:c>
      <x:c r="B2479" s="27" t="str">
        <x:v>S23-MATH-03</x:v>
      </x:c>
      <x:c r="C2479" s="27" t="str">
        <x:v>Domains, transformations, equations, and extraneous solutions</x:v>
      </x:c>
      <x:c r="D2479" s="27" t="str">
        <x:v>CONNECTS_TO</x:v>
      </x:c>
      <x:c r="E2479" s="27" t="str">
        <x:v>S23-MATH-03:CROSS</x:v>
      </x:c>
      <x:c r="F2479" s="27" t="str">
        <x:v>Physical quantity and spatial action; science measurement/models; computing/algorithms; finance; music rhythm/pattern; geographic data.</x:v>
      </x:c>
      <x:c r="G2479" s="27" t="str">
        <x:v>S23</x:v>
      </x:c>
      <x:c r="H2479" s="27" t="str">
        <x:v>Mathematics</x:v>
      </x:c>
      <x:c r="I2479" s="27" t="str">
        <x:v>SRC09</x:v>
      </x:c>
      <x:c r="J2479" s="27" t="str">
        <x:v>Parallel subject and representation links.</x:v>
      </x:c>
    </x:row>
    <x:row r="2480">
      <x:c r="A2480" s="27" t="str">
        <x:v>E02476</x:v>
      </x:c>
      <x:c r="B2480" s="27" t="str">
        <x:v>S23-MATH-03</x:v>
      </x:c>
      <x:c r="C2480" s="27" t="str">
        <x:v>Domains, transformations, equations, and extraneous solutions</x:v>
      </x:c>
      <x:c r="D2480" s="27" t="str">
        <x:v>UNLOCKS</x:v>
      </x:c>
      <x:c r="E2480" s="27" t="str">
        <x:v>S23-MATH-03:NEXT</x:v>
      </x:c>
      <x:c r="F2480" s="27" t="str">
        <x:v>Restrictions and extraneous solutions make operation validity explicit.</x:v>
      </x:c>
      <x:c r="G2480" s="27" t="str">
        <x:v>S23</x:v>
      </x:c>
      <x:c r="H2480" s="27" t="str">
        <x:v>Mathematics</x:v>
      </x:c>
      <x:c r="I2480" s="27" t="str">
        <x:v>SRC09</x:v>
      </x:c>
      <x:c r="J2480" s="27" t="str">
        <x:v>Outgoing use and placement rationale.</x:v>
      </x:c>
    </x:row>
    <x:row r="2481">
      <x:c r="A2481" s="27" t="str">
        <x:v>E02477</x:v>
      </x:c>
      <x:c r="B2481" s="27" t="str">
        <x:v>S23-MATH-03</x:v>
      </x:c>
      <x:c r="C2481" s="27" t="str">
        <x:v>Domains, transformations, equations, and extraneous solutions</x:v>
      </x:c>
      <x:c r="D2481" s="27" t="str">
        <x:v>VERIFIED_BY</x:v>
      </x:c>
      <x:c r="E2481" s="27" t="str">
        <x:v>S23-MATH-03:EVIDENCE</x:v>
      </x:c>
      <x:c r="F2481" s="27" t="str">
        <x:v>Solves and graphs a rational/radical relationship with domain and solution checks.</x:v>
      </x:c>
      <x:c r="G2481" s="27" t="str">
        <x:v>S23</x:v>
      </x:c>
      <x:c r="H2481" s="27" t="str">
        <x:v>Mathematics</x:v>
      </x:c>
      <x:c r="I2481" s="27" t="str">
        <x:v>SRC09</x:v>
      </x:c>
      <x:c r="J2481" s="27" t="str">
        <x:v>Observable evidence of usable learning.</x:v>
      </x:c>
    </x:row>
    <x:row r="2482">
      <x:c r="A2482" s="27" t="str">
        <x:v>E02478</x:v>
      </x:c>
      <x:c r="B2482" s="27" t="str">
        <x:v>S23-MATH-03</x:v>
      </x:c>
      <x:c r="C2482" s="27" t="str">
        <x:v>Previous node in domain progression</x:v>
      </x:c>
      <x:c r="D2482" s="27" t="str">
        <x:v>DOMAIN_SEQUENCE</x:v>
      </x:c>
      <x:c r="E2482" s="27" t="str">
        <x:v>S23-MATH-04</x:v>
      </x:c>
      <x:c r="F2482" s="27" t="str">
        <x:v>Inverse functions, logarithms, and growth models</x:v>
      </x:c>
      <x:c r="G2482" s="27" t="str">
        <x:v>S23</x:v>
      </x:c>
      <x:c r="H2482" s="27" t="str">
        <x:v>Mathematics</x:v>
      </x:c>
      <x:c r="I2482" s="27" t="str">
        <x:v>SRC09</x:v>
      </x:c>
      <x:c r="J2482" s="27" t="str">
        <x:v>Ordered spiral link; consult explicit prerequisites for logical dependency.</x:v>
      </x:c>
    </x:row>
    <x:row r="2483">
      <x:c r="A2483" s="27" t="str">
        <x:v>E02479</x:v>
      </x:c>
      <x:c r="B2483" s="27" t="str">
        <x:v>S23-MATH-04:PREREQ</x:v>
      </x:c>
      <x:c r="C2483" s="27" t="str">
        <x:v>Algebra I exponentials, inverse-operation reasoning, and composition.</x:v>
      </x:c>
      <x:c r="D2483" s="27" t="str">
        <x:v>PREREQUISITE</x:v>
      </x:c>
      <x:c r="E2483" s="27" t="str">
        <x:v>S23-MATH-04</x:v>
      </x:c>
      <x:c r="F2483" s="27" t="str">
        <x:v>Inverse functions, logarithms, and growth models</x:v>
      </x:c>
      <x:c r="G2483" s="27" t="str">
        <x:v>S23</x:v>
      </x:c>
      <x:c r="H2483" s="27" t="str">
        <x:v>Mathematics</x:v>
      </x:c>
      <x:c r="I2483" s="27" t="str">
        <x:v>SRC09</x:v>
      </x:c>
      <x:c r="J2483" s="27" t="str">
        <x:v>Incoming prerequisite relationship.</x:v>
      </x:c>
    </x:row>
    <x:row r="2484">
      <x:c r="A2484" s="27" t="str">
        <x:v>E02480</x:v>
      </x:c>
      <x:c r="B2484" s="27" t="str">
        <x:v>S23-MATH-04:GROUND</x:v>
      </x:c>
      <x:c r="C2484" s="27" t="str">
        <x:v>G6/G7 — Evidence-based formal system demonstrated through authentic transfer</x:v>
      </x:c>
      <x:c r="D2484" s="27" t="str">
        <x:v>GROUNDED_BY</x:v>
      </x:c>
      <x:c r="E2484" s="27" t="str">
        <x:v>S23-MATH-04</x:v>
      </x:c>
      <x:c r="F2484" s="27" t="str">
        <x:v>Inverse functions, logarithms, and growth models</x:v>
      </x:c>
      <x:c r="G2484" s="27" t="str">
        <x:v>S23</x:v>
      </x:c>
      <x:c r="H2484" s="27" t="str">
        <x:v>Mathematics</x:v>
      </x:c>
      <x:c r="I2484" s="27" t="str">
        <x:v>SRC09</x:v>
      </x:c>
      <x:c r="J2484" s="27" t="str">
        <x:v>Grounding form used to preserve meaning.</x:v>
      </x:c>
    </x:row>
    <x:row r="2485">
      <x:c r="A2485" s="27" t="str">
        <x:v>E02481</x:v>
      </x:c>
      <x:c r="B2485" s="27" t="str">
        <x:v>S23-MATH-04</x:v>
      </x:c>
      <x:c r="C2485" s="27" t="str">
        <x:v>Inverse functions, logarithms, and growth models</x:v>
      </x:c>
      <x:c r="D2485" s="27" t="str">
        <x:v>CONNECTS_TO</x:v>
      </x:c>
      <x:c r="E2485" s="27" t="str">
        <x:v>S23-MATH-04:CROSS</x:v>
      </x:c>
      <x:c r="F2485" s="27" t="str">
        <x:v>Physical quantity and spatial action; science measurement/models; computing/algorithms; finance; music rhythm/pattern; geographic data.</x:v>
      </x:c>
      <x:c r="G2485" s="27" t="str">
        <x:v>S23</x:v>
      </x:c>
      <x:c r="H2485" s="27" t="str">
        <x:v>Mathematics</x:v>
      </x:c>
      <x:c r="I2485" s="27" t="str">
        <x:v>SRC09</x:v>
      </x:c>
      <x:c r="J2485" s="27" t="str">
        <x:v>Parallel subject and representation links.</x:v>
      </x:c>
    </x:row>
    <x:row r="2486">
      <x:c r="A2486" s="27" t="str">
        <x:v>E02482</x:v>
      </x:c>
      <x:c r="B2486" s="27" t="str">
        <x:v>S23-MATH-04</x:v>
      </x:c>
      <x:c r="C2486" s="27" t="str">
        <x:v>Inverse functions, logarithms, and growth models</x:v>
      </x:c>
      <x:c r="D2486" s="27" t="str">
        <x:v>UNLOCKS</x:v>
      </x:c>
      <x:c r="E2486" s="27" t="str">
        <x:v>S23-MATH-04:NEXT</x:v>
      </x:c>
      <x:c r="F2486" s="27" t="str">
        <x:v>Logarithms turn unknown exponents into solvable quantities and prepare calculus/scientific scales.</x:v>
      </x:c>
      <x:c r="G2486" s="27" t="str">
        <x:v>S23</x:v>
      </x:c>
      <x:c r="H2486" s="27" t="str">
        <x:v>Mathematics</x:v>
      </x:c>
      <x:c r="I2486" s="27" t="str">
        <x:v>SRC09</x:v>
      </x:c>
      <x:c r="J2486" s="27" t="str">
        <x:v>Outgoing use and placement rationale.</x:v>
      </x:c>
    </x:row>
    <x:row r="2487">
      <x:c r="A2487" s="27" t="str">
        <x:v>E02483</x:v>
      </x:c>
      <x:c r="B2487" s="27" t="str">
        <x:v>S23-MATH-04</x:v>
      </x:c>
      <x:c r="C2487" s="27" t="str">
        <x:v>Inverse functions, logarithms, and growth models</x:v>
      </x:c>
      <x:c r="D2487" s="27" t="str">
        <x:v>VERIFIED_BY</x:v>
      </x:c>
      <x:c r="E2487" s="27" t="str">
        <x:v>S23-MATH-04:EVIDENCE</x:v>
      </x:c>
      <x:c r="F2487" s="27" t="str">
        <x:v>Selects a model, solves for time/rate/value, and interprets parameters/limitations.</x:v>
      </x:c>
      <x:c r="G2487" s="27" t="str">
        <x:v>S23</x:v>
      </x:c>
      <x:c r="H2487" s="27" t="str">
        <x:v>Mathematics</x:v>
      </x:c>
      <x:c r="I2487" s="27" t="str">
        <x:v>SRC09</x:v>
      </x:c>
      <x:c r="J2487" s="27" t="str">
        <x:v>Observable evidence of usable learning.</x:v>
      </x:c>
    </x:row>
    <x:row r="2488">
      <x:c r="A2488" s="27" t="str">
        <x:v>E02484</x:v>
      </x:c>
      <x:c r="B2488" s="27" t="str">
        <x:v>S23-MATH-04</x:v>
      </x:c>
      <x:c r="C2488" s="27" t="str">
        <x:v>Previous node in domain progression</x:v>
      </x:c>
      <x:c r="D2488" s="27" t="str">
        <x:v>DOMAIN_SEQUENCE</x:v>
      </x:c>
      <x:c r="E2488" s="27" t="str">
        <x:v>S23-MATH-05</x:v>
      </x:c>
      <x:c r="F2488" s="27" t="str">
        <x:v>Arithmetic/geometric sequences and finite sums</x:v>
      </x:c>
      <x:c r="G2488" s="27" t="str">
        <x:v>S23</x:v>
      </x:c>
      <x:c r="H2488" s="27" t="str">
        <x:v>Mathematics</x:v>
      </x:c>
      <x:c r="I2488" s="27" t="str">
        <x:v>SRC09</x:v>
      </x:c>
      <x:c r="J2488" s="27" t="str">
        <x:v>Ordered spiral link; consult explicit prerequisites for logical dependency.</x:v>
      </x:c>
    </x:row>
    <x:row r="2489">
      <x:c r="A2489" s="27" t="str">
        <x:v>E02485</x:v>
      </x:c>
      <x:c r="B2489" s="27" t="str">
        <x:v>S23-MATH-05:PREREQ</x:v>
      </x:c>
      <x:c r="C2489" s="27" t="str">
        <x:v>Linear/exponential functions and pattern generalization.</x:v>
      </x:c>
      <x:c r="D2489" s="27" t="str">
        <x:v>PREREQUISITE</x:v>
      </x:c>
      <x:c r="E2489" s="27" t="str">
        <x:v>S23-MATH-05</x:v>
      </x:c>
      <x:c r="F2489" s="27" t="str">
        <x:v>Arithmetic/geometric sequences and finite sums</x:v>
      </x:c>
      <x:c r="G2489" s="27" t="str">
        <x:v>S23</x:v>
      </x:c>
      <x:c r="H2489" s="27" t="str">
        <x:v>Mathematics</x:v>
      </x:c>
      <x:c r="I2489" s="27" t="str">
        <x:v>SRC09</x:v>
      </x:c>
      <x:c r="J2489" s="27" t="str">
        <x:v>Incoming prerequisite relationship.</x:v>
      </x:c>
    </x:row>
    <x:row r="2490">
      <x:c r="A2490" s="27" t="str">
        <x:v>E02486</x:v>
      </x:c>
      <x:c r="B2490" s="27" t="str">
        <x:v>S23-MATH-05:GROUND</x:v>
      </x:c>
      <x:c r="C2490" s="27" t="str">
        <x:v>G6/G7 — Evidence-based formal system demonstrated through authentic transfer</x:v>
      </x:c>
      <x:c r="D2490" s="27" t="str">
        <x:v>GROUNDED_BY</x:v>
      </x:c>
      <x:c r="E2490" s="27" t="str">
        <x:v>S23-MATH-05</x:v>
      </x:c>
      <x:c r="F2490" s="27" t="str">
        <x:v>Arithmetic/geometric sequences and finite sums</x:v>
      </x:c>
      <x:c r="G2490" s="27" t="str">
        <x:v>S23</x:v>
      </x:c>
      <x:c r="H2490" s="27" t="str">
        <x:v>Mathematics</x:v>
      </x:c>
      <x:c r="I2490" s="27" t="str">
        <x:v>SRC09</x:v>
      </x:c>
      <x:c r="J2490" s="27" t="str">
        <x:v>Grounding form used to preserve meaning.</x:v>
      </x:c>
    </x:row>
    <x:row r="2491">
      <x:c r="A2491" s="27" t="str">
        <x:v>E02487</x:v>
      </x:c>
      <x:c r="B2491" s="27" t="str">
        <x:v>S23-MATH-05</x:v>
      </x:c>
      <x:c r="C2491" s="27" t="str">
        <x:v>Arithmetic/geometric sequences and finite sums</x:v>
      </x:c>
      <x:c r="D2491" s="27" t="str">
        <x:v>CONNECTS_TO</x:v>
      </x:c>
      <x:c r="E2491" s="27" t="str">
        <x:v>S23-MATH-05:CROSS</x:v>
      </x:c>
      <x:c r="F2491" s="27" t="str">
        <x:v>Physical quantity and spatial action; science measurement/models; computing/algorithms; finance; music rhythm/pattern; geographic data.</x:v>
      </x:c>
      <x:c r="G2491" s="27" t="str">
        <x:v>S23</x:v>
      </x:c>
      <x:c r="H2491" s="27" t="str">
        <x:v>Mathematics</x:v>
      </x:c>
      <x:c r="I2491" s="27" t="str">
        <x:v>SRC09</x:v>
      </x:c>
      <x:c r="J2491" s="27" t="str">
        <x:v>Parallel subject and representation links.</x:v>
      </x:c>
    </x:row>
    <x:row r="2492">
      <x:c r="A2492" s="27" t="str">
        <x:v>E02488</x:v>
      </x:c>
      <x:c r="B2492" s="27" t="str">
        <x:v>S23-MATH-05</x:v>
      </x:c>
      <x:c r="C2492" s="27" t="str">
        <x:v>Arithmetic/geometric sequences and finite sums</x:v>
      </x:c>
      <x:c r="D2492" s="27" t="str">
        <x:v>UNLOCKS</x:v>
      </x:c>
      <x:c r="E2492" s="27" t="str">
        <x:v>S23-MATH-05:NEXT</x:v>
      </x:c>
      <x:c r="F2492" s="27" t="str">
        <x:v>Sequences make discrete change explicit and prepare infinite series and finance models.</x:v>
      </x:c>
      <x:c r="G2492" s="27" t="str">
        <x:v>S23</x:v>
      </x:c>
      <x:c r="H2492" s="27" t="str">
        <x:v>Mathematics</x:v>
      </x:c>
      <x:c r="I2492" s="27" t="str">
        <x:v>SRC09</x:v>
      </x:c>
      <x:c r="J2492" s="27" t="str">
        <x:v>Outgoing use and placement rationale.</x:v>
      </x:c>
    </x:row>
    <x:row r="2493">
      <x:c r="A2493" s="27" t="str">
        <x:v>E02489</x:v>
      </x:c>
      <x:c r="B2493" s="27" t="str">
        <x:v>S23-MATH-05</x:v>
      </x:c>
      <x:c r="C2493" s="27" t="str">
        <x:v>Arithmetic/geometric sequences and finite sums</x:v>
      </x:c>
      <x:c r="D2493" s="27" t="str">
        <x:v>VERIFIED_BY</x:v>
      </x:c>
      <x:c r="E2493" s="27" t="str">
        <x:v>S23-MATH-05:EVIDENCE</x:v>
      </x:c>
      <x:c r="F2493" s="27" t="str">
        <x:v>Translates among recursive, explicit, tabular, and contextual forms and computes a sum.</x:v>
      </x:c>
      <x:c r="G2493" s="27" t="str">
        <x:v>S23</x:v>
      </x:c>
      <x:c r="H2493" s="27" t="str">
        <x:v>Mathematics</x:v>
      </x:c>
      <x:c r="I2493" s="27" t="str">
        <x:v>SRC09</x:v>
      </x:c>
      <x:c r="J2493" s="27" t="str">
        <x:v>Observable evidence of usable learning.</x:v>
      </x:c>
    </x:row>
    <x:row r="2494">
      <x:c r="A2494" s="27" t="str">
        <x:v>E02490</x:v>
      </x:c>
      <x:c r="B2494" s="27" t="str">
        <x:v>S23-MATH-05</x:v>
      </x:c>
      <x:c r="C2494" s="27" t="str">
        <x:v>Previous node in domain progression</x:v>
      </x:c>
      <x:c r="D2494" s="27" t="str">
        <x:v>DOMAIN_SEQUENCE</x:v>
      </x:c>
      <x:c r="E2494" s="27" t="str">
        <x:v>S23-MATH-06</x:v>
      </x:c>
      <x:c r="F2494" s="27" t="str">
        <x:v>Unit circle and periodic functions introduction</x:v>
      </x:c>
      <x:c r="G2494" s="27" t="str">
        <x:v>S23</x:v>
      </x:c>
      <x:c r="H2494" s="27" t="str">
        <x:v>Mathematics</x:v>
      </x:c>
      <x:c r="I2494" s="27" t="str">
        <x:v>SRC09</x:v>
      </x:c>
      <x:c r="J2494" s="27" t="str">
        <x:v>Ordered spiral link; consult explicit prerequisites for logical dependency.</x:v>
      </x:c>
    </x:row>
    <x:row r="2495">
      <x:c r="A2495" s="27" t="str">
        <x:v>E02491</x:v>
      </x:c>
      <x:c r="B2495" s="27" t="str">
        <x:v>S23-MATH-06:PREREQ</x:v>
      </x:c>
      <x:c r="C2495" s="27" t="str">
        <x:v>Geometry right-triangle trig/similarity, circle measure, and functions.</x:v>
      </x:c>
      <x:c r="D2495" s="27" t="str">
        <x:v>PREREQUISITE</x:v>
      </x:c>
      <x:c r="E2495" s="27" t="str">
        <x:v>S23-MATH-06</x:v>
      </x:c>
      <x:c r="F2495" s="27" t="str">
        <x:v>Unit circle and periodic functions introduction</x:v>
      </x:c>
      <x:c r="G2495" s="27" t="str">
        <x:v>S23</x:v>
      </x:c>
      <x:c r="H2495" s="27" t="str">
        <x:v>Mathematics</x:v>
      </x:c>
      <x:c r="I2495" s="27" t="str">
        <x:v>SRC09</x:v>
      </x:c>
      <x:c r="J2495" s="27" t="str">
        <x:v>Incoming prerequisite relationship.</x:v>
      </x:c>
    </x:row>
    <x:row r="2496">
      <x:c r="A2496" s="27" t="str">
        <x:v>E02492</x:v>
      </x:c>
      <x:c r="B2496" s="27" t="str">
        <x:v>S23-MATH-06:GROUND</x:v>
      </x:c>
      <x:c r="C2496" s="27" t="str">
        <x:v>G6/G7 — Evidence-based formal system demonstrated through authentic transfer</x:v>
      </x:c>
      <x:c r="D2496" s="27" t="str">
        <x:v>GROUNDED_BY</x:v>
      </x:c>
      <x:c r="E2496" s="27" t="str">
        <x:v>S23-MATH-06</x:v>
      </x:c>
      <x:c r="F2496" s="27" t="str">
        <x:v>Unit circle and periodic functions introduction</x:v>
      </x:c>
      <x:c r="G2496" s="27" t="str">
        <x:v>S23</x:v>
      </x:c>
      <x:c r="H2496" s="27" t="str">
        <x:v>Mathematics</x:v>
      </x:c>
      <x:c r="I2496" s="27" t="str">
        <x:v>SRC09</x:v>
      </x:c>
      <x:c r="J2496" s="27" t="str">
        <x:v>Grounding form used to preserve meaning.</x:v>
      </x:c>
    </x:row>
    <x:row r="2497">
      <x:c r="A2497" s="27" t="str">
        <x:v>E02493</x:v>
      </x:c>
      <x:c r="B2497" s="27" t="str">
        <x:v>S23-MATH-06</x:v>
      </x:c>
      <x:c r="C2497" s="27" t="str">
        <x:v>Unit circle and periodic functions introduction</x:v>
      </x:c>
      <x:c r="D2497" s="27" t="str">
        <x:v>CONNECTS_TO</x:v>
      </x:c>
      <x:c r="E2497" s="27" t="str">
        <x:v>S23-MATH-06:CROSS</x:v>
      </x:c>
      <x:c r="F2497" s="27" t="str">
        <x:v>Physical quantity and spatial action; science measurement/models; computing/algorithms; finance; music rhythm/pattern; geographic data.</x:v>
      </x:c>
      <x:c r="G2497" s="27" t="str">
        <x:v>S23</x:v>
      </x:c>
      <x:c r="H2497" s="27" t="str">
        <x:v>Mathematics</x:v>
      </x:c>
      <x:c r="I2497" s="27" t="str">
        <x:v>SRC09</x:v>
      </x:c>
      <x:c r="J2497" s="27" t="str">
        <x:v>Parallel subject and representation links.</x:v>
      </x:c>
    </x:row>
    <x:row r="2498">
      <x:c r="A2498" s="27" t="str">
        <x:v>E02494</x:v>
      </x:c>
      <x:c r="B2498" s="27" t="str">
        <x:v>S23-MATH-06</x:v>
      </x:c>
      <x:c r="C2498" s="27" t="str">
        <x:v>Unit circle and periodic functions introduction</x:v>
      </x:c>
      <x:c r="D2498" s="27" t="str">
        <x:v>UNLOCKS</x:v>
      </x:c>
      <x:c r="E2498" s="27" t="str">
        <x:v>S23-MATH-06:NEXT</x:v>
      </x:c>
      <x:c r="F2498" s="27" t="str">
        <x:v>Unit-circle definitions extend trigonometry to all angles and periodic modeling.</x:v>
      </x:c>
      <x:c r="G2498" s="27" t="str">
        <x:v>S23</x:v>
      </x:c>
      <x:c r="H2498" s="27" t="str">
        <x:v>Mathematics</x:v>
      </x:c>
      <x:c r="I2498" s="27" t="str">
        <x:v>SRC09</x:v>
      </x:c>
      <x:c r="J2498" s="27" t="str">
        <x:v>Outgoing use and placement rationale.</x:v>
      </x:c>
    </x:row>
    <x:row r="2499">
      <x:c r="A2499" s="27" t="str">
        <x:v>E02495</x:v>
      </x:c>
      <x:c r="B2499" s="27" t="str">
        <x:v>S23-MATH-06</x:v>
      </x:c>
      <x:c r="C2499" s="27" t="str">
        <x:v>Unit circle and periodic functions introduction</x:v>
      </x:c>
      <x:c r="D2499" s="27" t="str">
        <x:v>VERIFIED_BY</x:v>
      </x:c>
      <x:c r="E2499" s="27" t="str">
        <x:v>S23-MATH-06:EVIDENCE</x:v>
      </x:c>
      <x:c r="F2499" s="27" t="str">
        <x:v>Maps angle, coordinates, ratio, and graph and solves a periodic problem.</x:v>
      </x:c>
      <x:c r="G2499" s="27" t="str">
        <x:v>S23</x:v>
      </x:c>
      <x:c r="H2499" s="27" t="str">
        <x:v>Mathematics</x:v>
      </x:c>
      <x:c r="I2499" s="27" t="str">
        <x:v>SRC09</x:v>
      </x:c>
      <x:c r="J2499" s="27" t="str">
        <x:v>Observable evidence of usable learning.</x:v>
      </x:c>
    </x:row>
    <x:row r="2500">
      <x:c r="A2500" s="27" t="str">
        <x:v>E02496</x:v>
      </x:c>
      <x:c r="B2500" s="27" t="str">
        <x:v>S23-MATH-06</x:v>
      </x:c>
      <x:c r="C2500" s="27" t="str">
        <x:v>Previous node in domain progression</x:v>
      </x:c>
      <x:c r="D2500" s="27" t="str">
        <x:v>DOMAIN_SEQUENCE</x:v>
      </x:c>
      <x:c r="E2500" s="27" t="str">
        <x:v>S23-MATH-07</x:v>
      </x:c>
      <x:c r="F2500" s="27" t="str">
        <x:v>Inference and model comparison introduction</x:v>
      </x:c>
      <x:c r="G2500" s="27" t="str">
        <x:v>S23</x:v>
      </x:c>
      <x:c r="H2500" s="27" t="str">
        <x:v>Mathematics</x:v>
      </x:c>
      <x:c r="I2500" s="27" t="str">
        <x:v>SRC09</x:v>
      </x:c>
      <x:c r="J2500" s="27" t="str">
        <x:v>Ordered spiral link; consult explicit prerequisites for logical dependency.</x:v>
      </x:c>
    </x:row>
    <x:row r="2501">
      <x:c r="A2501" s="27" t="str">
        <x:v>E02497</x:v>
      </x:c>
      <x:c r="B2501" s="27" t="str">
        <x:v>S23-MATH-07:PREREQ</x:v>
      </x:c>
      <x:c r="C2501" s="27" t="str">
        <x:v>Grade 8 bivariate data, Geometry probability, and function models.</x:v>
      </x:c>
      <x:c r="D2501" s="27" t="str">
        <x:v>PREREQUISITE</x:v>
      </x:c>
      <x:c r="E2501" s="27" t="str">
        <x:v>S23-MATH-07</x:v>
      </x:c>
      <x:c r="F2501" s="27" t="str">
        <x:v>Inference and model comparison introduction</x:v>
      </x:c>
      <x:c r="G2501" s="27" t="str">
        <x:v>S23</x:v>
      </x:c>
      <x:c r="H2501" s="27" t="str">
        <x:v>Mathematics</x:v>
      </x:c>
      <x:c r="I2501" s="27" t="str">
        <x:v>SRC09</x:v>
      </x:c>
      <x:c r="J2501" s="27" t="str">
        <x:v>Incoming prerequisite relationship.</x:v>
      </x:c>
    </x:row>
    <x:row r="2502">
      <x:c r="A2502" s="27" t="str">
        <x:v>E02498</x:v>
      </x:c>
      <x:c r="B2502" s="27" t="str">
        <x:v>S23-MATH-07:GROUND</x:v>
      </x:c>
      <x:c r="C2502" s="27" t="str">
        <x:v>G6/G7 — Evidence-based formal system demonstrated through authentic transfer</x:v>
      </x:c>
      <x:c r="D2502" s="27" t="str">
        <x:v>GROUNDED_BY</x:v>
      </x:c>
      <x:c r="E2502" s="27" t="str">
        <x:v>S23-MATH-07</x:v>
      </x:c>
      <x:c r="F2502" s="27" t="str">
        <x:v>Inference and model comparison introduction</x:v>
      </x:c>
      <x:c r="G2502" s="27" t="str">
        <x:v>S23</x:v>
      </x:c>
      <x:c r="H2502" s="27" t="str">
        <x:v>Mathematics</x:v>
      </x:c>
      <x:c r="I2502" s="27" t="str">
        <x:v>SRC09</x:v>
      </x:c>
      <x:c r="J2502" s="27" t="str">
        <x:v>Grounding form used to preserve meaning.</x:v>
      </x:c>
    </x:row>
    <x:row r="2503">
      <x:c r="A2503" s="27" t="str">
        <x:v>E02499</x:v>
      </x:c>
      <x:c r="B2503" s="27" t="str">
        <x:v>S23-MATH-07</x:v>
      </x:c>
      <x:c r="C2503" s="27" t="str">
        <x:v>Inference and model comparison introduction</x:v>
      </x:c>
      <x:c r="D2503" s="27" t="str">
        <x:v>CONNECTS_TO</x:v>
      </x:c>
      <x:c r="E2503" s="27" t="str">
        <x:v>S23-MATH-07:CROSS</x:v>
      </x:c>
      <x:c r="F2503" s="27" t="str">
        <x:v>Physical quantity and spatial action; science measurement/models; computing/algorithms; finance; music rhythm/pattern; geographic data.</x:v>
      </x:c>
      <x:c r="G2503" s="27" t="str">
        <x:v>S23</x:v>
      </x:c>
      <x:c r="H2503" s="27" t="str">
        <x:v>Mathematics</x:v>
      </x:c>
      <x:c r="I2503" s="27" t="str">
        <x:v>SRC09</x:v>
      </x:c>
      <x:c r="J2503" s="27" t="str">
        <x:v>Parallel subject and representation links.</x:v>
      </x:c>
    </x:row>
    <x:row r="2504">
      <x:c r="A2504" s="27" t="str">
        <x:v>E02500</x:v>
      </x:c>
      <x:c r="B2504" s="27" t="str">
        <x:v>S23-MATH-07</x:v>
      </x:c>
      <x:c r="C2504" s="27" t="str">
        <x:v>Inference and model comparison introduction</x:v>
      </x:c>
      <x:c r="D2504" s="27" t="str">
        <x:v>UNLOCKS</x:v>
      </x:c>
      <x:c r="E2504" s="27" t="str">
        <x:v>S23-MATH-07:NEXT</x:v>
      </x:c>
      <x:c r="F2504" s="27" t="str">
        <x:v>Inference asks what sample data support about a broader process/population.</x:v>
      </x:c>
      <x:c r="G2504" s="27" t="str">
        <x:v>S23</x:v>
      </x:c>
      <x:c r="H2504" s="27" t="str">
        <x:v>Mathematics</x:v>
      </x:c>
      <x:c r="I2504" s="27" t="str">
        <x:v>SRC09</x:v>
      </x:c>
      <x:c r="J2504" s="27" t="str">
        <x:v>Outgoing use and placement rationale.</x:v>
      </x:c>
    </x:row>
    <x:row r="2505">
      <x:c r="A2505" s="27" t="str">
        <x:v>E02501</x:v>
      </x:c>
      <x:c r="B2505" s="27" t="str">
        <x:v>S23-MATH-07</x:v>
      </x:c>
      <x:c r="C2505" s="27" t="str">
        <x:v>Inference and model comparison introduction</x:v>
      </x:c>
      <x:c r="D2505" s="27" t="str">
        <x:v>VERIFIED_BY</x:v>
      </x:c>
      <x:c r="E2505" s="27" t="str">
        <x:v>S23-MATH-07:EVIDENCE</x:v>
      </x:c>
      <x:c r="F2505" s="27" t="str">
        <x:v>Evaluates a statistical claim using design, model, variability, and uncertainty evidence.</x:v>
      </x:c>
      <x:c r="G2505" s="27" t="str">
        <x:v>S23</x:v>
      </x:c>
      <x:c r="H2505" s="27" t="str">
        <x:v>Mathematics</x:v>
      </x:c>
      <x:c r="I2505" s="27" t="str">
        <x:v>SRC09</x:v>
      </x:c>
      <x:c r="J2505" s="27" t="str">
        <x:v>Observable evidence of usable learning.</x:v>
      </x:c>
    </x:row>
    <x:row r="2506">
      <x:c r="A2506" s="27" t="str">
        <x:v>E02502</x:v>
      </x:c>
      <x:c r="B2506" s="27" t="str">
        <x:v>S22-SCI-05</x:v>
      </x:c>
      <x:c r="C2506" s="27" t="str">
        <x:v>Previous node in domain progression</x:v>
      </x:c>
      <x:c r="D2506" s="27" t="str">
        <x:v>DOMAIN_SEQUENCE</x:v>
      </x:c>
      <x:c r="E2506" s="27" t="str">
        <x:v>S23-SCI-01</x:v>
      </x:c>
      <x:c r="F2506" s="27" t="str">
        <x:v>Kinematics in one and two dimensions</x:v>
      </x:c>
      <x:c r="G2506" s="27" t="str">
        <x:v>S23</x:v>
      </x:c>
      <x:c r="H2506" s="27" t="str">
        <x:v>Science &amp; Engineering</x:v>
      </x:c>
      <x:c r="I2506" s="27" t="str">
        <x:v>SRC11</x:v>
      </x:c>
      <x:c r="J2506" s="27" t="str">
        <x:v>Ordered spiral link; consult explicit prerequisites for logical dependency.</x:v>
      </x:c>
    </x:row>
    <x:row r="2507">
      <x:c r="A2507" s="27" t="str">
        <x:v>E02503</x:v>
      </x:c>
      <x:c r="B2507" s="27" t="str">
        <x:v>S23-SCI-01:PREREQ</x:v>
      </x:c>
      <x:c r="C2507" s="27" t="str">
        <x:v>Algebra II functions, geometry vectors/trig, and middle-school motion.</x:v>
      </x:c>
      <x:c r="D2507" s="27" t="str">
        <x:v>PREREQUISITE</x:v>
      </x:c>
      <x:c r="E2507" s="27" t="str">
        <x:v>S23-SCI-01</x:v>
      </x:c>
      <x:c r="F2507" s="27" t="str">
        <x:v>Kinematics in one and two dimensions</x:v>
      </x:c>
      <x:c r="G2507" s="27" t="str">
        <x:v>S23</x:v>
      </x:c>
      <x:c r="H2507" s="27" t="str">
        <x:v>Science &amp; Engineering</x:v>
      </x:c>
      <x:c r="I2507" s="27" t="str">
        <x:v>SRC11</x:v>
      </x:c>
      <x:c r="J2507" s="27" t="str">
        <x:v>Incoming prerequisite relationship.</x:v>
      </x:c>
    </x:row>
    <x:row r="2508">
      <x:c r="A2508" s="27" t="str">
        <x:v>E02504</x:v>
      </x:c>
      <x:c r="B2508" s="27" t="str">
        <x:v>S23-SCI-01:GROUND</x:v>
      </x:c>
      <x:c r="C2508" s="27" t="str">
        <x:v>G6/G7 — Evidence-based formal system demonstrated through authentic transfer</x:v>
      </x:c>
      <x:c r="D2508" s="27" t="str">
        <x:v>GROUNDED_BY</x:v>
      </x:c>
      <x:c r="E2508" s="27" t="str">
        <x:v>S23-SCI-01</x:v>
      </x:c>
      <x:c r="F2508" s="27" t="str">
        <x:v>Kinematics in one and two dimensions</x:v>
      </x:c>
      <x:c r="G2508" s="27" t="str">
        <x:v>S23</x:v>
      </x:c>
      <x:c r="H2508" s="27" t="str">
        <x:v>Science &amp; Engineering</x:v>
      </x:c>
      <x:c r="I2508" s="27" t="str">
        <x:v>SRC11</x:v>
      </x:c>
      <x:c r="J2508" s="27" t="str">
        <x:v>Grounding form used to preserve meaning.</x:v>
      </x:c>
    </x:row>
    <x:row r="2509">
      <x:c r="A2509" s="27" t="str">
        <x:v>E02505</x:v>
      </x:c>
      <x:c r="B2509" s="27" t="str">
        <x:v>S23-SCI-01</x:v>
      </x:c>
      <x:c r="C2509" s="27" t="str">
        <x:v>Kinematics in one and two dimensions</x:v>
      </x:c>
      <x:c r="D2509" s="27" t="str">
        <x:v>CONNECTS_TO</x:v>
      </x:c>
      <x:c r="E2509" s="27" t="str">
        <x:v>S23-SCI-01:CROSS</x:v>
      </x:c>
      <x:c r="F2509" s="27" t="str">
        <x:v>Sensory observation and action; mathematics/data; reading/writing evidence; computing/models; health and environmental/civic decisions.</x:v>
      </x:c>
      <x:c r="G2509" s="27" t="str">
        <x:v>S23</x:v>
      </x:c>
      <x:c r="H2509" s="27" t="str">
        <x:v>Science &amp; Engineering</x:v>
      </x:c>
      <x:c r="I2509" s="27" t="str">
        <x:v>SRC11</x:v>
      </x:c>
      <x:c r="J2509" s="27" t="str">
        <x:v>Parallel subject and representation links.</x:v>
      </x:c>
    </x:row>
    <x:row r="2510">
      <x:c r="A2510" s="27" t="str">
        <x:v>E02506</x:v>
      </x:c>
      <x:c r="B2510" s="27" t="str">
        <x:v>S23-SCI-01</x:v>
      </x:c>
      <x:c r="C2510" s="27" t="str">
        <x:v>Kinematics in one and two dimensions</x:v>
      </x:c>
      <x:c r="D2510" s="27" t="str">
        <x:v>UNLOCKS</x:v>
      </x:c>
      <x:c r="E2510" s="27" t="str">
        <x:v>S23-SCI-01:NEXT</x:v>
      </x:c>
      <x:c r="F2510" s="27" t="str">
        <x:v>Kinematics describes change before forces explain its cause.</x:v>
      </x:c>
      <x:c r="G2510" s="27" t="str">
        <x:v>S23</x:v>
      </x:c>
      <x:c r="H2510" s="27" t="str">
        <x:v>Science &amp; Engineering</x:v>
      </x:c>
      <x:c r="I2510" s="27" t="str">
        <x:v>SRC11</x:v>
      </x:c>
      <x:c r="J2510" s="27" t="str">
        <x:v>Outgoing use and placement rationale.</x:v>
      </x:c>
    </x:row>
    <x:row r="2511">
      <x:c r="A2511" s="27" t="str">
        <x:v>E02507</x:v>
      </x:c>
      <x:c r="B2511" s="27" t="str">
        <x:v>S23-SCI-01</x:v>
      </x:c>
      <x:c r="C2511" s="27" t="str">
        <x:v>Kinematics in one and two dimensions</x:v>
      </x:c>
      <x:c r="D2511" s="27" t="str">
        <x:v>VERIFIED_BY</x:v>
      </x:c>
      <x:c r="E2511" s="27" t="str">
        <x:v>S23-SCI-01:EVIDENCE</x:v>
      </x:c>
      <x:c r="F2511" s="27" t="str">
        <x:v>Translates a motion event across representations and checks equation/units/sign conventions.</x:v>
      </x:c>
      <x:c r="G2511" s="27" t="str">
        <x:v>S23</x:v>
      </x:c>
      <x:c r="H2511" s="27" t="str">
        <x:v>Science &amp; Engineering</x:v>
      </x:c>
      <x:c r="I2511" s="27" t="str">
        <x:v>SRC11</x:v>
      </x:c>
      <x:c r="J2511" s="27" t="str">
        <x:v>Observable evidence of usable learning.</x:v>
      </x:c>
    </x:row>
    <x:row r="2512">
      <x:c r="A2512" s="27" t="str">
        <x:v>E02508</x:v>
      </x:c>
      <x:c r="B2512" s="27" t="str">
        <x:v>S23-SCI-01</x:v>
      </x:c>
      <x:c r="C2512" s="27" t="str">
        <x:v>Previous node in domain progression</x:v>
      </x:c>
      <x:c r="D2512" s="27" t="str">
        <x:v>DOMAIN_SEQUENCE</x:v>
      </x:c>
      <x:c r="E2512" s="27" t="str">
        <x:v>S23-SCI-02</x:v>
      </x:c>
      <x:c r="F2512" s="27" t="str">
        <x:v>Newton’s laws, free-body models, and momentum</x:v>
      </x:c>
      <x:c r="G2512" s="27" t="str">
        <x:v>S23</x:v>
      </x:c>
      <x:c r="H2512" s="27" t="str">
        <x:v>Science &amp; Engineering</x:v>
      </x:c>
      <x:c r="I2512" s="27" t="str">
        <x:v>SRC11</x:v>
      </x:c>
      <x:c r="J2512" s="27" t="str">
        <x:v>Ordered spiral link; consult explicit prerequisites for logical dependency.</x:v>
      </x:c>
    </x:row>
    <x:row r="2513">
      <x:c r="A2513" s="27" t="str">
        <x:v>E02509</x:v>
      </x:c>
      <x:c r="B2513" s="27" t="str">
        <x:v>S23-SCI-02:PREREQ</x:v>
      </x:c>
      <x:c r="C2513" s="27" t="str">
        <x:v>Kinematics, vectors, systems of equations, and Grade 8 forces.</x:v>
      </x:c>
      <x:c r="D2513" s="27" t="str">
        <x:v>PREREQUISITE</x:v>
      </x:c>
      <x:c r="E2513" s="27" t="str">
        <x:v>S23-SCI-02</x:v>
      </x:c>
      <x:c r="F2513" s="27" t="str">
        <x:v>Newton’s laws, free-body models, and momentum</x:v>
      </x:c>
      <x:c r="G2513" s="27" t="str">
        <x:v>S23</x:v>
      </x:c>
      <x:c r="H2513" s="27" t="str">
        <x:v>Science &amp; Engineering</x:v>
      </x:c>
      <x:c r="I2513" s="27" t="str">
        <x:v>SRC11</x:v>
      </x:c>
      <x:c r="J2513" s="27" t="str">
        <x:v>Incoming prerequisite relationship.</x:v>
      </x:c>
    </x:row>
    <x:row r="2514">
      <x:c r="A2514" s="27" t="str">
        <x:v>E02510</x:v>
      </x:c>
      <x:c r="B2514" s="27" t="str">
        <x:v>S23-SCI-02:GROUND</x:v>
      </x:c>
      <x:c r="C2514" s="27" t="str">
        <x:v>G6/G7 — Evidence-based formal system demonstrated through authentic transfer</x:v>
      </x:c>
      <x:c r="D2514" s="27" t="str">
        <x:v>GROUNDED_BY</x:v>
      </x:c>
      <x:c r="E2514" s="27" t="str">
        <x:v>S23-SCI-02</x:v>
      </x:c>
      <x:c r="F2514" s="27" t="str">
        <x:v>Newton’s laws, free-body models, and momentum</x:v>
      </x:c>
      <x:c r="G2514" s="27" t="str">
        <x:v>S23</x:v>
      </x:c>
      <x:c r="H2514" s="27" t="str">
        <x:v>Science &amp; Engineering</x:v>
      </x:c>
      <x:c r="I2514" s="27" t="str">
        <x:v>SRC11</x:v>
      </x:c>
      <x:c r="J2514" s="27" t="str">
        <x:v>Grounding form used to preserve meaning.</x:v>
      </x:c>
    </x:row>
    <x:row r="2515">
      <x:c r="A2515" s="27" t="str">
        <x:v>E02511</x:v>
      </x:c>
      <x:c r="B2515" s="27" t="str">
        <x:v>S23-SCI-02</x:v>
      </x:c>
      <x:c r="C2515" s="27" t="str">
        <x:v>Newton’s laws, free-body models, and momentum</x:v>
      </x:c>
      <x:c r="D2515" s="27" t="str">
        <x:v>CONNECTS_TO</x:v>
      </x:c>
      <x:c r="E2515" s="27" t="str">
        <x:v>S23-SCI-02:CROSS</x:v>
      </x:c>
      <x:c r="F2515" s="27" t="str">
        <x:v>Sensory observation and action; mathematics/data; reading/writing evidence; computing/models; health and environmental/civic decisions.</x:v>
      </x:c>
      <x:c r="G2515" s="27" t="str">
        <x:v>S23</x:v>
      </x:c>
      <x:c r="H2515" s="27" t="str">
        <x:v>Science &amp; Engineering</x:v>
      </x:c>
      <x:c r="I2515" s="27" t="str">
        <x:v>SRC11</x:v>
      </x:c>
      <x:c r="J2515" s="27" t="str">
        <x:v>Parallel subject and representation links.</x:v>
      </x:c>
    </x:row>
    <x:row r="2516">
      <x:c r="A2516" s="27" t="str">
        <x:v>E02512</x:v>
      </x:c>
      <x:c r="B2516" s="27" t="str">
        <x:v>S23-SCI-02</x:v>
      </x:c>
      <x:c r="C2516" s="27" t="str">
        <x:v>Newton’s laws, free-body models, and momentum</x:v>
      </x:c>
      <x:c r="D2516" s="27" t="str">
        <x:v>UNLOCKS</x:v>
      </x:c>
      <x:c r="E2516" s="27" t="str">
        <x:v>S23-SCI-02:NEXT</x:v>
      </x:c>
      <x:c r="F2516" s="27" t="str">
        <x:v>Force and momentum models predict interaction outcomes across mechanical systems.</x:v>
      </x:c>
      <x:c r="G2516" s="27" t="str">
        <x:v>S23</x:v>
      </x:c>
      <x:c r="H2516" s="27" t="str">
        <x:v>Science &amp; Engineering</x:v>
      </x:c>
      <x:c r="I2516" s="27" t="str">
        <x:v>SRC11</x:v>
      </x:c>
      <x:c r="J2516" s="27" t="str">
        <x:v>Outgoing use and placement rationale.</x:v>
      </x:c>
    </x:row>
    <x:row r="2517">
      <x:c r="A2517" s="27" t="str">
        <x:v>E02513</x:v>
      </x:c>
      <x:c r="B2517" s="27" t="str">
        <x:v>S23-SCI-02</x:v>
      </x:c>
      <x:c r="C2517" s="27" t="str">
        <x:v>Newton’s laws, free-body models, and momentum</x:v>
      </x:c>
      <x:c r="D2517" s="27" t="str">
        <x:v>VERIFIED_BY</x:v>
      </x:c>
      <x:c r="E2517" s="27" t="str">
        <x:v>S23-SCI-02:EVIDENCE</x:v>
      </x:c>
      <x:c r="F2517" s="27" t="str">
        <x:v>Builds a free-body or momentum model, solves, and explains assumptions/system boundary.</x:v>
      </x:c>
      <x:c r="G2517" s="27" t="str">
        <x:v>S23</x:v>
      </x:c>
      <x:c r="H2517" s="27" t="str">
        <x:v>Science &amp; Engineering</x:v>
      </x:c>
      <x:c r="I2517" s="27" t="str">
        <x:v>SRC11</x:v>
      </x:c>
      <x:c r="J2517" s="27" t="str">
        <x:v>Observable evidence of usable learning.</x:v>
      </x:c>
    </x:row>
    <x:row r="2518">
      <x:c r="A2518" s="27" t="str">
        <x:v>E02514</x:v>
      </x:c>
      <x:c r="B2518" s="27" t="str">
        <x:v>S23-SCI-02</x:v>
      </x:c>
      <x:c r="C2518" s="27" t="str">
        <x:v>Previous node in domain progression</x:v>
      </x:c>
      <x:c r="D2518" s="27" t="str">
        <x:v>DOMAIN_SEQUENCE</x:v>
      </x:c>
      <x:c r="E2518" s="27" t="str">
        <x:v>S23-SCI-03</x:v>
      </x:c>
      <x:c r="F2518" s="27" t="str">
        <x:v>Work, energy, power, and conservation</x:v>
      </x:c>
      <x:c r="G2518" s="27" t="str">
        <x:v>S23</x:v>
      </x:c>
      <x:c r="H2518" s="27" t="str">
        <x:v>Science &amp; Engineering</x:v>
      </x:c>
      <x:c r="I2518" s="27" t="str">
        <x:v>SRC11</x:v>
      </x:c>
      <x:c r="J2518" s="27" t="str">
        <x:v>Ordered spiral link; consult explicit prerequisites for logical dependency.</x:v>
      </x:c>
    </x:row>
    <x:row r="2519">
      <x:c r="A2519" s="27" t="str">
        <x:v>E02515</x:v>
      </x:c>
      <x:c r="B2519" s="27" t="str">
        <x:v>S23-SCI-03:PREREQ</x:v>
      </x:c>
      <x:c r="C2519" s="27" t="str">
        <x:v>Algebraic functions, geometry, middle-school energy, and unit analysis.</x:v>
      </x:c>
      <x:c r="D2519" s="27" t="str">
        <x:v>PREREQUISITE</x:v>
      </x:c>
      <x:c r="E2519" s="27" t="str">
        <x:v>S23-SCI-03</x:v>
      </x:c>
      <x:c r="F2519" s="27" t="str">
        <x:v>Work, energy, power, and conservation</x:v>
      </x:c>
      <x:c r="G2519" s="27" t="str">
        <x:v>S23</x:v>
      </x:c>
      <x:c r="H2519" s="27" t="str">
        <x:v>Science &amp; Engineering</x:v>
      </x:c>
      <x:c r="I2519" s="27" t="str">
        <x:v>SRC11</x:v>
      </x:c>
      <x:c r="J2519" s="27" t="str">
        <x:v>Incoming prerequisite relationship.</x:v>
      </x:c>
    </x:row>
    <x:row r="2520">
      <x:c r="A2520" s="27" t="str">
        <x:v>E02516</x:v>
      </x:c>
      <x:c r="B2520" s="27" t="str">
        <x:v>S23-SCI-03:GROUND</x:v>
      </x:c>
      <x:c r="C2520" s="27" t="str">
        <x:v>G6/G7 — Evidence-based formal system demonstrated through authentic transfer</x:v>
      </x:c>
      <x:c r="D2520" s="27" t="str">
        <x:v>GROUNDED_BY</x:v>
      </x:c>
      <x:c r="E2520" s="27" t="str">
        <x:v>S23-SCI-03</x:v>
      </x:c>
      <x:c r="F2520" s="27" t="str">
        <x:v>Work, energy, power, and conservation</x:v>
      </x:c>
      <x:c r="G2520" s="27" t="str">
        <x:v>S23</x:v>
      </x:c>
      <x:c r="H2520" s="27" t="str">
        <x:v>Science &amp; Engineering</x:v>
      </x:c>
      <x:c r="I2520" s="27" t="str">
        <x:v>SRC11</x:v>
      </x:c>
      <x:c r="J2520" s="27" t="str">
        <x:v>Grounding form used to preserve meaning.</x:v>
      </x:c>
    </x:row>
    <x:row r="2521">
      <x:c r="A2521" s="27" t="str">
        <x:v>E02517</x:v>
      </x:c>
      <x:c r="B2521" s="27" t="str">
        <x:v>S23-SCI-03</x:v>
      </x:c>
      <x:c r="C2521" s="27" t="str">
        <x:v>Work, energy, power, and conservation</x:v>
      </x:c>
      <x:c r="D2521" s="27" t="str">
        <x:v>CONNECTS_TO</x:v>
      </x:c>
      <x:c r="E2521" s="27" t="str">
        <x:v>S23-SCI-03:CROSS</x:v>
      </x:c>
      <x:c r="F2521" s="27" t="str">
        <x:v>Sensory observation and action; mathematics/data; reading/writing evidence; computing/models; health and environmental/civic decisions.</x:v>
      </x:c>
      <x:c r="G2521" s="27" t="str">
        <x:v>S23</x:v>
      </x:c>
      <x:c r="H2521" s="27" t="str">
        <x:v>Science &amp; Engineering</x:v>
      </x:c>
      <x:c r="I2521" s="27" t="str">
        <x:v>SRC11</x:v>
      </x:c>
      <x:c r="J2521" s="27" t="str">
        <x:v>Parallel subject and representation links.</x:v>
      </x:c>
    </x:row>
    <x:row r="2522">
      <x:c r="A2522" s="27" t="str">
        <x:v>E02518</x:v>
      </x:c>
      <x:c r="B2522" s="27" t="str">
        <x:v>S23-SCI-03</x:v>
      </x:c>
      <x:c r="C2522" s="27" t="str">
        <x:v>Work, energy, power, and conservation</x:v>
      </x:c>
      <x:c r="D2522" s="27" t="str">
        <x:v>UNLOCKS</x:v>
      </x:c>
      <x:c r="E2522" s="27" t="str">
        <x:v>S23-SCI-03:NEXT</x:v>
      </x:c>
      <x:c r="F2522" s="27" t="str">
        <x:v>Energy offers a scalar system-wide alternative to force-by-force analysis.</x:v>
      </x:c>
      <x:c r="G2522" s="27" t="str">
        <x:v>S23</x:v>
      </x:c>
      <x:c r="H2522" s="27" t="str">
        <x:v>Science &amp; Engineering</x:v>
      </x:c>
      <x:c r="I2522" s="27" t="str">
        <x:v>SRC11</x:v>
      </x:c>
      <x:c r="J2522" s="27" t="str">
        <x:v>Outgoing use and placement rationale.</x:v>
      </x:c>
    </x:row>
    <x:row r="2523">
      <x:c r="A2523" s="27" t="str">
        <x:v>E02519</x:v>
      </x:c>
      <x:c r="B2523" s="27" t="str">
        <x:v>S23-SCI-03</x:v>
      </x:c>
      <x:c r="C2523" s="27" t="str">
        <x:v>Work, energy, power, and conservation</x:v>
      </x:c>
      <x:c r="D2523" s="27" t="str">
        <x:v>VERIFIED_BY</x:v>
      </x:c>
      <x:c r="E2523" s="27" t="str">
        <x:v>S23-SCI-03:EVIDENCE</x:v>
      </x:c>
      <x:c r="F2523" s="27" t="str">
        <x:v>Chooses force/momentum/energy reasoning appropriately and defends the system account.</x:v>
      </x:c>
      <x:c r="G2523" s="27" t="str">
        <x:v>S23</x:v>
      </x:c>
      <x:c r="H2523" s="27" t="str">
        <x:v>Science &amp; Engineering</x:v>
      </x:c>
      <x:c r="I2523" s="27" t="str">
        <x:v>SRC11</x:v>
      </x:c>
      <x:c r="J2523" s="27" t="str">
        <x:v>Observable evidence of usable learning.</x:v>
      </x:c>
    </x:row>
    <x:row r="2524">
      <x:c r="A2524" s="27" t="str">
        <x:v>E02520</x:v>
      </x:c>
      <x:c r="B2524" s="27" t="str">
        <x:v>S23-SCI-03</x:v>
      </x:c>
      <x:c r="C2524" s="27" t="str">
        <x:v>Previous node in domain progression</x:v>
      </x:c>
      <x:c r="D2524" s="27" t="str">
        <x:v>DOMAIN_SEQUENCE</x:v>
      </x:c>
      <x:c r="E2524" s="27" t="str">
        <x:v>S23-SCI-04</x:v>
      </x:c>
      <x:c r="F2524" s="27" t="str">
        <x:v>Waves, circuits, fields, and electromagnetism</x:v>
      </x:c>
      <x:c r="G2524" s="27" t="str">
        <x:v>S23</x:v>
      </x:c>
      <x:c r="H2524" s="27" t="str">
        <x:v>Science &amp; Engineering</x:v>
      </x:c>
      <x:c r="I2524" s="27" t="str">
        <x:v>SRC11</x:v>
      </x:c>
      <x:c r="J2524" s="27" t="str">
        <x:v>Ordered spiral link; consult explicit prerequisites for logical dependency.</x:v>
      </x:c>
    </x:row>
    <x:row r="2525">
      <x:c r="A2525" s="27" t="str">
        <x:v>E02521</x:v>
      </x:c>
      <x:c r="B2525" s="27" t="str">
        <x:v>S23-SCI-04:PREREQ</x:v>
      </x:c>
      <x:c r="C2525" s="27" t="str">
        <x:v>Grade 8 waves, Algebra II periodic functions, and systems models.</x:v>
      </x:c>
      <x:c r="D2525" s="27" t="str">
        <x:v>PREREQUISITE</x:v>
      </x:c>
      <x:c r="E2525" s="27" t="str">
        <x:v>S23-SCI-04</x:v>
      </x:c>
      <x:c r="F2525" s="27" t="str">
        <x:v>Waves, circuits, fields, and electromagnetism</x:v>
      </x:c>
      <x:c r="G2525" s="27" t="str">
        <x:v>S23</x:v>
      </x:c>
      <x:c r="H2525" s="27" t="str">
        <x:v>Science &amp; Engineering</x:v>
      </x:c>
      <x:c r="I2525" s="27" t="str">
        <x:v>SRC11</x:v>
      </x:c>
      <x:c r="J2525" s="27" t="str">
        <x:v>Incoming prerequisite relationship.</x:v>
      </x:c>
    </x:row>
    <x:row r="2526">
      <x:c r="A2526" s="27" t="str">
        <x:v>E02522</x:v>
      </x:c>
      <x:c r="B2526" s="27" t="str">
        <x:v>S23-SCI-04:GROUND</x:v>
      </x:c>
      <x:c r="C2526" s="27" t="str">
        <x:v>G6/G7 — Evidence-based formal system demonstrated through authentic transfer</x:v>
      </x:c>
      <x:c r="D2526" s="27" t="str">
        <x:v>GROUNDED_BY</x:v>
      </x:c>
      <x:c r="E2526" s="27" t="str">
        <x:v>S23-SCI-04</x:v>
      </x:c>
      <x:c r="F2526" s="27" t="str">
        <x:v>Waves, circuits, fields, and electromagnetism</x:v>
      </x:c>
      <x:c r="G2526" s="27" t="str">
        <x:v>S23</x:v>
      </x:c>
      <x:c r="H2526" s="27" t="str">
        <x:v>Science &amp; Engineering</x:v>
      </x:c>
      <x:c r="I2526" s="27" t="str">
        <x:v>SRC11</x:v>
      </x:c>
      <x:c r="J2526" s="27" t="str">
        <x:v>Grounding form used to preserve meaning.</x:v>
      </x:c>
    </x:row>
    <x:row r="2527">
      <x:c r="A2527" s="27" t="str">
        <x:v>E02523</x:v>
      </x:c>
      <x:c r="B2527" s="27" t="str">
        <x:v>S23-SCI-04</x:v>
      </x:c>
      <x:c r="C2527" s="27" t="str">
        <x:v>Waves, circuits, fields, and electromagnetism</x:v>
      </x:c>
      <x:c r="D2527" s="27" t="str">
        <x:v>CONNECTS_TO</x:v>
      </x:c>
      <x:c r="E2527" s="27" t="str">
        <x:v>S23-SCI-04:CROSS</x:v>
      </x:c>
      <x:c r="F2527" s="27" t="str">
        <x:v>Sensory observation and action; mathematics/data; reading/writing evidence; computing/models; health and environmental/civic decisions.</x:v>
      </x:c>
      <x:c r="G2527" s="27" t="str">
        <x:v>S23</x:v>
      </x:c>
      <x:c r="H2527" s="27" t="str">
        <x:v>Science &amp; Engineering</x:v>
      </x:c>
      <x:c r="I2527" s="27" t="str">
        <x:v>SRC11</x:v>
      </x:c>
      <x:c r="J2527" s="27" t="str">
        <x:v>Parallel subject and representation links.</x:v>
      </x:c>
    </x:row>
    <x:row r="2528">
      <x:c r="A2528" s="27" t="str">
        <x:v>E02524</x:v>
      </x:c>
      <x:c r="B2528" s="27" t="str">
        <x:v>S23-SCI-04</x:v>
      </x:c>
      <x:c r="C2528" s="27" t="str">
        <x:v>Waves, circuits, fields, and electromagnetism</x:v>
      </x:c>
      <x:c r="D2528" s="27" t="str">
        <x:v>UNLOCKS</x:v>
      </x:c>
      <x:c r="E2528" s="27" t="str">
        <x:v>S23-SCI-04:NEXT</x:v>
      </x:c>
      <x:c r="F2528" s="27" t="str">
        <x:v>Field and wave models extend physical explanation beyond direct contact.</x:v>
      </x:c>
      <x:c r="G2528" s="27" t="str">
        <x:v>S23</x:v>
      </x:c>
      <x:c r="H2528" s="27" t="str">
        <x:v>Science &amp; Engineering</x:v>
      </x:c>
      <x:c r="I2528" s="27" t="str">
        <x:v>SRC11</x:v>
      </x:c>
      <x:c r="J2528" s="27" t="str">
        <x:v>Outgoing use and placement rationale.</x:v>
      </x:c>
    </x:row>
    <x:row r="2529">
      <x:c r="A2529" s="27" t="str">
        <x:v>E02525</x:v>
      </x:c>
      <x:c r="B2529" s="27" t="str">
        <x:v>S23-SCI-04</x:v>
      </x:c>
      <x:c r="C2529" s="27" t="str">
        <x:v>Waves, circuits, fields, and electromagnetism</x:v>
      </x:c>
      <x:c r="D2529" s="27" t="str">
        <x:v>VERIFIED_BY</x:v>
      </x:c>
      <x:c r="E2529" s="27" t="str">
        <x:v>S23-SCI-04:EVIDENCE</x:v>
      </x:c>
      <x:c r="F2529" s="27" t="str">
        <x:v>Uses diagram/equation/data to explain a wave, circuit, or field phenomenon.</x:v>
      </x:c>
      <x:c r="G2529" s="27" t="str">
        <x:v>S23</x:v>
      </x:c>
      <x:c r="H2529" s="27" t="str">
        <x:v>Science &amp; Engineering</x:v>
      </x:c>
      <x:c r="I2529" s="27" t="str">
        <x:v>SRC11</x:v>
      </x:c>
      <x:c r="J2529" s="27" t="str">
        <x:v>Observable evidence of usable learning.</x:v>
      </x:c>
    </x:row>
    <x:row r="2530">
      <x:c r="A2530" s="27" t="str">
        <x:v>E02526</x:v>
      </x:c>
      <x:c r="B2530" s="27" t="str">
        <x:v>S23-SCI-04</x:v>
      </x:c>
      <x:c r="C2530" s="27" t="str">
        <x:v>Previous node in domain progression</x:v>
      </x:c>
      <x:c r="D2530" s="27" t="str">
        <x:v>DOMAIN_SEQUENCE</x:v>
      </x:c>
      <x:c r="E2530" s="27" t="str">
        <x:v>S23-SCI-05</x:v>
      </x:c>
      <x:c r="F2530" s="27" t="str">
        <x:v>Model testing and uncertainty</x:v>
      </x:c>
      <x:c r="G2530" s="27" t="str">
        <x:v>S23</x:v>
      </x:c>
      <x:c r="H2530" s="27" t="str">
        <x:v>Science &amp; Engineering</x:v>
      </x:c>
      <x:c r="I2530" s="27" t="str">
        <x:v>SRC11</x:v>
      </x:c>
      <x:c r="J2530" s="27" t="str">
        <x:v>Ordered spiral link; consult explicit prerequisites for logical dependency.</x:v>
      </x:c>
    </x:row>
    <x:row r="2531">
      <x:c r="A2531" s="27" t="str">
        <x:v>E02527</x:v>
      </x:c>
      <x:c r="B2531" s="27" t="str">
        <x:v>S23-SCI-05:PREREQ</x:v>
      </x:c>
      <x:c r="C2531" s="27" t="str">
        <x:v>Chemistry laboratory method, regression, and advanced research.</x:v>
      </x:c>
      <x:c r="D2531" s="27" t="str">
        <x:v>PREREQUISITE</x:v>
      </x:c>
      <x:c r="E2531" s="27" t="str">
        <x:v>S23-SCI-05</x:v>
      </x:c>
      <x:c r="F2531" s="27" t="str">
        <x:v>Model testing and uncertainty</x:v>
      </x:c>
      <x:c r="G2531" s="27" t="str">
        <x:v>S23</x:v>
      </x:c>
      <x:c r="H2531" s="27" t="str">
        <x:v>Science &amp; Engineering</x:v>
      </x:c>
      <x:c r="I2531" s="27" t="str">
        <x:v>SRC11</x:v>
      </x:c>
      <x:c r="J2531" s="27" t="str">
        <x:v>Incoming prerequisite relationship.</x:v>
      </x:c>
    </x:row>
    <x:row r="2532">
      <x:c r="A2532" s="27" t="str">
        <x:v>E02528</x:v>
      </x:c>
      <x:c r="B2532" s="27" t="str">
        <x:v>S23-SCI-05:GROUND</x:v>
      </x:c>
      <x:c r="C2532" s="27" t="str">
        <x:v>G6/G7 — Evidence-based formal system demonstrated through authentic transfer</x:v>
      </x:c>
      <x:c r="D2532" s="27" t="str">
        <x:v>GROUNDED_BY</x:v>
      </x:c>
      <x:c r="E2532" s="27" t="str">
        <x:v>S23-SCI-05</x:v>
      </x:c>
      <x:c r="F2532" s="27" t="str">
        <x:v>Model testing and uncertainty</x:v>
      </x:c>
      <x:c r="G2532" s="27" t="str">
        <x:v>S23</x:v>
      </x:c>
      <x:c r="H2532" s="27" t="str">
        <x:v>Science &amp; Engineering</x:v>
      </x:c>
      <x:c r="I2532" s="27" t="str">
        <x:v>SRC11</x:v>
      </x:c>
      <x:c r="J2532" s="27" t="str">
        <x:v>Grounding form used to preserve meaning.</x:v>
      </x:c>
    </x:row>
    <x:row r="2533">
      <x:c r="A2533" s="27" t="str">
        <x:v>E02529</x:v>
      </x:c>
      <x:c r="B2533" s="27" t="str">
        <x:v>S23-SCI-05</x:v>
      </x:c>
      <x:c r="C2533" s="27" t="str">
        <x:v>Model testing and uncertainty</x:v>
      </x:c>
      <x:c r="D2533" s="27" t="str">
        <x:v>CONNECTS_TO</x:v>
      </x:c>
      <x:c r="E2533" s="27" t="str">
        <x:v>S23-SCI-05:CROSS</x:v>
      </x:c>
      <x:c r="F2533" s="27" t="str">
        <x:v>Sensory observation and action; mathematics/data; reading/writing evidence; computing/models; health and environmental/civic decisions.</x:v>
      </x:c>
      <x:c r="G2533" s="27" t="str">
        <x:v>S23</x:v>
      </x:c>
      <x:c r="H2533" s="27" t="str">
        <x:v>Science &amp; Engineering</x:v>
      </x:c>
      <x:c r="I2533" s="27" t="str">
        <x:v>SRC11</x:v>
      </x:c>
      <x:c r="J2533" s="27" t="str">
        <x:v>Parallel subject and representation links.</x:v>
      </x:c>
    </x:row>
    <x:row r="2534">
      <x:c r="A2534" s="27" t="str">
        <x:v>E02530</x:v>
      </x:c>
      <x:c r="B2534" s="27" t="str">
        <x:v>S23-SCI-05</x:v>
      </x:c>
      <x:c r="C2534" s="27" t="str">
        <x:v>Model testing and uncertainty</x:v>
      </x:c>
      <x:c r="D2534" s="27" t="str">
        <x:v>UNLOCKS</x:v>
      </x:c>
      <x:c r="E2534" s="27" t="str">
        <x:v>S23-SCI-05:NEXT</x:v>
      </x:c>
      <x:c r="F2534" s="27" t="str">
        <x:v>Model-data comparison makes physics laws testable rather than merely formulaic.</x:v>
      </x:c>
      <x:c r="G2534" s="27" t="str">
        <x:v>S23</x:v>
      </x:c>
      <x:c r="H2534" s="27" t="str">
        <x:v>Science &amp; Engineering</x:v>
      </x:c>
      <x:c r="I2534" s="27" t="str">
        <x:v>SRC11</x:v>
      </x:c>
      <x:c r="J2534" s="27" t="str">
        <x:v>Outgoing use and placement rationale.</x:v>
      </x:c>
    </x:row>
    <x:row r="2535">
      <x:c r="A2535" s="27" t="str">
        <x:v>E02531</x:v>
      </x:c>
      <x:c r="B2535" s="27" t="str">
        <x:v>S23-SCI-05</x:v>
      </x:c>
      <x:c r="C2535" s="27" t="str">
        <x:v>Model testing and uncertainty</x:v>
      </x:c>
      <x:c r="D2535" s="27" t="str">
        <x:v>VERIFIED_BY</x:v>
      </x:c>
      <x:c r="E2535" s="27" t="str">
        <x:v>S23-SCI-05:EVIDENCE</x:v>
      </x:c>
      <x:c r="F2535" s="27" t="str">
        <x:v>Reports parameter estimates, uncertainty, residual/model mismatch, and a justified revision.</x:v>
      </x:c>
      <x:c r="G2535" s="27" t="str">
        <x:v>S23</x:v>
      </x:c>
      <x:c r="H2535" s="27" t="str">
        <x:v>Science &amp; Engineering</x:v>
      </x:c>
      <x:c r="I2535" s="27" t="str">
        <x:v>SRC11</x:v>
      </x:c>
      <x:c r="J2535" s="27" t="str">
        <x:v>Observable evidence of usable learning.</x:v>
      </x:c>
    </x:row>
    <x:row r="2536">
      <x:c r="A2536" s="27" t="str">
        <x:v>E02532</x:v>
      </x:c>
      <x:c r="B2536" s="27" t="str">
        <x:v>S22-SST-02</x:v>
      </x:c>
      <x:c r="C2536" s="27" t="str">
        <x:v>Previous node in domain progression</x:v>
      </x:c>
      <x:c r="D2536" s="27" t="str">
        <x:v>DOMAIN_SEQUENCE</x:v>
      </x:c>
      <x:c r="E2536" s="27" t="str">
        <x:v>S23-SST-01</x:v>
      </x:c>
      <x:c r="F2536" s="27" t="str">
        <x:v>Founding through contemporary change</x:v>
      </x:c>
      <x:c r="G2536" s="27" t="str">
        <x:v>S23</x:v>
      </x:c>
      <x:c r="H2536" s="27" t="str">
        <x:v>Social Studies</x:v>
      </x:c>
      <x:c r="I2536" s="27" t="str">
        <x:v>SRC12; SRC24</x:v>
      </x:c>
      <x:c r="J2536" s="27" t="str">
        <x:v>Ordered spiral link; consult explicit prerequisites for logical dependency.</x:v>
      </x:c>
    </x:row>
    <x:row r="2537">
      <x:c r="A2537" s="27" t="str">
        <x:v>E02533</x:v>
      </x:c>
      <x:c r="B2537" s="27" t="str">
        <x:v>S23-SST-01:PREREQ</x:v>
      </x:c>
      <x:c r="C2537" s="27" t="str">
        <x:v>Grade 10 world-history context, constitutional civics, and source methods.</x:v>
      </x:c>
      <x:c r="D2537" s="27" t="str">
        <x:v>PREREQUISITE</x:v>
      </x:c>
      <x:c r="E2537" s="27" t="str">
        <x:v>S23-SST-01</x:v>
      </x:c>
      <x:c r="F2537" s="27" t="str">
        <x:v>Founding through contemporary change</x:v>
      </x:c>
      <x:c r="G2537" s="27" t="str">
        <x:v>S23</x:v>
      </x:c>
      <x:c r="H2537" s="27" t="str">
        <x:v>Social Studies</x:v>
      </x:c>
      <x:c r="I2537" s="27" t="str">
        <x:v>SRC12; SRC24</x:v>
      </x:c>
      <x:c r="J2537" s="27" t="str">
        <x:v>Incoming prerequisite relationship.</x:v>
      </x:c>
    </x:row>
    <x:row r="2538">
      <x:c r="A2538" s="27" t="str">
        <x:v>E02534</x:v>
      </x:c>
      <x:c r="B2538" s="27" t="str">
        <x:v>S23-SST-01:GROUND</x:v>
      </x:c>
      <x:c r="C2538" s="27" t="str">
        <x:v>G6/G7 — Evidence-based formal system demonstrated through authentic transfer</x:v>
      </x:c>
      <x:c r="D2538" s="27" t="str">
        <x:v>GROUNDED_BY</x:v>
      </x:c>
      <x:c r="E2538" s="27" t="str">
        <x:v>S23-SST-01</x:v>
      </x:c>
      <x:c r="F2538" s="27" t="str">
        <x:v>Founding through contemporary change</x:v>
      </x:c>
      <x:c r="G2538" s="27" t="str">
        <x:v>S23</x:v>
      </x:c>
      <x:c r="H2538" s="27" t="str">
        <x:v>Social Studies</x:v>
      </x:c>
      <x:c r="I2538" s="27" t="str">
        <x:v>SRC12; SRC24</x:v>
      </x:c>
      <x:c r="J2538" s="27" t="str">
        <x:v>Grounding form used to preserve meaning.</x:v>
      </x:c>
    </x:row>
    <x:row r="2539">
      <x:c r="A2539" s="27" t="str">
        <x:v>E02535</x:v>
      </x:c>
      <x:c r="B2539" s="27" t="str">
        <x:v>S23-SST-01</x:v>
      </x:c>
      <x:c r="C2539" s="27" t="str">
        <x:v>Founding through contemporary change</x:v>
      </x:c>
      <x:c r="D2539" s="27" t="str">
        <x:v>CONNECTS_TO</x:v>
      </x:c>
      <x:c r="E2539" s="27" t="str">
        <x:v>S23-SST-01:CROSS</x:v>
      </x:c>
      <x:c r="F2539" s="27" t="str">
        <x:v>Language/literacy and source evidence; maps/data/economics; ethics/SEL; media literacy; arts/culture; civic action.</x:v>
      </x:c>
      <x:c r="G2539" s="27" t="str">
        <x:v>S23</x:v>
      </x:c>
      <x:c r="H2539" s="27" t="str">
        <x:v>Social Studies</x:v>
      </x:c>
      <x:c r="I2539" s="27" t="str">
        <x:v>SRC12; SRC24</x:v>
      </x:c>
      <x:c r="J2539" s="27" t="str">
        <x:v>Parallel subject and representation links.</x:v>
      </x:c>
    </x:row>
    <x:row r="2540">
      <x:c r="A2540" s="27" t="str">
        <x:v>E02536</x:v>
      </x:c>
      <x:c r="B2540" s="27" t="str">
        <x:v>S23-SST-01</x:v>
      </x:c>
      <x:c r="C2540" s="27" t="str">
        <x:v>Founding through contemporary change</x:v>
      </x:c>
      <x:c r="D2540" s="27" t="str">
        <x:v>UNLOCKS</x:v>
      </x:c>
      <x:c r="E2540" s="27" t="str">
        <x:v>S23-SST-01:NEXT</x:v>
      </x:c>
      <x:c r="F2540" s="27" t="str">
        <x:v>Long national chronology connects institutions and recurring conflicts to present structures.</x:v>
      </x:c>
      <x:c r="G2540" s="27" t="str">
        <x:v>S23</x:v>
      </x:c>
      <x:c r="H2540" s="27" t="str">
        <x:v>Social Studies</x:v>
      </x:c>
      <x:c r="I2540" s="27" t="str">
        <x:v>SRC12; SRC24</x:v>
      </x:c>
      <x:c r="J2540" s="27" t="str">
        <x:v>Outgoing use and placement rationale.</x:v>
      </x:c>
    </x:row>
    <x:row r="2541">
      <x:c r="A2541" s="27" t="str">
        <x:v>E02537</x:v>
      </x:c>
      <x:c r="B2541" s="27" t="str">
        <x:v>S23-SST-01</x:v>
      </x:c>
      <x:c r="C2541" s="27" t="str">
        <x:v>Founding through contemporary change</x:v>
      </x:c>
      <x:c r="D2541" s="27" t="str">
        <x:v>VERIFIED_BY</x:v>
      </x:c>
      <x:c r="E2541" s="27" t="str">
        <x:v>S23-SST-01:EVIDENCE</x:v>
      </x:c>
      <x:c r="F2541" s="27" t="str">
        <x:v>Builds a periodized argument tracing continuity/change through corroborated diverse sources.</x:v>
      </x:c>
      <x:c r="G2541" s="27" t="str">
        <x:v>S23</x:v>
      </x:c>
      <x:c r="H2541" s="27" t="str">
        <x:v>Social Studies</x:v>
      </x:c>
      <x:c r="I2541" s="27" t="str">
        <x:v>SRC12; SRC24</x:v>
      </x:c>
      <x:c r="J2541" s="27" t="str">
        <x:v>Observable evidence of usable learning.</x:v>
      </x:c>
    </x:row>
    <x:row r="2542">
      <x:c r="A2542" s="27" t="str">
        <x:v>E02538</x:v>
      </x:c>
      <x:c r="B2542" s="27" t="str">
        <x:v>S23-SST-01</x:v>
      </x:c>
      <x:c r="C2542" s="27" t="str">
        <x:v>Previous node in domain progression</x:v>
      </x:c>
      <x:c r="D2542" s="27" t="str">
        <x:v>DOMAIN_SEQUENCE</x:v>
      </x:c>
      <x:c r="E2542" s="27" t="str">
        <x:v>S23-SST-02</x:v>
      </x:c>
      <x:c r="F2542" s="27" t="str">
        <x:v>Periodization, contingency, memory, and public history</x:v>
      </x:c>
      <x:c r="G2542" s="27" t="str">
        <x:v>S23</x:v>
      </x:c>
      <x:c r="H2542" s="27" t="str">
        <x:v>Social Studies</x:v>
      </x:c>
      <x:c r="I2542" s="27" t="str">
        <x:v>SRC12; SRC20</x:v>
      </x:c>
      <x:c r="J2542" s="27" t="str">
        <x:v>Ordered spiral link; consult explicit prerequisites for logical dependency.</x:v>
      </x:c>
    </x:row>
    <x:row r="2543">
      <x:c r="A2543" s="27" t="str">
        <x:v>E02539</x:v>
      </x:c>
      <x:c r="B2543" s="27" t="str">
        <x:v>S23-SST-02:PREREQ</x:v>
      </x:c>
      <x:c r="C2543" s="27" t="str">
        <x:v>Source silence/contextualization, advanced argument, and media systems.</x:v>
      </x:c>
      <x:c r="D2543" s="27" t="str">
        <x:v>PREREQUISITE</x:v>
      </x:c>
      <x:c r="E2543" s="27" t="str">
        <x:v>S23-SST-02</x:v>
      </x:c>
      <x:c r="F2543" s="27" t="str">
        <x:v>Periodization, contingency, memory, and public history</x:v>
      </x:c>
      <x:c r="G2543" s="27" t="str">
        <x:v>S23</x:v>
      </x:c>
      <x:c r="H2543" s="27" t="str">
        <x:v>Social Studies</x:v>
      </x:c>
      <x:c r="I2543" s="27" t="str">
        <x:v>SRC12; SRC20</x:v>
      </x:c>
      <x:c r="J2543" s="27" t="str">
        <x:v>Incoming prerequisite relationship.</x:v>
      </x:c>
    </x:row>
    <x:row r="2544">
      <x:c r="A2544" s="27" t="str">
        <x:v>E02540</x:v>
      </x:c>
      <x:c r="B2544" s="27" t="str">
        <x:v>S23-SST-02:GROUND</x:v>
      </x:c>
      <x:c r="C2544" s="27" t="str">
        <x:v>G6/G7 — Evidence-based formal system demonstrated through authentic transfer</x:v>
      </x:c>
      <x:c r="D2544" s="27" t="str">
        <x:v>GROUNDED_BY</x:v>
      </x:c>
      <x:c r="E2544" s="27" t="str">
        <x:v>S23-SST-02</x:v>
      </x:c>
      <x:c r="F2544" s="27" t="str">
        <x:v>Periodization, contingency, memory, and public history</x:v>
      </x:c>
      <x:c r="G2544" s="27" t="str">
        <x:v>S23</x:v>
      </x:c>
      <x:c r="H2544" s="27" t="str">
        <x:v>Social Studies</x:v>
      </x:c>
      <x:c r="I2544" s="27" t="str">
        <x:v>SRC12; SRC20</x:v>
      </x:c>
      <x:c r="J2544" s="27" t="str">
        <x:v>Grounding form used to preserve meaning.</x:v>
      </x:c>
    </x:row>
    <x:row r="2545">
      <x:c r="A2545" s="27" t="str">
        <x:v>E02541</x:v>
      </x:c>
      <x:c r="B2545" s="27" t="str">
        <x:v>S23-SST-02</x:v>
      </x:c>
      <x:c r="C2545" s="27" t="str">
        <x:v>Periodization, contingency, memory, and public history</x:v>
      </x:c>
      <x:c r="D2545" s="27" t="str">
        <x:v>CONNECTS_TO</x:v>
      </x:c>
      <x:c r="E2545" s="27" t="str">
        <x:v>S23-SST-02:CROSS</x:v>
      </x:c>
      <x:c r="F2545" s="27" t="str">
        <x:v>Language/literacy and source evidence; maps/data/economics; ethics/SEL; media literacy; arts/culture; civic action.</x:v>
      </x:c>
      <x:c r="G2545" s="27" t="str">
        <x:v>S23</x:v>
      </x:c>
      <x:c r="H2545" s="27" t="str">
        <x:v>Social Studies</x:v>
      </x:c>
      <x:c r="I2545" s="27" t="str">
        <x:v>SRC12; SRC20</x:v>
      </x:c>
      <x:c r="J2545" s="27" t="str">
        <x:v>Parallel subject and representation links.</x:v>
      </x:c>
    </x:row>
    <x:row r="2546">
      <x:c r="A2546" s="27" t="str">
        <x:v>E02542</x:v>
      </x:c>
      <x:c r="B2546" s="27" t="str">
        <x:v>S23-SST-02</x:v>
      </x:c>
      <x:c r="C2546" s="27" t="str">
        <x:v>Periodization, contingency, memory, and public history</x:v>
      </x:c>
      <x:c r="D2546" s="27" t="str">
        <x:v>UNLOCKS</x:v>
      </x:c>
      <x:c r="E2546" s="27" t="str">
        <x:v>S23-SST-02:NEXT</x:v>
      </x:c>
      <x:c r="F2546" s="27" t="str">
        <x:v>Historical narratives are themselves evidence-based constructions with civic effects.</x:v>
      </x:c>
      <x:c r="G2546" s="27" t="str">
        <x:v>S23</x:v>
      </x:c>
      <x:c r="H2546" s="27" t="str">
        <x:v>Social Studies</x:v>
      </x:c>
      <x:c r="I2546" s="27" t="str">
        <x:v>SRC12; SRC20</x:v>
      </x:c>
      <x:c r="J2546" s="27" t="str">
        <x:v>Outgoing use and placement rationale.</x:v>
      </x:c>
    </x:row>
    <x:row r="2547">
      <x:c r="A2547" s="27" t="str">
        <x:v>E02543</x:v>
      </x:c>
      <x:c r="B2547" s="27" t="str">
        <x:v>S23-SST-02</x:v>
      </x:c>
      <x:c r="C2547" s="27" t="str">
        <x:v>Periodization, contingency, memory, and public history</x:v>
      </x:c>
      <x:c r="D2547" s="27" t="str">
        <x:v>VERIFIED_BY</x:v>
      </x:c>
      <x:c r="E2547" s="27" t="str">
        <x:v>S23-SST-02:EVIDENCE</x:v>
      </x:c>
      <x:c r="F2547" s="27" t="str">
        <x:v>Compares two periodizations/public accounts and explains evidence, purpose, omissions, and consequences.</x:v>
      </x:c>
      <x:c r="G2547" s="27" t="str">
        <x:v>S23</x:v>
      </x:c>
      <x:c r="H2547" s="27" t="str">
        <x:v>Social Studies</x:v>
      </x:c>
      <x:c r="I2547" s="27" t="str">
        <x:v>SRC12; SRC20</x:v>
      </x:c>
      <x:c r="J2547" s="27" t="str">
        <x:v>Observable evidence of usable learning.</x:v>
      </x:c>
    </x:row>
    <x:row r="2548">
      <x:c r="A2548" s="27" t="str">
        <x:v>E02544</x:v>
      </x:c>
      <x:c r="B2548" s="27" t="str">
        <x:v>S22-ARTS-01</x:v>
      </x:c>
      <x:c r="C2548" s="27" t="str">
        <x:v>Previous node in domain progression</x:v>
      </x:c>
      <x:c r="D2548" s="27" t="str">
        <x:v>DOMAIN_SEQUENCE</x:v>
      </x:c>
      <x:c r="E2548" s="27" t="str">
        <x:v>S23-ARTS-01</x:v>
      </x:c>
      <x:c r="F2548" s="27" t="str">
        <x:v>Accomplished portfolio, ensemble, theory, or production</x:v>
      </x:c>
      <x:c r="G2548" s="27" t="str">
        <x:v>S23</x:v>
      </x:c>
      <x:c r="H2548" s="27" t="str">
        <x:v>Music &amp; Arts</x:v>
      </x:c>
      <x:c r="I2548" s="27" t="str">
        <x:v>SRC13</x:v>
      </x:c>
      <x:c r="J2548" s="27" t="str">
        <x:v>Ordered spiral link; consult explicit prerequisites for logical dependency.</x:v>
      </x:c>
    </x:row>
    <x:row r="2549">
      <x:c r="A2549" s="27" t="str">
        <x:v>E02545</x:v>
      </x:c>
      <x:c r="B2549" s="27" t="str">
        <x:v>S23-ARTS-01:PREREQ</x:v>
      </x:c>
      <x:c r="C2549" s="27" t="str">
        <x:v>Grade 10 specialization and deliberate practice.</x:v>
      </x:c>
      <x:c r="D2549" s="27" t="str">
        <x:v>PREREQUISITE</x:v>
      </x:c>
      <x:c r="E2549" s="27" t="str">
        <x:v>S23-ARTS-01</x:v>
      </x:c>
      <x:c r="F2549" s="27" t="str">
        <x:v>Accomplished portfolio, ensemble, theory, or production</x:v>
      </x:c>
      <x:c r="G2549" s="27" t="str">
        <x:v>S23</x:v>
      </x:c>
      <x:c r="H2549" s="27" t="str">
        <x:v>Music &amp; Arts</x:v>
      </x:c>
      <x:c r="I2549" s="27" t="str">
        <x:v>SRC13</x:v>
      </x:c>
      <x:c r="J2549" s="27" t="str">
        <x:v>Incoming prerequisite relationship.</x:v>
      </x:c>
    </x:row>
    <x:row r="2550">
      <x:c r="A2550" s="27" t="str">
        <x:v>E02546</x:v>
      </x:c>
      <x:c r="B2550" s="27" t="str">
        <x:v>S23-ARTS-01:GROUND</x:v>
      </x:c>
      <x:c r="C2550" s="27" t="str">
        <x:v>G6/G7 — Evidence-based formal system demonstrated through authentic transfer</x:v>
      </x:c>
      <x:c r="D2550" s="27" t="str">
        <x:v>GROUNDED_BY</x:v>
      </x:c>
      <x:c r="E2550" s="27" t="str">
        <x:v>S23-ARTS-01</x:v>
      </x:c>
      <x:c r="F2550" s="27" t="str">
        <x:v>Accomplished portfolio, ensemble, theory, or production</x:v>
      </x:c>
      <x:c r="G2550" s="27" t="str">
        <x:v>S23</x:v>
      </x:c>
      <x:c r="H2550" s="27" t="str">
        <x:v>Music &amp; Arts</x:v>
      </x:c>
      <x:c r="I2550" s="27" t="str">
        <x:v>SRC13</x:v>
      </x:c>
      <x:c r="J2550" s="27" t="str">
        <x:v>Grounding form used to preserve meaning.</x:v>
      </x:c>
    </x:row>
    <x:row r="2551">
      <x:c r="A2551" s="27" t="str">
        <x:v>E02547</x:v>
      </x:c>
      <x:c r="B2551" s="27" t="str">
        <x:v>S23-ARTS-01</x:v>
      </x:c>
      <x:c r="C2551" s="27" t="str">
        <x:v>Accomplished portfolio, ensemble, theory, or production</x:v>
      </x:c>
      <x:c r="D2551" s="27" t="str">
        <x:v>CONNECTS_TO</x:v>
      </x:c>
      <x:c r="E2551" s="27" t="str">
        <x:v>S23-ARTS-01:CROSS</x:v>
      </x:c>
      <x:c r="F2551" s="27" t="str">
        <x:v>Sensory discrimination; motor timing; language/prosody; mathematics/pattern; history/culture; emotion, design, and technology.</x:v>
      </x:c>
      <x:c r="G2551" s="27" t="str">
        <x:v>S23</x:v>
      </x:c>
      <x:c r="H2551" s="27" t="str">
        <x:v>Music &amp; Arts</x:v>
      </x:c>
      <x:c r="I2551" s="27" t="str">
        <x:v>SRC13</x:v>
      </x:c>
      <x:c r="J2551" s="27" t="str">
        <x:v>Parallel subject and representation links.</x:v>
      </x:c>
    </x:row>
    <x:row r="2552">
      <x:c r="A2552" s="27" t="str">
        <x:v>E02548</x:v>
      </x:c>
      <x:c r="B2552" s="27" t="str">
        <x:v>S23-ARTS-01</x:v>
      </x:c>
      <x:c r="C2552" s="27" t="str">
        <x:v>Accomplished portfolio, ensemble, theory, or production</x:v>
      </x:c>
      <x:c r="D2552" s="27" t="str">
        <x:v>UNLOCKS</x:v>
      </x:c>
      <x:c r="E2552" s="27" t="str">
        <x:v>S23-ARTS-01:NEXT</x:v>
      </x:c>
      <x:c r="F2552" s="27" t="str">
        <x:v>Advanced pathway work integrates expertise, authorship, collaboration, and audience responsibility.</x:v>
      </x:c>
      <x:c r="G2552" s="27" t="str">
        <x:v>S23</x:v>
      </x:c>
      <x:c r="H2552" s="27" t="str">
        <x:v>Music &amp; Arts</x:v>
      </x:c>
      <x:c r="I2552" s="27" t="str">
        <x:v>SRC13</x:v>
      </x:c>
      <x:c r="J2552" s="27" t="str">
        <x:v>Outgoing use and placement rationale.</x:v>
      </x:c>
    </x:row>
    <x:row r="2553">
      <x:c r="A2553" s="27" t="str">
        <x:v>E02549</x:v>
      </x:c>
      <x:c r="B2553" s="27" t="str">
        <x:v>S23-ARTS-01</x:v>
      </x:c>
      <x:c r="C2553" s="27" t="str">
        <x:v>Accomplished portfolio, ensemble, theory, or production</x:v>
      </x:c>
      <x:c r="D2553" s="27" t="str">
        <x:v>VERIFIED_BY</x:v>
      </x:c>
      <x:c r="E2553" s="27" t="str">
        <x:v>S23-ARTS-01:EVIDENCE</x:v>
      </x:c>
      <x:c r="F2553" s="27" t="str">
        <x:v>Presents a substantial work/body of work with process archive, analysis, and public/audience response.</x:v>
      </x:c>
      <x:c r="G2553" s="27" t="str">
        <x:v>S23</x:v>
      </x:c>
      <x:c r="H2553" s="27" t="str">
        <x:v>Music &amp; Arts</x:v>
      </x:c>
      <x:c r="I2553" s="27" t="str">
        <x:v>SRC13</x:v>
      </x:c>
      <x:c r="J2553" s="27" t="str">
        <x:v>Observable evidence of usable learning.</x:v>
      </x:c>
    </x:row>
    <x:row r="2554">
      <x:c r="A2554" s="27" t="str">
        <x:v>E02550</x:v>
      </x:c>
      <x:c r="B2554" s="27" t="str">
        <x:v>S22-HLTH-01</x:v>
      </x:c>
      <x:c r="C2554" s="27" t="str">
        <x:v>Previous node in domain progression</x:v>
      </x:c>
      <x:c r="D2554" s="27" t="str">
        <x:v>DOMAIN_SEQUENCE</x:v>
      </x:c>
      <x:c r="E2554" s="27" t="str">
        <x:v>S23-HLTH-01</x:v>
      </x:c>
      <x:c r="F2554" s="27" t="str">
        <x:v>Risk management and adaptive plan</x:v>
      </x:c>
      <x:c r="G2554" s="27" t="str">
        <x:v>S23</x:v>
      </x:c>
      <x:c r="H2554" s="27" t="str">
        <x:v>Physical &amp; Health</x:v>
      </x:c>
      <x:c r="I2554" s="27" t="str">
        <x:v>SRC14; SRC15</x:v>
      </x:c>
      <x:c r="J2554" s="27" t="str">
        <x:v>Ordered spiral link; consult explicit prerequisites for logical dependency.</x:v>
      </x:c>
    </x:row>
    <x:row r="2555">
      <x:c r="A2555" s="27" t="str">
        <x:v>E02551</x:v>
      </x:c>
      <x:c r="B2555" s="27" t="str">
        <x:v>S23-HLTH-01:PREREQ</x:v>
      </x:c>
      <x:c r="C2555" s="27" t="str">
        <x:v>Grade 10 health literacy, ethical analysis, and deliberate practice.</x:v>
      </x:c>
      <x:c r="D2555" s="27" t="str">
        <x:v>PREREQUISITE</x:v>
      </x:c>
      <x:c r="E2555" s="27" t="str">
        <x:v>S23-HLTH-01</x:v>
      </x:c>
      <x:c r="F2555" s="27" t="str">
        <x:v>Risk management and adaptive plan</x:v>
      </x:c>
      <x:c r="G2555" s="27" t="str">
        <x:v>S23</x:v>
      </x:c>
      <x:c r="H2555" s="27" t="str">
        <x:v>Physical &amp; Health</x:v>
      </x:c>
      <x:c r="I2555" s="27" t="str">
        <x:v>SRC14; SRC15</x:v>
      </x:c>
      <x:c r="J2555" s="27" t="str">
        <x:v>Incoming prerequisite relationship.</x:v>
      </x:c>
    </x:row>
    <x:row r="2556">
      <x:c r="A2556" s="27" t="str">
        <x:v>E02552</x:v>
      </x:c>
      <x:c r="B2556" s="27" t="str">
        <x:v>S23-HLTH-01:GROUND</x:v>
      </x:c>
      <x:c r="C2556" s="27" t="str">
        <x:v>G6/G7 — Evidence-based formal system demonstrated through authentic transfer</x:v>
      </x:c>
      <x:c r="D2556" s="27" t="str">
        <x:v>GROUNDED_BY</x:v>
      </x:c>
      <x:c r="E2556" s="27" t="str">
        <x:v>S23-HLTH-01</x:v>
      </x:c>
      <x:c r="F2556" s="27" t="str">
        <x:v>Risk management and adaptive plan</x:v>
      </x:c>
      <x:c r="G2556" s="27" t="str">
        <x:v>S23</x:v>
      </x:c>
      <x:c r="H2556" s="27" t="str">
        <x:v>Physical &amp; Health</x:v>
      </x:c>
      <x:c r="I2556" s="27" t="str">
        <x:v>SRC14; SRC15</x:v>
      </x:c>
      <x:c r="J2556" s="27" t="str">
        <x:v>Grounding form used to preserve meaning.</x:v>
      </x:c>
    </x:row>
    <x:row r="2557">
      <x:c r="A2557" s="27" t="str">
        <x:v>E02553</x:v>
      </x:c>
      <x:c r="B2557" s="27" t="str">
        <x:v>S23-HLTH-01</x:v>
      </x:c>
      <x:c r="C2557" s="27" t="str">
        <x:v>Risk management and adaptive plan</x:v>
      </x:c>
      <x:c r="D2557" s="27" t="str">
        <x:v>CONNECTS_TO</x:v>
      </x:c>
      <x:c r="E2557" s="27" t="str">
        <x:v>S23-HLTH-01:CROSS</x:v>
      </x:c>
      <x:c r="F2557" s="27" t="str">
        <x:v>Motor/sensory development; life science; measurement/data; SEL/self-management; communication, safety, and decision-making.</x:v>
      </x:c>
      <x:c r="G2557" s="27" t="str">
        <x:v>S23</x:v>
      </x:c>
      <x:c r="H2557" s="27" t="str">
        <x:v>Physical &amp; Health</x:v>
      </x:c>
      <x:c r="I2557" s="27" t="str">
        <x:v>SRC14; SRC15</x:v>
      </x:c>
      <x:c r="J2557" s="27" t="str">
        <x:v>Parallel subject and representation links.</x:v>
      </x:c>
    </x:row>
    <x:row r="2558">
      <x:c r="A2558" s="27" t="str">
        <x:v>E02554</x:v>
      </x:c>
      <x:c r="B2558" s="27" t="str">
        <x:v>S23-HLTH-01</x:v>
      </x:c>
      <x:c r="C2558" s="27" t="str">
        <x:v>Risk management and adaptive plan</x:v>
      </x:c>
      <x:c r="D2558" s="27" t="str">
        <x:v>UNLOCKS</x:v>
      </x:c>
      <x:c r="E2558" s="27" t="str">
        <x:v>S23-HLTH-01:NEXT</x:v>
      </x:c>
      <x:c r="F2558" s="27" t="str">
        <x:v>Adaptive planning supports sustainable wellness across changing adult contexts.</x:v>
      </x:c>
      <x:c r="G2558" s="27" t="str">
        <x:v>S23</x:v>
      </x:c>
      <x:c r="H2558" s="27" t="str">
        <x:v>Physical &amp; Health</x:v>
      </x:c>
      <x:c r="I2558" s="27" t="str">
        <x:v>SRC14; SRC15</x:v>
      </x:c>
      <x:c r="J2558" s="27" t="str">
        <x:v>Outgoing use and placement rationale.</x:v>
      </x:c>
    </x:row>
    <x:row r="2559">
      <x:c r="A2559" s="27" t="str">
        <x:v>E02555</x:v>
      </x:c>
      <x:c r="B2559" s="27" t="str">
        <x:v>S23-HLTH-01</x:v>
      </x:c>
      <x:c r="C2559" s="27" t="str">
        <x:v>Risk management and adaptive plan</x:v>
      </x:c>
      <x:c r="D2559" s="27" t="str">
        <x:v>VERIFIED_BY</x:v>
      </x:c>
      <x:c r="E2559" s="27" t="str">
        <x:v>S23-HLTH-01:EVIDENCE</x:v>
      </x:c>
      <x:c r="F2559" s="27" t="str">
        <x:v>Revises a plan using evidence and clearly states safety boundaries and referral conditions.</x:v>
      </x:c>
      <x:c r="G2559" s="27" t="str">
        <x:v>S23</x:v>
      </x:c>
      <x:c r="H2559" s="27" t="str">
        <x:v>Physical &amp; Health</x:v>
      </x:c>
      <x:c r="I2559" s="27" t="str">
        <x:v>SRC14; SRC15</x:v>
      </x:c>
      <x:c r="J2559" s="27" t="str">
        <x:v>Observable evidence of usable learning.</x:v>
      </x:c>
    </x:row>
    <x:row r="2560">
      <x:c r="A2560" s="27" t="str">
        <x:v>E02556</x:v>
      </x:c>
      <x:c r="B2560" s="27" t="str">
        <x:v>S22-COMP-02</x:v>
      </x:c>
      <x:c r="C2560" s="27" t="str">
        <x:v>Previous node in domain progression</x:v>
      </x:c>
      <x:c r="D2560" s="27" t="str">
        <x:v>DOMAIN_SEQUENCE</x:v>
      </x:c>
      <x:c r="E2560" s="27" t="str">
        <x:v>S23-COMP-01</x:v>
      </x:c>
      <x:c r="F2560" s="27" t="str">
        <x:v>Data science, AI, cybersecurity, systems, or software pathway</x:v>
      </x:c>
      <x:c r="G2560" s="27" t="str">
        <x:v>S23</x:v>
      </x:c>
      <x:c r="H2560" s="27" t="str">
        <x:v>Computing &amp; Media</x:v>
      </x:c>
      <x:c r="I2560" s="27" t="str">
        <x:v>SRC16</x:v>
      </x:c>
      <x:c r="J2560" s="27" t="str">
        <x:v>Ordered spiral link; consult explicit prerequisites for logical dependency.</x:v>
      </x:c>
    </x:row>
    <x:row r="2561">
      <x:c r="A2561" s="27" t="str">
        <x:v>E02557</x:v>
      </x:c>
      <x:c r="B2561" s="27" t="str">
        <x:v>S23-COMP-01:PREREQ</x:v>
      </x:c>
      <x:c r="C2561" s="27" t="str">
        <x:v>Grade 10 abstractions/software engineering/cybersecurity and Algebra II/statistics.</x:v>
      </x:c>
      <x:c r="D2561" s="27" t="str">
        <x:v>PREREQUISITE</x:v>
      </x:c>
      <x:c r="E2561" s="27" t="str">
        <x:v>S23-COMP-01</x:v>
      </x:c>
      <x:c r="F2561" s="27" t="str">
        <x:v>Data science, AI, cybersecurity, systems, or software pathway</x:v>
      </x:c>
      <x:c r="G2561" s="27" t="str">
        <x:v>S23</x:v>
      </x:c>
      <x:c r="H2561" s="27" t="str">
        <x:v>Computing &amp; Media</x:v>
      </x:c>
      <x:c r="I2561" s="27" t="str">
        <x:v>SRC16</x:v>
      </x:c>
      <x:c r="J2561" s="27" t="str">
        <x:v>Incoming prerequisite relationship.</x:v>
      </x:c>
    </x:row>
    <x:row r="2562">
      <x:c r="A2562" s="27" t="str">
        <x:v>E02558</x:v>
      </x:c>
      <x:c r="B2562" s="27" t="str">
        <x:v>S23-COMP-01:GROUND</x:v>
      </x:c>
      <x:c r="C2562" s="27" t="str">
        <x:v>G6/G7 — Evidence-based formal system demonstrated through authentic transfer</x:v>
      </x:c>
      <x:c r="D2562" s="27" t="str">
        <x:v>GROUNDED_BY</x:v>
      </x:c>
      <x:c r="E2562" s="27" t="str">
        <x:v>S23-COMP-01</x:v>
      </x:c>
      <x:c r="F2562" s="27" t="str">
        <x:v>Data science, AI, cybersecurity, systems, or software pathway</x:v>
      </x:c>
      <x:c r="G2562" s="27" t="str">
        <x:v>S23</x:v>
      </x:c>
      <x:c r="H2562" s="27" t="str">
        <x:v>Computing &amp; Media</x:v>
      </x:c>
      <x:c r="I2562" s="27" t="str">
        <x:v>SRC16</x:v>
      </x:c>
      <x:c r="J2562" s="27" t="str">
        <x:v>Grounding form used to preserve meaning.</x:v>
      </x:c>
    </x:row>
    <x:row r="2563">
      <x:c r="A2563" s="27" t="str">
        <x:v>E02559</x:v>
      </x:c>
      <x:c r="B2563" s="27" t="str">
        <x:v>S23-COMP-01</x:v>
      </x:c>
      <x:c r="C2563" s="27" t="str">
        <x:v>Data science, AI, cybersecurity, systems, or software pathway</x:v>
      </x:c>
      <x:c r="D2563" s="27" t="str">
        <x:v>CONNECTS_TO</x:v>
      </x:c>
      <x:c r="E2563" s="27" t="str">
        <x:v>S23-COMP-01:CROSS</x:v>
      </x:c>
      <x:c r="F2563" s="27" t="str">
        <x:v>Mathematics/logic/data; language and media evidence; science/engineering models; art/design; civics, privacy, finance, and ethics.</x:v>
      </x:c>
      <x:c r="G2563" s="27" t="str">
        <x:v>S23</x:v>
      </x:c>
      <x:c r="H2563" s="27" t="str">
        <x:v>Computing &amp; Media</x:v>
      </x:c>
      <x:c r="I2563" s="27" t="str">
        <x:v>SRC16</x:v>
      </x:c>
      <x:c r="J2563" s="27" t="str">
        <x:v>Parallel subject and representation links.</x:v>
      </x:c>
    </x:row>
    <x:row r="2564">
      <x:c r="A2564" s="27" t="str">
        <x:v>E02560</x:v>
      </x:c>
      <x:c r="B2564" s="27" t="str">
        <x:v>S23-COMP-01</x:v>
      </x:c>
      <x:c r="C2564" s="27" t="str">
        <x:v>Data science, AI, cybersecurity, systems, or software pathway</x:v>
      </x:c>
      <x:c r="D2564" s="27" t="str">
        <x:v>UNLOCKS</x:v>
      </x:c>
      <x:c r="E2564" s="27" t="str">
        <x:v>S23-COMP-01:NEXT</x:v>
      </x:c>
      <x:c r="F2564" s="27" t="str">
        <x:v>Specialty depth demonstrates how common CS foundations support distinct fields.</x:v>
      </x:c>
      <x:c r="G2564" s="27" t="str">
        <x:v>S23</x:v>
      </x:c>
      <x:c r="H2564" s="27" t="str">
        <x:v>Computing &amp; Media</x:v>
      </x:c>
      <x:c r="I2564" s="27" t="str">
        <x:v>SRC16</x:v>
      </x:c>
      <x:c r="J2564" s="27" t="str">
        <x:v>Outgoing use and placement rationale.</x:v>
      </x:c>
    </x:row>
    <x:row r="2565">
      <x:c r="A2565" s="27" t="str">
        <x:v>E02561</x:v>
      </x:c>
      <x:c r="B2565" s="27" t="str">
        <x:v>S23-COMP-01</x:v>
      </x:c>
      <x:c r="C2565" s="27" t="str">
        <x:v>Data science, AI, cybersecurity, systems, or software pathway</x:v>
      </x:c>
      <x:c r="D2565" s="27" t="str">
        <x:v>VERIFIED_BY</x:v>
      </x:c>
      <x:c r="E2565" s="27" t="str">
        <x:v>S23-COMP-01:EVIDENCE</x:v>
      </x:c>
      <x:c r="F2565" s="27" t="str">
        <x:v>Completes an authentic specialty project with tests/validation, documentation, ethics, and limitations.</x:v>
      </x:c>
      <x:c r="G2565" s="27" t="str">
        <x:v>S23</x:v>
      </x:c>
      <x:c r="H2565" s="27" t="str">
        <x:v>Computing &amp; Media</x:v>
      </x:c>
      <x:c r="I2565" s="27" t="str">
        <x:v>SRC16</x:v>
      </x:c>
      <x:c r="J2565" s="27" t="str">
        <x:v>Observable evidence of usable learning.</x:v>
      </x:c>
    </x:row>
    <x:row r="2566">
      <x:c r="A2566" s="27" t="str">
        <x:v>E02562</x:v>
      </x:c>
      <x:c r="B2566" s="27" t="str">
        <x:v>S22-WLANG-01</x:v>
      </x:c>
      <x:c r="C2566" s="27" t="str">
        <x:v>Previous node in domain progression</x:v>
      </x:c>
      <x:c r="D2566" s="27" t="str">
        <x:v>DOMAIN_SEQUENCE</x:v>
      </x:c>
      <x:c r="E2566" s="27" t="str">
        <x:v>S23-WLANG-01</x:v>
      </x:c>
      <x:c r="F2566" s="27" t="str">
        <x:v>Advanced-low emerging communication</x:v>
      </x:c>
      <x:c r="G2566" s="27" t="str">
        <x:v>S23</x:v>
      </x:c>
      <x:c r="H2566" s="27" t="str">
        <x:v>World Languages</x:v>
      </x:c>
      <x:c r="I2566" s="27" t="str">
        <x:v>SRC17</x:v>
      </x:c>
      <x:c r="J2566" s="27" t="str">
        <x:v>Ordered spiral link; consult explicit prerequisites for logical dependency.</x:v>
      </x:c>
    </x:row>
    <x:row r="2567">
      <x:c r="A2567" s="27" t="str">
        <x:v>E02563</x:v>
      </x:c>
      <x:c r="B2567" s="27" t="str">
        <x:v>S23-WLANG-01:PREREQ</x:v>
      </x:c>
      <x:c r="C2567" s="27" t="str">
        <x:v>Grade 10 intermediate-high discourse and research/rhetoric skills.</x:v>
      </x:c>
      <x:c r="D2567" s="27" t="str">
        <x:v>PREREQUISITE</x:v>
      </x:c>
      <x:c r="E2567" s="27" t="str">
        <x:v>S23-WLANG-01</x:v>
      </x:c>
      <x:c r="F2567" s="27" t="str">
        <x:v>Advanced-low emerging communication</x:v>
      </x:c>
      <x:c r="G2567" s="27" t="str">
        <x:v>S23</x:v>
      </x:c>
      <x:c r="H2567" s="27" t="str">
        <x:v>World Languages</x:v>
      </x:c>
      <x:c r="I2567" s="27" t="str">
        <x:v>SRC17</x:v>
      </x:c>
      <x:c r="J2567" s="27" t="str">
        <x:v>Incoming prerequisite relationship.</x:v>
      </x:c>
    </x:row>
    <x:row r="2568">
      <x:c r="A2568" s="27" t="str">
        <x:v>E02564</x:v>
      </x:c>
      <x:c r="B2568" s="27" t="str">
        <x:v>S23-WLANG-01:GROUND</x:v>
      </x:c>
      <x:c r="C2568" s="27" t="str">
        <x:v>G6/G7 — Evidence-based formal system demonstrated through authentic transfer</x:v>
      </x:c>
      <x:c r="D2568" s="27" t="str">
        <x:v>GROUNDED_BY</x:v>
      </x:c>
      <x:c r="E2568" s="27" t="str">
        <x:v>S23-WLANG-01</x:v>
      </x:c>
      <x:c r="F2568" s="27" t="str">
        <x:v>Advanced-low emerging communication</x:v>
      </x:c>
      <x:c r="G2568" s="27" t="str">
        <x:v>S23</x:v>
      </x:c>
      <x:c r="H2568" s="27" t="str">
        <x:v>World Languages</x:v>
      </x:c>
      <x:c r="I2568" s="27" t="str">
        <x:v>SRC17</x:v>
      </x:c>
      <x:c r="J2568" s="27" t="str">
        <x:v>Grounding form used to preserve meaning.</x:v>
      </x:c>
    </x:row>
    <x:row r="2569">
      <x:c r="A2569" s="27" t="str">
        <x:v>E02565</x:v>
      </x:c>
      <x:c r="B2569" s="27" t="str">
        <x:v>S23-WLANG-01</x:v>
      </x:c>
      <x:c r="C2569" s="27" t="str">
        <x:v>Advanced-low emerging communication</x:v>
      </x:c>
      <x:c r="D2569" s="27" t="str">
        <x:v>CONNECTS_TO</x:v>
      </x:c>
      <x:c r="E2569" s="27" t="str">
        <x:v>S23-WLANG-01:CROSS</x:v>
      </x:c>
      <x:c r="F2569" s="27" t="str">
        <x:v>Oral language, reading, and writing; memory/retrieval; social interaction; history/geography/arts; intercultural perspective.</x:v>
      </x:c>
      <x:c r="G2569" s="27" t="str">
        <x:v>S23</x:v>
      </x:c>
      <x:c r="H2569" s="27" t="str">
        <x:v>World Languages</x:v>
      </x:c>
      <x:c r="I2569" s="27" t="str">
        <x:v>SRC17</x:v>
      </x:c>
      <x:c r="J2569" s="27" t="str">
        <x:v>Parallel subject and representation links.</x:v>
      </x:c>
    </x:row>
    <x:row r="2570">
      <x:c r="A2570" s="27" t="str">
        <x:v>E02566</x:v>
      </x:c>
      <x:c r="B2570" s="27" t="str">
        <x:v>S23-WLANG-01</x:v>
      </x:c>
      <x:c r="C2570" s="27" t="str">
        <x:v>Advanced-low emerging communication</x:v>
      </x:c>
      <x:c r="D2570" s="27" t="str">
        <x:v>UNLOCKS</x:v>
      </x:c>
      <x:c r="E2570" s="27" t="str">
        <x:v>S23-WLANG-01:NEXT</x:v>
      </x:c>
      <x:c r="F2570" s="27" t="str">
        <x:v>Time-frame and paragraph control support sustained academic, community, and workplace communication.</x:v>
      </x:c>
      <x:c r="G2570" s="27" t="str">
        <x:v>S23</x:v>
      </x:c>
      <x:c r="H2570" s="27" t="str">
        <x:v>World Languages</x:v>
      </x:c>
      <x:c r="I2570" s="27" t="str">
        <x:v>SRC17</x:v>
      </x:c>
      <x:c r="J2570" s="27" t="str">
        <x:v>Outgoing use and placement rationale.</x:v>
      </x:c>
    </x:row>
    <x:row r="2571">
      <x:c r="A2571" s="27" t="str">
        <x:v>E02567</x:v>
      </x:c>
      <x:c r="B2571" s="27" t="str">
        <x:v>S23-WLANG-01</x:v>
      </x:c>
      <x:c r="C2571" s="27" t="str">
        <x:v>Advanced-low emerging communication</x:v>
      </x:c>
      <x:c r="D2571" s="27" t="str">
        <x:v>VERIFIED_BY</x:v>
      </x:c>
      <x:c r="E2571" s="27" t="str">
        <x:v>S23-WLANG-01:EVIDENCE</x:v>
      </x:c>
      <x:c r="F2571" s="27" t="str">
        <x:v>Handles an unexpected complication and produces supported multi-paragraph communication.</x:v>
      </x:c>
      <x:c r="G2571" s="27" t="str">
        <x:v>S23</x:v>
      </x:c>
      <x:c r="H2571" s="27" t="str">
        <x:v>World Languages</x:v>
      </x:c>
      <x:c r="I2571" s="27" t="str">
        <x:v>SRC17</x:v>
      </x:c>
      <x:c r="J2571" s="27" t="str">
        <x:v>Observable evidence of usable learning.</x:v>
      </x:c>
    </x:row>
    <x:row r="2572">
      <x:c r="A2572" s="27" t="str">
        <x:v>E02568</x:v>
      </x:c>
      <x:c r="B2572" s="27" t="str">
        <x:v>S22-LIFE-01</x:v>
      </x:c>
      <x:c r="C2572" s="27" t="str">
        <x:v>Previous node in domain progression</x:v>
      </x:c>
      <x:c r="D2572" s="27" t="str">
        <x:v>DOMAIN_SEQUENCE</x:v>
      </x:c>
      <x:c r="E2572" s="27" t="str">
        <x:v>S23-LIFE-01</x:v>
      </x:c>
      <x:c r="F2572" s="27" t="str">
        <x:v>Investing, diversification, retirement, taxes, and major goals</x:v>
      </x:c>
      <x:c r="G2572" s="27" t="str">
        <x:v>S23</x:v>
      </x:c>
      <x:c r="H2572" s="27" t="str">
        <x:v>Life, Finance &amp; Career</x:v>
      </x:c>
      <x:c r="I2572" s="27" t="str">
        <x:v>SRC19</x:v>
      </x:c>
      <x:c r="J2572" s="27" t="str">
        <x:v>Ordered spiral link; consult explicit prerequisites for logical dependency.</x:v>
      </x:c>
    </x:row>
    <x:row r="2573">
      <x:c r="A2573" s="27" t="str">
        <x:v>E02569</x:v>
      </x:c>
      <x:c r="B2573" s="27" t="str">
        <x:v>S23-LIFE-01:PREREQ</x:v>
      </x:c>
      <x:c r="C2573" s="27" t="str">
        <x:v>Grade 10 loans/insurance, Algebra II exponentials/statistics, and pathway planning.</x:v>
      </x:c>
      <x:c r="D2573" s="27" t="str">
        <x:v>PREREQUISITE</x:v>
      </x:c>
      <x:c r="E2573" s="27" t="str">
        <x:v>S23-LIFE-01</x:v>
      </x:c>
      <x:c r="F2573" s="27" t="str">
        <x:v>Investing, diversification, retirement, taxes, and major goals</x:v>
      </x:c>
      <x:c r="G2573" s="27" t="str">
        <x:v>S23</x:v>
      </x:c>
      <x:c r="H2573" s="27" t="str">
        <x:v>Life, Finance &amp; Career</x:v>
      </x:c>
      <x:c r="I2573" s="27" t="str">
        <x:v>SRC19</x:v>
      </x:c>
      <x:c r="J2573" s="27" t="str">
        <x:v>Incoming prerequisite relationship.</x:v>
      </x:c>
    </x:row>
    <x:row r="2574">
      <x:c r="A2574" s="27" t="str">
        <x:v>E02570</x:v>
      </x:c>
      <x:c r="B2574" s="27" t="str">
        <x:v>S23-LIFE-01:GROUND</x:v>
      </x:c>
      <x:c r="C2574" s="27" t="str">
        <x:v>G6/G7 — Evidence-based formal system demonstrated through authentic transfer</x:v>
      </x:c>
      <x:c r="D2574" s="27" t="str">
        <x:v>GROUNDED_BY</x:v>
      </x:c>
      <x:c r="E2574" s="27" t="str">
        <x:v>S23-LIFE-01</x:v>
      </x:c>
      <x:c r="F2574" s="27" t="str">
        <x:v>Investing, diversification, retirement, taxes, and major goals</x:v>
      </x:c>
      <x:c r="G2574" s="27" t="str">
        <x:v>S23</x:v>
      </x:c>
      <x:c r="H2574" s="27" t="str">
        <x:v>Life, Finance &amp; Career</x:v>
      </x:c>
      <x:c r="I2574" s="27" t="str">
        <x:v>SRC19</x:v>
      </x:c>
      <x:c r="J2574" s="27" t="str">
        <x:v>Grounding form used to preserve meaning.</x:v>
      </x:c>
    </x:row>
    <x:row r="2575">
      <x:c r="A2575" s="27" t="str">
        <x:v>E02571</x:v>
      </x:c>
      <x:c r="B2575" s="27" t="str">
        <x:v>S23-LIFE-01</x:v>
      </x:c>
      <x:c r="C2575" s="27" t="str">
        <x:v>Investing, diversification, retirement, taxes, and major goals</x:v>
      </x:c>
      <x:c r="D2575" s="27" t="str">
        <x:v>CONNECTS_TO</x:v>
      </x:c>
      <x:c r="E2575" s="27" t="str">
        <x:v>S23-LIFE-01:CROSS</x:v>
      </x:c>
      <x:c r="F2575" s="27" t="str">
        <x:v>Mathematics/percent/growth; economics/civics; reading contracts/sources; computing/privacy; SEL, planning, and risk decisions.</x:v>
      </x:c>
      <x:c r="G2575" s="27" t="str">
        <x:v>S23</x:v>
      </x:c>
      <x:c r="H2575" s="27" t="str">
        <x:v>Life, Finance &amp; Career</x:v>
      </x:c>
      <x:c r="I2575" s="27" t="str">
        <x:v>SRC19</x:v>
      </x:c>
      <x:c r="J2575" s="27" t="str">
        <x:v>Parallel subject and representation links.</x:v>
      </x:c>
    </x:row>
    <x:row r="2576">
      <x:c r="A2576" s="27" t="str">
        <x:v>E02572</x:v>
      </x:c>
      <x:c r="B2576" s="27" t="str">
        <x:v>S23-LIFE-01</x:v>
      </x:c>
      <x:c r="C2576" s="27" t="str">
        <x:v>Investing, diversification, retirement, taxes, and major goals</x:v>
      </x:c>
      <x:c r="D2576" s="27" t="str">
        <x:v>UNLOCKS</x:v>
      </x:c>
      <x:c r="E2576" s="27" t="str">
        <x:v>S23-LIFE-01:NEXT</x:v>
      </x:c>
      <x:c r="F2576" s="27" t="str">
        <x:v>Long-horizon modeling and risk allocation prepare durable adult financial decisions.</x:v>
      </x:c>
      <x:c r="G2576" s="27" t="str">
        <x:v>S23</x:v>
      </x:c>
      <x:c r="H2576" s="27" t="str">
        <x:v>Life, Finance &amp; Career</x:v>
      </x:c>
      <x:c r="I2576" s="27" t="str">
        <x:v>SRC19</x:v>
      </x:c>
      <x:c r="J2576" s="27" t="str">
        <x:v>Outgoing use and placement rationale.</x:v>
      </x:c>
    </x:row>
    <x:row r="2577">
      <x:c r="A2577" s="27" t="str">
        <x:v>E02573</x:v>
      </x:c>
      <x:c r="B2577" s="27" t="str">
        <x:v>S23-LIFE-01</x:v>
      </x:c>
      <x:c r="C2577" s="27" t="str">
        <x:v>Investing, diversification, retirement, taxes, and major goals</x:v>
      </x:c>
      <x:c r="D2577" s="27" t="str">
        <x:v>VERIFIED_BY</x:v>
      </x:c>
      <x:c r="E2577" s="27" t="str">
        <x:v>S23-LIFE-01:EVIDENCE</x:v>
      </x:c>
      <x:c r="F2577" s="27" t="str">
        <x:v>Creates a goal-based financial model with assumptions, scenarios, risk controls, and update triggers.</x:v>
      </x:c>
      <x:c r="G2577" s="27" t="str">
        <x:v>S23</x:v>
      </x:c>
      <x:c r="H2577" s="27" t="str">
        <x:v>Life, Finance &amp; Career</x:v>
      </x:c>
      <x:c r="I2577" s="27" t="str">
        <x:v>SRC19</x:v>
      </x:c>
      <x:c r="J2577" s="27" t="str">
        <x:v>Observable evidence of usable learning.</x:v>
      </x:c>
    </x:row>
    <x:row r="2578">
      <x:c r="A2578" s="27" t="str">
        <x:v>E02574</x:v>
      </x:c>
      <x:c r="B2578" s="27" t="str">
        <x:v>S23-LEARN-01</x:v>
      </x:c>
      <x:c r="C2578" s="27" t="str">
        <x:v>Previous node in domain progression</x:v>
      </x:c>
      <x:c r="D2578" s="27" t="str">
        <x:v>DOMAIN_SEQUENCE</x:v>
      </x:c>
      <x:c r="E2578" s="27" t="str">
        <x:v>S24-LEARN-01</x:v>
      </x:c>
      <x:c r="F2578" s="27" t="str">
        <x:v>Question–map–learn–retrieve–apply–audit</x:v>
      </x:c>
      <x:c r="G2578" s="27" t="str">
        <x:v>S24</x:v>
      </x:c>
      <x:c r="H2578" s="27" t="str">
        <x:v>Learning Foundations</x:v>
      </x:c>
      <x:c r="I2578" s="27" t="str">
        <x:v>SRC23; SRC29; SRC34</x:v>
      </x:c>
      <x:c r="J2578" s="27" t="str">
        <x:v>Ordered spiral link; consult explicit prerequisites for logical dependency.</x:v>
      </x:c>
    </x:row>
    <x:row r="2579">
      <x:c r="A2579" s="27" t="str">
        <x:v>E02575</x:v>
      </x:c>
      <x:c r="B2579" s="27" t="str">
        <x:v>S24-LEARN-01:PREREQ</x:v>
      </x:c>
      <x:c r="C2579" s="27" t="str">
        <x:v>All prior memory architecture, research, transfer, and project skills.</x:v>
      </x:c>
      <x:c r="D2579" s="27" t="str">
        <x:v>PREREQUISITE</x:v>
      </x:c>
      <x:c r="E2579" s="27" t="str">
        <x:v>S24-LEARN-01</x:v>
      </x:c>
      <x:c r="F2579" s="27" t="str">
        <x:v>Question–map–learn–retrieve–apply–audit</x:v>
      </x:c>
      <x:c r="G2579" s="27" t="str">
        <x:v>S24</x:v>
      </x:c>
      <x:c r="H2579" s="27" t="str">
        <x:v>Learning Foundations</x:v>
      </x:c>
      <x:c r="I2579" s="27" t="str">
        <x:v>SRC23; SRC29; SRC34</x:v>
      </x:c>
      <x:c r="J2579" s="27" t="str">
        <x:v>Incoming prerequisite relationship.</x:v>
      </x:c>
    </x:row>
    <x:row r="2580">
      <x:c r="A2580" s="27" t="str">
        <x:v>E02576</x:v>
      </x:c>
      <x:c r="B2580" s="27" t="str">
        <x:v>S24-LEARN-01:GROUND</x:v>
      </x:c>
      <x:c r="C2580" s="27" t="str">
        <x:v>G6/G7 — Evidence-based formal system demonstrated through authentic transfer</x:v>
      </x:c>
      <x:c r="D2580" s="27" t="str">
        <x:v>GROUNDED_BY</x:v>
      </x:c>
      <x:c r="E2580" s="27" t="str">
        <x:v>S24-LEARN-01</x:v>
      </x:c>
      <x:c r="F2580" s="27" t="str">
        <x:v>Question–map–learn–retrieve–apply–audit</x:v>
      </x:c>
      <x:c r="G2580" s="27" t="str">
        <x:v>S24</x:v>
      </x:c>
      <x:c r="H2580" s="27" t="str">
        <x:v>Learning Foundations</x:v>
      </x:c>
      <x:c r="I2580" s="27" t="str">
        <x:v>SRC23; SRC29; SRC34</x:v>
      </x:c>
      <x:c r="J2580" s="27" t="str">
        <x:v>Grounding form used to preserve meaning.</x:v>
      </x:c>
    </x:row>
    <x:row r="2581">
      <x:c r="A2581" s="27" t="str">
        <x:v>E02577</x:v>
      </x:c>
      <x:c r="B2581" s="27" t="str">
        <x:v>S24-LEARN-01</x:v>
      </x:c>
      <x:c r="C2581" s="27" t="str">
        <x:v>Question–map–learn–retrieve–apply–audit</x:v>
      </x:c>
      <x:c r="D2581" s="27" t="str">
        <x:v>CONNECTS_TO</x:v>
      </x:c>
      <x:c r="E2581" s="27" t="str">
        <x:v>S24-LEARN-01:CROSS</x:v>
      </x:c>
      <x:c r="F2581" s="27" t="str">
        <x:v>All domains: attention, memory, strategy choice, monitoring, retrieval, and transfer.</x:v>
      </x:c>
      <x:c r="G2581" s="27" t="str">
        <x:v>S24</x:v>
      </x:c>
      <x:c r="H2581" s="27" t="str">
        <x:v>Learning Foundations</x:v>
      </x:c>
      <x:c r="I2581" s="27" t="str">
        <x:v>SRC23; SRC29; SRC34</x:v>
      </x:c>
      <x:c r="J2581" s="27" t="str">
        <x:v>Parallel subject and representation links.</x:v>
      </x:c>
    </x:row>
    <x:row r="2582">
      <x:c r="A2582" s="27" t="str">
        <x:v>E02578</x:v>
      </x:c>
      <x:c r="B2582" s="27" t="str">
        <x:v>S24-LEARN-01</x:v>
      </x:c>
      <x:c r="C2582" s="27" t="str">
        <x:v>Question–map–learn–retrieve–apply–audit</x:v>
      </x:c>
      <x:c r="D2582" s="27" t="str">
        <x:v>UNLOCKS</x:v>
      </x:c>
      <x:c r="E2582" s="27" t="str">
        <x:v>S24-LEARN-01:NEXT</x:v>
      </x:c>
      <x:c r="F2582" s="27" t="str">
        <x:v>A reusable self-teaching system is the culminating educational tool.</x:v>
      </x:c>
      <x:c r="G2582" s="27" t="str">
        <x:v>S24</x:v>
      </x:c>
      <x:c r="H2582" s="27" t="str">
        <x:v>Learning Foundations</x:v>
      </x:c>
      <x:c r="I2582" s="27" t="str">
        <x:v>SRC23; SRC29; SRC34</x:v>
      </x:c>
      <x:c r="J2582" s="27" t="str">
        <x:v>Outgoing use and placement rationale.</x:v>
      </x:c>
    </x:row>
    <x:row r="2583">
      <x:c r="A2583" s="27" t="str">
        <x:v>E02579</x:v>
      </x:c>
      <x:c r="B2583" s="27" t="str">
        <x:v>S24-LEARN-01</x:v>
      </x:c>
      <x:c r="C2583" s="27" t="str">
        <x:v>Question–map–learn–retrieve–apply–audit</x:v>
      </x:c>
      <x:c r="D2583" s="27" t="str">
        <x:v>VERIFIED_BY</x:v>
      </x:c>
      <x:c r="E2583" s="27" t="str">
        <x:v>S24-LEARN-01:EVIDENCE</x:v>
      </x:c>
      <x:c r="F2583" s="27" t="str">
        <x:v>Independently learns a bounded new topic and submits the prerequisite map, retrieval record, application, and accuracy audit.</x:v>
      </x:c>
      <x:c r="G2583" s="27" t="str">
        <x:v>S24</x:v>
      </x:c>
      <x:c r="H2583" s="27" t="str">
        <x:v>Learning Foundations</x:v>
      </x:c>
      <x:c r="I2583" s="27" t="str">
        <x:v>SRC23; SRC29; SRC34</x:v>
      </x:c>
      <x:c r="J2583" s="27" t="str">
        <x:v>Observable evidence of usable learning.</x:v>
      </x:c>
    </x:row>
    <x:row r="2584">
      <x:c r="A2584" s="27" t="str">
        <x:v>E02580</x:v>
      </x:c>
      <x:c r="B2584" s="27" t="str">
        <x:v>S23-SEL-01</x:v>
      </x:c>
      <x:c r="C2584" s="27" t="str">
        <x:v>Previous node in domain progression</x:v>
      </x:c>
      <x:c r="D2584" s="27" t="str">
        <x:v>DOMAIN_SEQUENCE</x:v>
      </x:c>
      <x:c r="E2584" s="27" t="str">
        <x:v>S24-SEL-01</x:v>
      </x:c>
      <x:c r="F2584" s="27" t="str">
        <x:v>Adult systems navigation and support network</x:v>
      </x:c>
      <x:c r="G2584" s="27" t="str">
        <x:v>S24</x:v>
      </x:c>
      <x:c r="H2584" s="27" t="str">
        <x:v>Social-Emotional</x:v>
      </x:c>
      <x:c r="I2584" s="27" t="str">
        <x:v>SRC18</x:v>
      </x:c>
      <x:c r="J2584" s="27" t="str">
        <x:v>Ordered spiral link; consult explicit prerequisites for logical dependency.</x:v>
      </x:c>
    </x:row>
    <x:row r="2585">
      <x:c r="A2585" s="27" t="str">
        <x:v>E02581</x:v>
      </x:c>
      <x:c r="B2585" s="27" t="str">
        <x:v>S24-SEL-01:PREREQ</x:v>
      </x:c>
      <x:c r="C2585" s="27" t="str">
        <x:v>Workload systems, self-advocacy, negotiation, and planning.</x:v>
      </x:c>
      <x:c r="D2585" s="27" t="str">
        <x:v>PREREQUISITE</x:v>
      </x:c>
      <x:c r="E2585" s="27" t="str">
        <x:v>S24-SEL-01</x:v>
      </x:c>
      <x:c r="F2585" s="27" t="str">
        <x:v>Adult systems navigation and support network</x:v>
      </x:c>
      <x:c r="G2585" s="27" t="str">
        <x:v>S24</x:v>
      </x:c>
      <x:c r="H2585" s="27" t="str">
        <x:v>Social-Emotional</x:v>
      </x:c>
      <x:c r="I2585" s="27" t="str">
        <x:v>SRC18</x:v>
      </x:c>
      <x:c r="J2585" s="27" t="str">
        <x:v>Incoming prerequisite relationship.</x:v>
      </x:c>
    </x:row>
    <x:row r="2586">
      <x:c r="A2586" s="27" t="str">
        <x:v>E02582</x:v>
      </x:c>
      <x:c r="B2586" s="27" t="str">
        <x:v>S24-SEL-01:GROUND</x:v>
      </x:c>
      <x:c r="C2586" s="27" t="str">
        <x:v>G6/G7 — Evidence-based formal system demonstrated through authentic transfer</x:v>
      </x:c>
      <x:c r="D2586" s="27" t="str">
        <x:v>GROUNDED_BY</x:v>
      </x:c>
      <x:c r="E2586" s="27" t="str">
        <x:v>S24-SEL-01</x:v>
      </x:c>
      <x:c r="F2586" s="27" t="str">
        <x:v>Adult systems navigation and support network</x:v>
      </x:c>
      <x:c r="G2586" s="27" t="str">
        <x:v>S24</x:v>
      </x:c>
      <x:c r="H2586" s="27" t="str">
        <x:v>Social-Emotional</x:v>
      </x:c>
      <x:c r="I2586" s="27" t="str">
        <x:v>SRC18</x:v>
      </x:c>
      <x:c r="J2586" s="27" t="str">
        <x:v>Grounding form used to preserve meaning.</x:v>
      </x:c>
    </x:row>
    <x:row r="2587">
      <x:c r="A2587" s="27" t="str">
        <x:v>E02583</x:v>
      </x:c>
      <x:c r="B2587" s="27" t="str">
        <x:v>S24-SEL-01</x:v>
      </x:c>
      <x:c r="C2587" s="27" t="str">
        <x:v>Adult systems navigation and support network</x:v>
      </x:c>
      <x:c r="D2587" s="27" t="str">
        <x:v>CONNECTS_TO</x:v>
      </x:c>
      <x:c r="E2587" s="27" t="str">
        <x:v>S24-SEL-01:CROSS</x:v>
      </x:c>
      <x:c r="F2587" s="27" t="str">
        <x:v>Language and communication; health; collaboration in science, arts, civics, and projects; responsible digital/financial decisions.</x:v>
      </x:c>
      <x:c r="G2587" s="27" t="str">
        <x:v>S24</x:v>
      </x:c>
      <x:c r="H2587" s="27" t="str">
        <x:v>Social-Emotional</x:v>
      </x:c>
      <x:c r="I2587" s="27" t="str">
        <x:v>SRC18</x:v>
      </x:c>
      <x:c r="J2587" s="27" t="str">
        <x:v>Parallel subject and representation links.</x:v>
      </x:c>
    </x:row>
    <x:row r="2588">
      <x:c r="A2588" s="27" t="str">
        <x:v>E02584</x:v>
      </x:c>
      <x:c r="B2588" s="27" t="str">
        <x:v>S24-SEL-01</x:v>
      </x:c>
      <x:c r="C2588" s="27" t="str">
        <x:v>Adult systems navigation and support network</x:v>
      </x:c>
      <x:c r="D2588" s="27" t="str">
        <x:v>UNLOCKS</x:v>
      </x:c>
      <x:c r="E2588" s="27" t="str">
        <x:v>S24-SEL-01:NEXT</x:v>
      </x:c>
      <x:c r="F2588" s="27" t="str">
        <x:v>Navigation skills convert academic competence into real access and continuity.</x:v>
      </x:c>
      <x:c r="G2588" s="27" t="str">
        <x:v>S24</x:v>
      </x:c>
      <x:c r="H2588" s="27" t="str">
        <x:v>Social-Emotional</x:v>
      </x:c>
      <x:c r="I2588" s="27" t="str">
        <x:v>SRC18</x:v>
      </x:c>
      <x:c r="J2588" s="27" t="str">
        <x:v>Outgoing use and placement rationale.</x:v>
      </x:c>
    </x:row>
    <x:row r="2589">
      <x:c r="A2589" s="27" t="str">
        <x:v>E02585</x:v>
      </x:c>
      <x:c r="B2589" s="27" t="str">
        <x:v>S24-SEL-01</x:v>
      </x:c>
      <x:c r="C2589" s="27" t="str">
        <x:v>Adult systems navigation and support network</x:v>
      </x:c>
      <x:c r="D2589" s="27" t="str">
        <x:v>VERIFIED_BY</x:v>
      </x:c>
      <x:c r="E2589" s="27" t="str">
        <x:v>S24-SEL-01:EVIDENCE</x:v>
      </x:c>
      <x:c r="F2589" s="27" t="str">
        <x:v>Completes a real or simulated multi-agency/institution task with records, communication, and contingency plan.</x:v>
      </x:c>
      <x:c r="G2589" s="27" t="str">
        <x:v>S24</x:v>
      </x:c>
      <x:c r="H2589" s="27" t="str">
        <x:v>Social-Emotional</x:v>
      </x:c>
      <x:c r="I2589" s="27" t="str">
        <x:v>SRC18</x:v>
      </x:c>
      <x:c r="J2589" s="27" t="str">
        <x:v>Observable evidence of usable learning.</x:v>
      </x:c>
    </x:row>
    <x:row r="2590">
      <x:c r="A2590" s="27" t="str">
        <x:v>E02586</x:v>
      </x:c>
      <x:c r="B2590" s="27" t="str">
        <x:v>S23-READ-02</x:v>
      </x:c>
      <x:c r="C2590" s="27" t="str">
        <x:v>Previous node in domain progression</x:v>
      </x:c>
      <x:c r="D2590" s="27" t="str">
        <x:v>DOMAIN_SEQUENCE</x:v>
      </x:c>
      <x:c r="E2590" s="27" t="str">
        <x:v>S24-READ-01</x:v>
      </x:c>
      <x:c r="F2590" s="27" t="str">
        <x:v>Independent complex-text synthesis</x:v>
      </x:c>
      <x:c r="G2590" s="27" t="str">
        <x:v>S24</x:v>
      </x:c>
      <x:c r="H2590" s="27" t="str">
        <x:v>Reading</x:v>
      </x:c>
      <x:c r="I2590" s="27" t="str">
        <x:v>SRC10; SRC20</x:v>
      </x:c>
      <x:c r="J2590" s="27" t="str">
        <x:v>Ordered spiral link; consult explicit prerequisites for logical dependency.</x:v>
      </x:c>
    </x:row>
    <x:row r="2591">
      <x:c r="A2591" s="27" t="str">
        <x:v>E02587</x:v>
      </x:c>
      <x:c r="B2591" s="27" t="str">
        <x:v>S24-READ-01:PREREQ</x:v>
      </x:c>
      <x:c r="C2591" s="27" t="str">
        <x:v>Grade 11 advanced argument/literary lenses and research.</x:v>
      </x:c>
      <x:c r="D2591" s="27" t="str">
        <x:v>PREREQUISITE</x:v>
      </x:c>
      <x:c r="E2591" s="27" t="str">
        <x:v>S24-READ-01</x:v>
      </x:c>
      <x:c r="F2591" s="27" t="str">
        <x:v>Independent complex-text synthesis</x:v>
      </x:c>
      <x:c r="G2591" s="27" t="str">
        <x:v>S24</x:v>
      </x:c>
      <x:c r="H2591" s="27" t="str">
        <x:v>Reading</x:v>
      </x:c>
      <x:c r="I2591" s="27" t="str">
        <x:v>SRC10; SRC20</x:v>
      </x:c>
      <x:c r="J2591" s="27" t="str">
        <x:v>Incoming prerequisite relationship.</x:v>
      </x:c>
    </x:row>
    <x:row r="2592">
      <x:c r="A2592" s="27" t="str">
        <x:v>E02588</x:v>
      </x:c>
      <x:c r="B2592" s="27" t="str">
        <x:v>S24-READ-01:GROUND</x:v>
      </x:c>
      <x:c r="C2592" s="27" t="str">
        <x:v>G6/G7 — Evidence-based formal system demonstrated through authentic transfer</x:v>
      </x:c>
      <x:c r="D2592" s="27" t="str">
        <x:v>GROUNDED_BY</x:v>
      </x:c>
      <x:c r="E2592" s="27" t="str">
        <x:v>S24-READ-01</x:v>
      </x:c>
      <x:c r="F2592" s="27" t="str">
        <x:v>Independent complex-text synthesis</x:v>
      </x:c>
      <x:c r="G2592" s="27" t="str">
        <x:v>S24</x:v>
      </x:c>
      <x:c r="H2592" s="27" t="str">
        <x:v>Reading</x:v>
      </x:c>
      <x:c r="I2592" s="27" t="str">
        <x:v>SRC10; SRC20</x:v>
      </x:c>
      <x:c r="J2592" s="27" t="str">
        <x:v>Grounding form used to preserve meaning.</x:v>
      </x:c>
    </x:row>
    <x:row r="2593">
      <x:c r="A2593" s="27" t="str">
        <x:v>E02589</x:v>
      </x:c>
      <x:c r="B2593" s="27" t="str">
        <x:v>S24-READ-01</x:v>
      </x:c>
      <x:c r="C2593" s="27" t="str">
        <x:v>Independent complex-text synthesis</x:v>
      </x:c>
      <x:c r="D2593" s="27" t="str">
        <x:v>CONNECTS_TO</x:v>
      </x:c>
      <x:c r="E2593" s="27" t="str">
        <x:v>S24-READ-01:CROSS</x:v>
      </x:c>
      <x:c r="F2593" s="27" t="str">
        <x:v>Oral language and writing; evidence in science/social studies; mathematical and technical problem interpretation; media verification.</x:v>
      </x:c>
      <x:c r="G2593" s="27" t="str">
        <x:v>S24</x:v>
      </x:c>
      <x:c r="H2593" s="27" t="str">
        <x:v>Reading</x:v>
      </x:c>
      <x:c r="I2593" s="27" t="str">
        <x:v>SRC10; SRC20</x:v>
      </x:c>
      <x:c r="J2593" s="27" t="str">
        <x:v>Parallel subject and representation links.</x:v>
      </x:c>
    </x:row>
    <x:row r="2594">
      <x:c r="A2594" s="27" t="str">
        <x:v>E02590</x:v>
      </x:c>
      <x:c r="B2594" s="27" t="str">
        <x:v>S24-READ-01</x:v>
      </x:c>
      <x:c r="C2594" s="27" t="str">
        <x:v>Independent complex-text synthesis</x:v>
      </x:c>
      <x:c r="D2594" s="27" t="str">
        <x:v>UNLOCKS</x:v>
      </x:c>
      <x:c r="E2594" s="27" t="str">
        <x:v>S24-READ-01:NEXT</x:v>
      </x:c>
      <x:c r="F2594" s="27" t="str">
        <x:v>Independent cross-domain literacy is required for postsecondary learning and civic/work decisions.</x:v>
      </x:c>
      <x:c r="G2594" s="27" t="str">
        <x:v>S24</x:v>
      </x:c>
      <x:c r="H2594" s="27" t="str">
        <x:v>Reading</x:v>
      </x:c>
      <x:c r="I2594" s="27" t="str">
        <x:v>SRC10; SRC20</x:v>
      </x:c>
      <x:c r="J2594" s="27" t="str">
        <x:v>Outgoing use and placement rationale.</x:v>
      </x:c>
    </x:row>
    <x:row r="2595">
      <x:c r="A2595" s="27" t="str">
        <x:v>E02591</x:v>
      </x:c>
      <x:c r="B2595" s="27" t="str">
        <x:v>S24-READ-01</x:v>
      </x:c>
      <x:c r="C2595" s="27" t="str">
        <x:v>Independent complex-text synthesis</x:v>
      </x:c>
      <x:c r="D2595" s="27" t="str">
        <x:v>VERIFIED_BY</x:v>
      </x:c>
      <x:c r="E2595" s="27" t="str">
        <x:v>S24-READ-01:EVIDENCE</x:v>
      </x:c>
      <x:c r="F2595" s="27" t="str">
        <x:v>Produces a purpose-driven synthesis with verified definitions, evidence trace, and stated uncertainty.</x:v>
      </x:c>
      <x:c r="G2595" s="27" t="str">
        <x:v>S24</x:v>
      </x:c>
      <x:c r="H2595" s="27" t="str">
        <x:v>Reading</x:v>
      </x:c>
      <x:c r="I2595" s="27" t="str">
        <x:v>SRC10; SRC20</x:v>
      </x:c>
      <x:c r="J2595" s="27" t="str">
        <x:v>Observable evidence of usable learning.</x:v>
      </x:c>
    </x:row>
    <x:row r="2596">
      <x:c r="A2596" s="27" t="str">
        <x:v>E02592</x:v>
      </x:c>
      <x:c r="B2596" s="27" t="str">
        <x:v>S23-WRITE-02</x:v>
      </x:c>
      <x:c r="C2596" s="27" t="str">
        <x:v>Previous node in domain progression</x:v>
      </x:c>
      <x:c r="D2596" s="27" t="str">
        <x:v>DOMAIN_SEQUENCE</x:v>
      </x:c>
      <x:c r="E2596" s="27" t="str">
        <x:v>S24-WRITE-01</x:v>
      </x:c>
      <x:c r="F2596" s="27" t="str">
        <x:v>Document, presentation, defense, and revision</x:v>
      </x:c>
      <x:c r="G2596" s="27" t="str">
        <x:v>S24</x:v>
      </x:c>
      <x:c r="H2596" s="27" t="str">
        <x:v>Writing &amp; Language</x:v>
      </x:c>
      <x:c r="I2596" s="27" t="str">
        <x:v>SRC10; SRC22</x:v>
      </x:c>
      <x:c r="J2596" s="27" t="str">
        <x:v>Ordered spiral link; consult explicit prerequisites for logical dependency.</x:v>
      </x:c>
    </x:row>
    <x:row r="2597">
      <x:c r="A2597" s="27" t="str">
        <x:v>E02593</x:v>
      </x:c>
      <x:c r="B2597" s="27" t="str">
        <x:v>S24-WRITE-01:PREREQ</x:v>
      </x:c>
      <x:c r="C2597" s="27" t="str">
        <x:v>Advanced composition, research architecture, multimedia defense, and independent projects.</x:v>
      </x:c>
      <x:c r="D2597" s="27" t="str">
        <x:v>PREREQUISITE</x:v>
      </x:c>
      <x:c r="E2597" s="27" t="str">
        <x:v>S24-WRITE-01</x:v>
      </x:c>
      <x:c r="F2597" s="27" t="str">
        <x:v>Document, presentation, defense, and revision</x:v>
      </x:c>
      <x:c r="G2597" s="27" t="str">
        <x:v>S24</x:v>
      </x:c>
      <x:c r="H2597" s="27" t="str">
        <x:v>Writing &amp; Language</x:v>
      </x:c>
      <x:c r="I2597" s="27" t="str">
        <x:v>SRC10; SRC22</x:v>
      </x:c>
      <x:c r="J2597" s="27" t="str">
        <x:v>Incoming prerequisite relationship.</x:v>
      </x:c>
    </x:row>
    <x:row r="2598">
      <x:c r="A2598" s="27" t="str">
        <x:v>E02594</x:v>
      </x:c>
      <x:c r="B2598" s="27" t="str">
        <x:v>S24-WRITE-01:GROUND</x:v>
      </x:c>
      <x:c r="C2598" s="27" t="str">
        <x:v>G6/G7 — Evidence-based formal system demonstrated through authentic transfer</x:v>
      </x:c>
      <x:c r="D2598" s="27" t="str">
        <x:v>GROUNDED_BY</x:v>
      </x:c>
      <x:c r="E2598" s="27" t="str">
        <x:v>S24-WRITE-01</x:v>
      </x:c>
      <x:c r="F2598" s="27" t="str">
        <x:v>Document, presentation, defense, and revision</x:v>
      </x:c>
      <x:c r="G2598" s="27" t="str">
        <x:v>S24</x:v>
      </x:c>
      <x:c r="H2598" s="27" t="str">
        <x:v>Writing &amp; Language</x:v>
      </x:c>
      <x:c r="I2598" s="27" t="str">
        <x:v>SRC10; SRC22</x:v>
      </x:c>
      <x:c r="J2598" s="27" t="str">
        <x:v>Grounding form used to preserve meaning.</x:v>
      </x:c>
    </x:row>
    <x:row r="2599">
      <x:c r="A2599" s="27" t="str">
        <x:v>E02595</x:v>
      </x:c>
      <x:c r="B2599" s="27" t="str">
        <x:v>S24-WRITE-01</x:v>
      </x:c>
      <x:c r="C2599" s="27" t="str">
        <x:v>Document, presentation, defense, and revision</x:v>
      </x:c>
      <x:c r="D2599" s="27" t="str">
        <x:v>CONNECTS_TO</x:v>
      </x:c>
      <x:c r="E2599" s="27" t="str">
        <x:v>S24-WRITE-01:CROSS</x:v>
      </x:c>
      <x:c r="F2599" s="27" t="str">
        <x:v>Reading models; evidence from science/social studies; mathematical explanation; research, media, and presentation.</x:v>
      </x:c>
      <x:c r="G2599" s="27" t="str">
        <x:v>S24</x:v>
      </x:c>
      <x:c r="H2599" s="27" t="str">
        <x:v>Writing &amp; Language</x:v>
      </x:c>
      <x:c r="I2599" s="27" t="str">
        <x:v>SRC10; SRC22</x:v>
      </x:c>
      <x:c r="J2599" s="27" t="str">
        <x:v>Parallel subject and representation links.</x:v>
      </x:c>
    </x:row>
    <x:row r="2600">
      <x:c r="A2600" s="27" t="str">
        <x:v>E02596</x:v>
      </x:c>
      <x:c r="B2600" s="27" t="str">
        <x:v>S24-WRITE-01</x:v>
      </x:c>
      <x:c r="C2600" s="27" t="str">
        <x:v>Document, presentation, defense, and revision</x:v>
      </x:c>
      <x:c r="D2600" s="27" t="str">
        <x:v>UNLOCKS</x:v>
      </x:c>
      <x:c r="E2600" s="27" t="str">
        <x:v>S24-WRITE-01:NEXT</x:v>
      </x:c>
      <x:c r="F2600" s="27" t="str">
        <x:v>Public defense tests integration, communication, and transfer under authentic questions.</x:v>
      </x:c>
      <x:c r="G2600" s="27" t="str">
        <x:v>S24</x:v>
      </x:c>
      <x:c r="H2600" s="27" t="str">
        <x:v>Writing &amp; Language</x:v>
      </x:c>
      <x:c r="I2600" s="27" t="str">
        <x:v>SRC10; SRC22</x:v>
      </x:c>
      <x:c r="J2600" s="27" t="str">
        <x:v>Outgoing use and placement rationale.</x:v>
      </x:c>
    </x:row>
    <x:row r="2601">
      <x:c r="A2601" s="27" t="str">
        <x:v>E02597</x:v>
      </x:c>
      <x:c r="B2601" s="27" t="str">
        <x:v>S24-WRITE-01</x:v>
      </x:c>
      <x:c r="C2601" s="27" t="str">
        <x:v>Document, presentation, defense, and revision</x:v>
      </x:c>
      <x:c r="D2601" s="27" t="str">
        <x:v>VERIFIED_BY</x:v>
      </x:c>
      <x:c r="E2601" s="27" t="str">
        <x:v>S24-WRITE-01:EVIDENCE</x:v>
      </x:c>
      <x:c r="F2601" s="27" t="str">
        <x:v>Delivers an artifact with source/process record, presentation, question defense, and final revision memo.</x:v>
      </x:c>
      <x:c r="G2601" s="27" t="str">
        <x:v>S24</x:v>
      </x:c>
      <x:c r="H2601" s="27" t="str">
        <x:v>Writing &amp; Language</x:v>
      </x:c>
      <x:c r="I2601" s="27" t="str">
        <x:v>SRC10; SRC22</x:v>
      </x:c>
      <x:c r="J2601" s="27" t="str">
        <x:v>Observable evidence of usable learning.</x:v>
      </x:c>
    </x:row>
    <x:row r="2602">
      <x:c r="A2602" s="27" t="str">
        <x:v>E02598</x:v>
      </x:c>
      <x:c r="B2602" s="27" t="str">
        <x:v>S23-MATH-07</x:v>
      </x:c>
      <x:c r="C2602" s="27" t="str">
        <x:v>Previous node in domain progression</x:v>
      </x:c>
      <x:c r="D2602" s="27" t="str">
        <x:v>DOMAIN_SEQUENCE</x:v>
      </x:c>
      <x:c r="E2602" s="27" t="str">
        <x:v>S24-MATH-01</x:v>
      </x:c>
      <x:c r="F2602" s="27" t="str">
        <x:v>Polynomial, rational, exponential, and logarithmic analysis</x:v>
      </x:c>
      <x:c r="G2602" s="27" t="str">
        <x:v>S24</x:v>
      </x:c>
      <x:c r="H2602" s="27" t="str">
        <x:v>Mathematics</x:v>
      </x:c>
      <x:c r="I2602" s="27" t="str">
        <x:v>SRC26</x:v>
      </x:c>
      <x:c r="J2602" s="27" t="str">
        <x:v>Ordered spiral link; consult explicit prerequisites for logical dependency.</x:v>
      </x:c>
    </x:row>
    <x:row r="2603">
      <x:c r="A2603" s="27" t="str">
        <x:v>E02599</x:v>
      </x:c>
      <x:c r="B2603" s="27" t="str">
        <x:v>S24-MATH-01:PREREQ</x:v>
      </x:c>
      <x:c r="C2603" s="27" t="str">
        <x:v>Algebra II function families and symbolic fluency.</x:v>
      </x:c>
      <x:c r="D2603" s="27" t="str">
        <x:v>PREREQUISITE</x:v>
      </x:c>
      <x:c r="E2603" s="27" t="str">
        <x:v>S24-MATH-01</x:v>
      </x:c>
      <x:c r="F2603" s="27" t="str">
        <x:v>Polynomial, rational, exponential, and logarithmic analysis</x:v>
      </x:c>
      <x:c r="G2603" s="27" t="str">
        <x:v>S24</x:v>
      </x:c>
      <x:c r="H2603" s="27" t="str">
        <x:v>Mathematics</x:v>
      </x:c>
      <x:c r="I2603" s="27" t="str">
        <x:v>SRC26</x:v>
      </x:c>
      <x:c r="J2603" s="27" t="str">
        <x:v>Incoming prerequisite relationship.</x:v>
      </x:c>
    </x:row>
    <x:row r="2604">
      <x:c r="A2604" s="27" t="str">
        <x:v>E02600</x:v>
      </x:c>
      <x:c r="B2604" s="27" t="str">
        <x:v>S24-MATH-01:GROUND</x:v>
      </x:c>
      <x:c r="C2604" s="27" t="str">
        <x:v>G6/G7 — Evidence-based formal system demonstrated through authentic transfer</x:v>
      </x:c>
      <x:c r="D2604" s="27" t="str">
        <x:v>GROUNDED_BY</x:v>
      </x:c>
      <x:c r="E2604" s="27" t="str">
        <x:v>S24-MATH-01</x:v>
      </x:c>
      <x:c r="F2604" s="27" t="str">
        <x:v>Polynomial, rational, exponential, and logarithmic analysis</x:v>
      </x:c>
      <x:c r="G2604" s="27" t="str">
        <x:v>S24</x:v>
      </x:c>
      <x:c r="H2604" s="27" t="str">
        <x:v>Mathematics</x:v>
      </x:c>
      <x:c r="I2604" s="27" t="str">
        <x:v>SRC26</x:v>
      </x:c>
      <x:c r="J2604" s="27" t="str">
        <x:v>Grounding form used to preserve meaning.</x:v>
      </x:c>
    </x:row>
    <x:row r="2605">
      <x:c r="A2605" s="27" t="str">
        <x:v>E02601</x:v>
      </x:c>
      <x:c r="B2605" s="27" t="str">
        <x:v>S24-MATH-01</x:v>
      </x:c>
      <x:c r="C2605" s="27" t="str">
        <x:v>Polynomial, rational, exponential, and logarithmic analysis</x:v>
      </x:c>
      <x:c r="D2605" s="27" t="str">
        <x:v>CONNECTS_TO</x:v>
      </x:c>
      <x:c r="E2605" s="27" t="str">
        <x:v>S24-MATH-01:CROSS</x:v>
      </x:c>
      <x:c r="F2605" s="27" t="str">
        <x:v>Physical quantity and spatial action; science measurement/models; computing/algorithms; finance; music rhythm/pattern; geographic data.</x:v>
      </x:c>
      <x:c r="G2605" s="27" t="str">
        <x:v>S24</x:v>
      </x:c>
      <x:c r="H2605" s="27" t="str">
        <x:v>Mathematics</x:v>
      </x:c>
      <x:c r="I2605" s="27" t="str">
        <x:v>SRC26</x:v>
      </x:c>
      <x:c r="J2605" s="27" t="str">
        <x:v>Parallel subject and representation links.</x:v>
      </x:c>
    </x:row>
    <x:row r="2606">
      <x:c r="A2606" s="27" t="str">
        <x:v>E02602</x:v>
      </x:c>
      <x:c r="B2606" s="27" t="str">
        <x:v>S24-MATH-01</x:v>
      </x:c>
      <x:c r="C2606" s="27" t="str">
        <x:v>Polynomial, rational, exponential, and logarithmic analysis</x:v>
      </x:c>
      <x:c r="D2606" s="27" t="str">
        <x:v>UNLOCKS</x:v>
      </x:c>
      <x:c r="E2606" s="27" t="str">
        <x:v>S24-MATH-01:NEXT</x:v>
      </x:c>
      <x:c r="F2606" s="27" t="str">
        <x:v>Unified function analysis is the direct preparation for limits and calculus.</x:v>
      </x:c>
      <x:c r="G2606" s="27" t="str">
        <x:v>S24</x:v>
      </x:c>
      <x:c r="H2606" s="27" t="str">
        <x:v>Mathematics</x:v>
      </x:c>
      <x:c r="I2606" s="27" t="str">
        <x:v>SRC26</x:v>
      </x:c>
      <x:c r="J2606" s="27" t="str">
        <x:v>Outgoing use and placement rationale.</x:v>
      </x:c>
    </x:row>
    <x:row r="2607">
      <x:c r="A2607" s="27" t="str">
        <x:v>E02603</x:v>
      </x:c>
      <x:c r="B2607" s="27" t="str">
        <x:v>S24-MATH-01</x:v>
      </x:c>
      <x:c r="C2607" s="27" t="str">
        <x:v>Polynomial, rational, exponential, and logarithmic analysis</x:v>
      </x:c>
      <x:c r="D2607" s="27" t="str">
        <x:v>VERIFIED_BY</x:v>
      </x:c>
      <x:c r="E2607" s="27" t="str">
        <x:v>S24-MATH-01:EVIDENCE</x:v>
      </x:c>
      <x:c r="F2607" s="27" t="str">
        <x:v>Builds/compares a model and explains behavior, parameters, domain, and limitations.</x:v>
      </x:c>
      <x:c r="G2607" s="27" t="str">
        <x:v>S24</x:v>
      </x:c>
      <x:c r="H2607" s="27" t="str">
        <x:v>Mathematics</x:v>
      </x:c>
      <x:c r="I2607" s="27" t="str">
        <x:v>SRC26</x:v>
      </x:c>
      <x:c r="J2607" s="27" t="str">
        <x:v>Observable evidence of usable learning.</x:v>
      </x:c>
    </x:row>
    <x:row r="2608">
      <x:c r="A2608" s="27" t="str">
        <x:v>E02604</x:v>
      </x:c>
      <x:c r="B2608" s="27" t="str">
        <x:v>S24-MATH-01</x:v>
      </x:c>
      <x:c r="C2608" s="27" t="str">
        <x:v>Previous node in domain progression</x:v>
      </x:c>
      <x:c r="D2608" s="27" t="str">
        <x:v>DOMAIN_SEQUENCE</x:v>
      </x:c>
      <x:c r="E2608" s="27" t="str">
        <x:v>S24-MATH-02</x:v>
      </x:c>
      <x:c r="F2608" s="27" t="str">
        <x:v>Unit-circle functions, identities, equations, and modeling</x:v>
      </x:c>
      <x:c r="G2608" s="27" t="str">
        <x:v>S24</x:v>
      </x:c>
      <x:c r="H2608" s="27" t="str">
        <x:v>Mathematics</x:v>
      </x:c>
      <x:c r="I2608" s="27" t="str">
        <x:v>SRC26</x:v>
      </x:c>
      <x:c r="J2608" s="27" t="str">
        <x:v>Ordered spiral link; consult explicit prerequisites for logical dependency.</x:v>
      </x:c>
    </x:row>
    <x:row r="2609">
      <x:c r="A2609" s="27" t="str">
        <x:v>E02605</x:v>
      </x:c>
      <x:c r="B2609" s="27" t="str">
        <x:v>S24-MATH-02:PREREQ</x:v>
      </x:c>
      <x:c r="C2609" s="27" t="str">
        <x:v>Algebra II trig, Geometry similarity, and function transformations.</x:v>
      </x:c>
      <x:c r="D2609" s="27" t="str">
        <x:v>PREREQUISITE</x:v>
      </x:c>
      <x:c r="E2609" s="27" t="str">
        <x:v>S24-MATH-02</x:v>
      </x:c>
      <x:c r="F2609" s="27" t="str">
        <x:v>Unit-circle functions, identities, equations, and modeling</x:v>
      </x:c>
      <x:c r="G2609" s="27" t="str">
        <x:v>S24</x:v>
      </x:c>
      <x:c r="H2609" s="27" t="str">
        <x:v>Mathematics</x:v>
      </x:c>
      <x:c r="I2609" s="27" t="str">
        <x:v>SRC26</x:v>
      </x:c>
      <x:c r="J2609" s="27" t="str">
        <x:v>Incoming prerequisite relationship.</x:v>
      </x:c>
    </x:row>
    <x:row r="2610">
      <x:c r="A2610" s="27" t="str">
        <x:v>E02606</x:v>
      </x:c>
      <x:c r="B2610" s="27" t="str">
        <x:v>S24-MATH-02:GROUND</x:v>
      </x:c>
      <x:c r="C2610" s="27" t="str">
        <x:v>G6/G7 — Evidence-based formal system demonstrated through authentic transfer</x:v>
      </x:c>
      <x:c r="D2610" s="27" t="str">
        <x:v>GROUNDED_BY</x:v>
      </x:c>
      <x:c r="E2610" s="27" t="str">
        <x:v>S24-MATH-02</x:v>
      </x:c>
      <x:c r="F2610" s="27" t="str">
        <x:v>Unit-circle functions, identities, equations, and modeling</x:v>
      </x:c>
      <x:c r="G2610" s="27" t="str">
        <x:v>S24</x:v>
      </x:c>
      <x:c r="H2610" s="27" t="str">
        <x:v>Mathematics</x:v>
      </x:c>
      <x:c r="I2610" s="27" t="str">
        <x:v>SRC26</x:v>
      </x:c>
      <x:c r="J2610" s="27" t="str">
        <x:v>Grounding form used to preserve meaning.</x:v>
      </x:c>
    </x:row>
    <x:row r="2611">
      <x:c r="A2611" s="27" t="str">
        <x:v>E02607</x:v>
      </x:c>
      <x:c r="B2611" s="27" t="str">
        <x:v>S24-MATH-02</x:v>
      </x:c>
      <x:c r="C2611" s="27" t="str">
        <x:v>Unit-circle functions, identities, equations, and modeling</x:v>
      </x:c>
      <x:c r="D2611" s="27" t="str">
        <x:v>CONNECTS_TO</x:v>
      </x:c>
      <x:c r="E2611" s="27" t="str">
        <x:v>S24-MATH-02:CROSS</x:v>
      </x:c>
      <x:c r="F2611" s="27" t="str">
        <x:v>Physical quantity and spatial action; science measurement/models; computing/algorithms; finance; music rhythm/pattern; geographic data.</x:v>
      </x:c>
      <x:c r="G2611" s="27" t="str">
        <x:v>S24</x:v>
      </x:c>
      <x:c r="H2611" s="27" t="str">
        <x:v>Mathematics</x:v>
      </x:c>
      <x:c r="I2611" s="27" t="str">
        <x:v>SRC26</x:v>
      </x:c>
      <x:c r="J2611" s="27" t="str">
        <x:v>Parallel subject and representation links.</x:v>
      </x:c>
    </x:row>
    <x:row r="2612">
      <x:c r="A2612" s="27" t="str">
        <x:v>E02608</x:v>
      </x:c>
      <x:c r="B2612" s="27" t="str">
        <x:v>S24-MATH-02</x:v>
      </x:c>
      <x:c r="C2612" s="27" t="str">
        <x:v>Unit-circle functions, identities, equations, and modeling</x:v>
      </x:c>
      <x:c r="D2612" s="27" t="str">
        <x:v>UNLOCKS</x:v>
      </x:c>
      <x:c r="E2612" s="27" t="str">
        <x:v>S24-MATH-02:NEXT</x:v>
      </x:c>
      <x:c r="F2612" s="27" t="str">
        <x:v>Fluent trig functions support calculus, physics, engineering, and signal analysis.</x:v>
      </x:c>
      <x:c r="G2612" s="27" t="str">
        <x:v>S24</x:v>
      </x:c>
      <x:c r="H2612" s="27" t="str">
        <x:v>Mathematics</x:v>
      </x:c>
      <x:c r="I2612" s="27" t="str">
        <x:v>SRC26</x:v>
      </x:c>
      <x:c r="J2612" s="27" t="str">
        <x:v>Outgoing use and placement rationale.</x:v>
      </x:c>
    </x:row>
    <x:row r="2613">
      <x:c r="A2613" s="27" t="str">
        <x:v>E02609</x:v>
      </x:c>
      <x:c r="B2613" s="27" t="str">
        <x:v>S24-MATH-02</x:v>
      </x:c>
      <x:c r="C2613" s="27" t="str">
        <x:v>Unit-circle functions, identities, equations, and modeling</x:v>
      </x:c>
      <x:c r="D2613" s="27" t="str">
        <x:v>VERIFIED_BY</x:v>
      </x:c>
      <x:c r="E2613" s="27" t="str">
        <x:v>S24-MATH-02:EVIDENCE</x:v>
      </x:c>
      <x:c r="F2613" s="27" t="str">
        <x:v>Solves and models a periodic/triangle problem and justifies transformations/solution set.</x:v>
      </x:c>
      <x:c r="G2613" s="27" t="str">
        <x:v>S24</x:v>
      </x:c>
      <x:c r="H2613" s="27" t="str">
        <x:v>Mathematics</x:v>
      </x:c>
      <x:c r="I2613" s="27" t="str">
        <x:v>SRC26</x:v>
      </x:c>
      <x:c r="J2613" s="27" t="str">
        <x:v>Observable evidence of usable learning.</x:v>
      </x:c>
    </x:row>
    <x:row r="2614">
      <x:c r="A2614" s="27" t="str">
        <x:v>E02610</x:v>
      </x:c>
      <x:c r="B2614" s="27" t="str">
        <x:v>S24-MATH-02</x:v>
      </x:c>
      <x:c r="C2614" s="27" t="str">
        <x:v>Previous node in domain progression</x:v>
      </x:c>
      <x:c r="D2614" s="27" t="str">
        <x:v>DOMAIN_SEQUENCE</x:v>
      </x:c>
      <x:c r="E2614" s="27" t="str">
        <x:v>S24-MATH-03</x:v>
      </x:c>
      <x:c r="F2614" s="27" t="str">
        <x:v>Vectors, matrices, parametric, and polar forms</x:v>
      </x:c>
      <x:c r="G2614" s="27" t="str">
        <x:v>S24</x:v>
      </x:c>
      <x:c r="H2614" s="27" t="str">
        <x:v>Mathematics</x:v>
      </x:c>
      <x:c r="I2614" s="27" t="str">
        <x:v>SRC26</x:v>
      </x:c>
      <x:c r="J2614" s="27" t="str">
        <x:v>Ordered spiral link; consult explicit prerequisites for logical dependency.</x:v>
      </x:c>
    </x:row>
    <x:row r="2615">
      <x:c r="A2615" s="27" t="str">
        <x:v>E02611</x:v>
      </x:c>
      <x:c r="B2615" s="27" t="str">
        <x:v>S24-MATH-03:PREREQ</x:v>
      </x:c>
      <x:c r="C2615" s="27" t="str">
        <x:v>Coordinate geometry, systems, trig, and function notation.</x:v>
      </x:c>
      <x:c r="D2615" s="27" t="str">
        <x:v>PREREQUISITE</x:v>
      </x:c>
      <x:c r="E2615" s="27" t="str">
        <x:v>S24-MATH-03</x:v>
      </x:c>
      <x:c r="F2615" s="27" t="str">
        <x:v>Vectors, matrices, parametric, and polar forms</x:v>
      </x:c>
      <x:c r="G2615" s="27" t="str">
        <x:v>S24</x:v>
      </x:c>
      <x:c r="H2615" s="27" t="str">
        <x:v>Mathematics</x:v>
      </x:c>
      <x:c r="I2615" s="27" t="str">
        <x:v>SRC26</x:v>
      </x:c>
      <x:c r="J2615" s="27" t="str">
        <x:v>Incoming prerequisite relationship.</x:v>
      </x:c>
    </x:row>
    <x:row r="2616">
      <x:c r="A2616" s="27" t="str">
        <x:v>E02612</x:v>
      </x:c>
      <x:c r="B2616" s="27" t="str">
        <x:v>S24-MATH-03:GROUND</x:v>
      </x:c>
      <x:c r="C2616" s="27" t="str">
        <x:v>G6/G7 — Evidence-based formal system demonstrated through authentic transfer</x:v>
      </x:c>
      <x:c r="D2616" s="27" t="str">
        <x:v>GROUNDED_BY</x:v>
      </x:c>
      <x:c r="E2616" s="27" t="str">
        <x:v>S24-MATH-03</x:v>
      </x:c>
      <x:c r="F2616" s="27" t="str">
        <x:v>Vectors, matrices, parametric, and polar forms</x:v>
      </x:c>
      <x:c r="G2616" s="27" t="str">
        <x:v>S24</x:v>
      </x:c>
      <x:c r="H2616" s="27" t="str">
        <x:v>Mathematics</x:v>
      </x:c>
      <x:c r="I2616" s="27" t="str">
        <x:v>SRC26</x:v>
      </x:c>
      <x:c r="J2616" s="27" t="str">
        <x:v>Grounding form used to preserve meaning.</x:v>
      </x:c>
    </x:row>
    <x:row r="2617">
      <x:c r="A2617" s="27" t="str">
        <x:v>E02613</x:v>
      </x:c>
      <x:c r="B2617" s="27" t="str">
        <x:v>S24-MATH-03</x:v>
      </x:c>
      <x:c r="C2617" s="27" t="str">
        <x:v>Vectors, matrices, parametric, and polar forms</x:v>
      </x:c>
      <x:c r="D2617" s="27" t="str">
        <x:v>CONNECTS_TO</x:v>
      </x:c>
      <x:c r="E2617" s="27" t="str">
        <x:v>S24-MATH-03:CROSS</x:v>
      </x:c>
      <x:c r="F2617" s="27" t="str">
        <x:v>Physical quantity and spatial action; science measurement/models; computing/algorithms; finance; music rhythm/pattern; geographic data.</x:v>
      </x:c>
      <x:c r="G2617" s="27" t="str">
        <x:v>S24</x:v>
      </x:c>
      <x:c r="H2617" s="27" t="str">
        <x:v>Mathematics</x:v>
      </x:c>
      <x:c r="I2617" s="27" t="str">
        <x:v>SRC26</x:v>
      </x:c>
      <x:c r="J2617" s="27" t="str">
        <x:v>Parallel subject and representation links.</x:v>
      </x:c>
    </x:row>
    <x:row r="2618">
      <x:c r="A2618" s="27" t="str">
        <x:v>E02614</x:v>
      </x:c>
      <x:c r="B2618" s="27" t="str">
        <x:v>S24-MATH-03</x:v>
      </x:c>
      <x:c r="C2618" s="27" t="str">
        <x:v>Vectors, matrices, parametric, and polar forms</x:v>
      </x:c>
      <x:c r="D2618" s="27" t="str">
        <x:v>UNLOCKS</x:v>
      </x:c>
      <x:c r="E2618" s="27" t="str">
        <x:v>S24-MATH-03:NEXT</x:v>
      </x:c>
      <x:c r="F2618" s="27" t="str">
        <x:v>These representations prepare linear algebra, multivariable modeling, graphics, robotics, and Calculus BC topics.</x:v>
      </x:c>
      <x:c r="G2618" s="27" t="str">
        <x:v>S24</x:v>
      </x:c>
      <x:c r="H2618" s="27" t="str">
        <x:v>Mathematics</x:v>
      </x:c>
      <x:c r="I2618" s="27" t="str">
        <x:v>SRC26</x:v>
      </x:c>
      <x:c r="J2618" s="27" t="str">
        <x:v>Outgoing use and placement rationale.</x:v>
      </x:c>
    </x:row>
    <x:row r="2619">
      <x:c r="A2619" s="27" t="str">
        <x:v>E02615</x:v>
      </x:c>
      <x:c r="B2619" s="27" t="str">
        <x:v>S24-MATH-03</x:v>
      </x:c>
      <x:c r="C2619" s="27" t="str">
        <x:v>Vectors, matrices, parametric, and polar forms</x:v>
      </x:c>
      <x:c r="D2619" s="27" t="str">
        <x:v>VERIFIED_BY</x:v>
      </x:c>
      <x:c r="E2619" s="27" t="str">
        <x:v>S24-MATH-03:EVIDENCE</x:v>
      </x:c>
      <x:c r="F2619" s="27" t="str">
        <x:v>Translates a problem into an appropriate advanced representation and interprets the result geometrically.</x:v>
      </x:c>
      <x:c r="G2619" s="27" t="str">
        <x:v>S24</x:v>
      </x:c>
      <x:c r="H2619" s="27" t="str">
        <x:v>Mathematics</x:v>
      </x:c>
      <x:c r="I2619" s="27" t="str">
        <x:v>SRC26</x:v>
      </x:c>
      <x:c r="J2619" s="27" t="str">
        <x:v>Observable evidence of usable learning.</x:v>
      </x:c>
    </x:row>
    <x:row r="2620">
      <x:c r="A2620" s="27" t="str">
        <x:v>E02616</x:v>
      </x:c>
      <x:c r="B2620" s="27" t="str">
        <x:v>S24-MATH-03</x:v>
      </x:c>
      <x:c r="C2620" s="27" t="str">
        <x:v>Previous node in domain progression</x:v>
      </x:c>
      <x:c r="D2620" s="27" t="str">
        <x:v>DOMAIN_SEQUENCE</x:v>
      </x:c>
      <x:c r="E2620" s="27" t="str">
        <x:v>S24-MATH-04</x:v>
      </x:c>
      <x:c r="F2620" s="27" t="str">
        <x:v>Questions, sampling, experiments, bias, and causation</x:v>
      </x:c>
      <x:c r="G2620" s="27" t="str">
        <x:v>S24</x:v>
      </x:c>
      <x:c r="H2620" s="27" t="str">
        <x:v>Mathematics</x:v>
      </x:c>
      <x:c r="I2620" s="27" t="str">
        <x:v>SRC28</x:v>
      </x:c>
      <x:c r="J2620" s="27" t="str">
        <x:v>Ordered spiral link; consult explicit prerequisites for logical dependency.</x:v>
      </x:c>
    </x:row>
    <x:row r="2621">
      <x:c r="A2621" s="27" t="str">
        <x:v>E02617</x:v>
      </x:c>
      <x:c r="B2621" s="27" t="str">
        <x:v>S24-MATH-04:PREREQ</x:v>
      </x:c>
      <x:c r="C2621" s="27" t="str">
        <x:v>Algebra II statistics, source evaluation, and research methods.</x:v>
      </x:c>
      <x:c r="D2621" s="27" t="str">
        <x:v>PREREQUISITE</x:v>
      </x:c>
      <x:c r="E2621" s="27" t="str">
        <x:v>S24-MATH-04</x:v>
      </x:c>
      <x:c r="F2621" s="27" t="str">
        <x:v>Questions, sampling, experiments, bias, and causation</x:v>
      </x:c>
      <x:c r="G2621" s="27" t="str">
        <x:v>S24</x:v>
      </x:c>
      <x:c r="H2621" s="27" t="str">
        <x:v>Mathematics</x:v>
      </x:c>
      <x:c r="I2621" s="27" t="str">
        <x:v>SRC28</x:v>
      </x:c>
      <x:c r="J2621" s="27" t="str">
        <x:v>Incoming prerequisite relationship.</x:v>
      </x:c>
    </x:row>
    <x:row r="2622">
      <x:c r="A2622" s="27" t="str">
        <x:v>E02618</x:v>
      </x:c>
      <x:c r="B2622" s="27" t="str">
        <x:v>S24-MATH-04:GROUND</x:v>
      </x:c>
      <x:c r="C2622" s="27" t="str">
        <x:v>G6/G7 — Evidence-based formal system demonstrated through authentic transfer</x:v>
      </x:c>
      <x:c r="D2622" s="27" t="str">
        <x:v>GROUNDED_BY</x:v>
      </x:c>
      <x:c r="E2622" s="27" t="str">
        <x:v>S24-MATH-04</x:v>
      </x:c>
      <x:c r="F2622" s="27" t="str">
        <x:v>Questions, sampling, experiments, bias, and causation</x:v>
      </x:c>
      <x:c r="G2622" s="27" t="str">
        <x:v>S24</x:v>
      </x:c>
      <x:c r="H2622" s="27" t="str">
        <x:v>Mathematics</x:v>
      </x:c>
      <x:c r="I2622" s="27" t="str">
        <x:v>SRC28</x:v>
      </x:c>
      <x:c r="J2622" s="27" t="str">
        <x:v>Grounding form used to preserve meaning.</x:v>
      </x:c>
    </x:row>
    <x:row r="2623">
      <x:c r="A2623" s="27" t="str">
        <x:v>E02619</x:v>
      </x:c>
      <x:c r="B2623" s="27" t="str">
        <x:v>S24-MATH-04</x:v>
      </x:c>
      <x:c r="C2623" s="27" t="str">
        <x:v>Questions, sampling, experiments, bias, and causation</x:v>
      </x:c>
      <x:c r="D2623" s="27" t="str">
        <x:v>CONNECTS_TO</x:v>
      </x:c>
      <x:c r="E2623" s="27" t="str">
        <x:v>S24-MATH-04:CROSS</x:v>
      </x:c>
      <x:c r="F2623" s="27" t="str">
        <x:v>Physical quantity and spatial action; science measurement/models; computing/algorithms; finance; music rhythm/pattern; geographic data.</x:v>
      </x:c>
      <x:c r="G2623" s="27" t="str">
        <x:v>S24</x:v>
      </x:c>
      <x:c r="H2623" s="27" t="str">
        <x:v>Mathematics</x:v>
      </x:c>
      <x:c r="I2623" s="27" t="str">
        <x:v>SRC28</x:v>
      </x:c>
      <x:c r="J2623" s="27" t="str">
        <x:v>Parallel subject and representation links.</x:v>
      </x:c>
    </x:row>
    <x:row r="2624">
      <x:c r="A2624" s="27" t="str">
        <x:v>E02620</x:v>
      </x:c>
      <x:c r="B2624" s="27" t="str">
        <x:v>S24-MATH-04</x:v>
      </x:c>
      <x:c r="C2624" s="27" t="str">
        <x:v>Questions, sampling, experiments, bias, and causation</x:v>
      </x:c>
      <x:c r="D2624" s="27" t="str">
        <x:v>UNLOCKS</x:v>
      </x:c>
      <x:c r="E2624" s="27" t="str">
        <x:v>S24-MATH-04:NEXT</x:v>
      </x:c>
      <x:c r="F2624" s="27" t="str">
        <x:v>Study design determines what a statistical result can legitimately claim.</x:v>
      </x:c>
      <x:c r="G2624" s="27" t="str">
        <x:v>S24</x:v>
      </x:c>
      <x:c r="H2624" s="27" t="str">
        <x:v>Mathematics</x:v>
      </x:c>
      <x:c r="I2624" s="27" t="str">
        <x:v>SRC28</x:v>
      </x:c>
      <x:c r="J2624" s="27" t="str">
        <x:v>Outgoing use and placement rationale.</x:v>
      </x:c>
    </x:row>
    <x:row r="2625">
      <x:c r="A2625" s="27" t="str">
        <x:v>E02621</x:v>
      </x:c>
      <x:c r="B2625" s="27" t="str">
        <x:v>S24-MATH-04</x:v>
      </x:c>
      <x:c r="C2625" s="27" t="str">
        <x:v>Questions, sampling, experiments, bias, and causation</x:v>
      </x:c>
      <x:c r="D2625" s="27" t="str">
        <x:v>VERIFIED_BY</x:v>
      </x:c>
      <x:c r="E2625" s="27" t="str">
        <x:v>S24-MATH-04:EVIDENCE</x:v>
      </x:c>
      <x:c r="F2625" s="27" t="str">
        <x:v>Critiques or designs a study and states exactly which population/causal claims are warranted.</x:v>
      </x:c>
      <x:c r="G2625" s="27" t="str">
        <x:v>S24</x:v>
      </x:c>
      <x:c r="H2625" s="27" t="str">
        <x:v>Mathematics</x:v>
      </x:c>
      <x:c r="I2625" s="27" t="str">
        <x:v>SRC28</x:v>
      </x:c>
      <x:c r="J2625" s="27" t="str">
        <x:v>Observable evidence of usable learning.</x:v>
      </x:c>
    </x:row>
    <x:row r="2626">
      <x:c r="A2626" s="27" t="str">
        <x:v>E02622</x:v>
      </x:c>
      <x:c r="B2626" s="27" t="str">
        <x:v>S24-MATH-04</x:v>
      </x:c>
      <x:c r="C2626" s="27" t="str">
        <x:v>Previous node in domain progression</x:v>
      </x:c>
      <x:c r="D2626" s="27" t="str">
        <x:v>DOMAIN_SEQUENCE</x:v>
      </x:c>
      <x:c r="E2626" s="27" t="str">
        <x:v>S24-MATH-05</x:v>
      </x:c>
      <x:c r="F2626" s="27" t="str">
        <x:v>One/two-variable data, probability, random variables, and distributions</x:v>
      </x:c>
      <x:c r="G2626" s="27" t="str">
        <x:v>S24</x:v>
      </x:c>
      <x:c r="H2626" s="27" t="str">
        <x:v>Mathematics</x:v>
      </x:c>
      <x:c r="I2626" s="27" t="str">
        <x:v>SRC28</x:v>
      </x:c>
      <x:c r="J2626" s="27" t="str">
        <x:v>Ordered spiral link; consult explicit prerequisites for logical dependency.</x:v>
      </x:c>
    </x:row>
    <x:row r="2627">
      <x:c r="A2627" s="27" t="str">
        <x:v>E02623</x:v>
      </x:c>
      <x:c r="B2627" s="27" t="str">
        <x:v>S24-MATH-05:PREREQ</x:v>
      </x:c>
      <x:c r="C2627" s="27" t="str">
        <x:v>Grade 7–11 statistics/probability, functions, and algebra.</x:v>
      </x:c>
      <x:c r="D2627" s="27" t="str">
        <x:v>PREREQUISITE</x:v>
      </x:c>
      <x:c r="E2627" s="27" t="str">
        <x:v>S24-MATH-05</x:v>
      </x:c>
      <x:c r="F2627" s="27" t="str">
        <x:v>One/two-variable data, probability, random variables, and distributions</x:v>
      </x:c>
      <x:c r="G2627" s="27" t="str">
        <x:v>S24</x:v>
      </x:c>
      <x:c r="H2627" s="27" t="str">
        <x:v>Mathematics</x:v>
      </x:c>
      <x:c r="I2627" s="27" t="str">
        <x:v>SRC28</x:v>
      </x:c>
      <x:c r="J2627" s="27" t="str">
        <x:v>Incoming prerequisite relationship.</x:v>
      </x:c>
    </x:row>
    <x:row r="2628">
      <x:c r="A2628" s="27" t="str">
        <x:v>E02624</x:v>
      </x:c>
      <x:c r="B2628" s="27" t="str">
        <x:v>S24-MATH-05:GROUND</x:v>
      </x:c>
      <x:c r="C2628" s="27" t="str">
        <x:v>G6/G7 — Evidence-based formal system demonstrated through authentic transfer</x:v>
      </x:c>
      <x:c r="D2628" s="27" t="str">
        <x:v>GROUNDED_BY</x:v>
      </x:c>
      <x:c r="E2628" s="27" t="str">
        <x:v>S24-MATH-05</x:v>
      </x:c>
      <x:c r="F2628" s="27" t="str">
        <x:v>One/two-variable data, probability, random variables, and distributions</x:v>
      </x:c>
      <x:c r="G2628" s="27" t="str">
        <x:v>S24</x:v>
      </x:c>
      <x:c r="H2628" s="27" t="str">
        <x:v>Mathematics</x:v>
      </x:c>
      <x:c r="I2628" s="27" t="str">
        <x:v>SRC28</x:v>
      </x:c>
      <x:c r="J2628" s="27" t="str">
        <x:v>Grounding form used to preserve meaning.</x:v>
      </x:c>
    </x:row>
    <x:row r="2629">
      <x:c r="A2629" s="27" t="str">
        <x:v>E02625</x:v>
      </x:c>
      <x:c r="B2629" s="27" t="str">
        <x:v>S24-MATH-05</x:v>
      </x:c>
      <x:c r="C2629" s="27" t="str">
        <x:v>One/two-variable data, probability, random variables, and distributions</x:v>
      </x:c>
      <x:c r="D2629" s="27" t="str">
        <x:v>CONNECTS_TO</x:v>
      </x:c>
      <x:c r="E2629" s="27" t="str">
        <x:v>S24-MATH-05:CROSS</x:v>
      </x:c>
      <x:c r="F2629" s="27" t="str">
        <x:v>Physical quantity and spatial action; science measurement/models; computing/algorithms; finance; music rhythm/pattern; geographic data.</x:v>
      </x:c>
      <x:c r="G2629" s="27" t="str">
        <x:v>S24</x:v>
      </x:c>
      <x:c r="H2629" s="27" t="str">
        <x:v>Mathematics</x:v>
      </x:c>
      <x:c r="I2629" s="27" t="str">
        <x:v>SRC28</x:v>
      </x:c>
      <x:c r="J2629" s="27" t="str">
        <x:v>Parallel subject and representation links.</x:v>
      </x:c>
    </x:row>
    <x:row r="2630">
      <x:c r="A2630" s="27" t="str">
        <x:v>E02626</x:v>
      </x:c>
      <x:c r="B2630" s="27" t="str">
        <x:v>S24-MATH-05</x:v>
      </x:c>
      <x:c r="C2630" s="27" t="str">
        <x:v>One/two-variable data, probability, random variables, and distributions</x:v>
      </x:c>
      <x:c r="D2630" s="27" t="str">
        <x:v>UNLOCKS</x:v>
      </x:c>
      <x:c r="E2630" s="27" t="str">
        <x:v>S24-MATH-05:NEXT</x:v>
      </x:c>
      <x:c r="F2630" s="27" t="str">
        <x:v>Probability models connect random processes to expected distributional behavior.</x:v>
      </x:c>
      <x:c r="G2630" s="27" t="str">
        <x:v>S24</x:v>
      </x:c>
      <x:c r="H2630" s="27" t="str">
        <x:v>Mathematics</x:v>
      </x:c>
      <x:c r="I2630" s="27" t="str">
        <x:v>SRC28</x:v>
      </x:c>
      <x:c r="J2630" s="27" t="str">
        <x:v>Outgoing use and placement rationale.</x:v>
      </x:c>
    </x:row>
    <x:row r="2631">
      <x:c r="A2631" s="27" t="str">
        <x:v>E02627</x:v>
      </x:c>
      <x:c r="B2631" s="27" t="str">
        <x:v>S24-MATH-05</x:v>
      </x:c>
      <x:c r="C2631" s="27" t="str">
        <x:v>One/two-variable data, probability, random variables, and distributions</x:v>
      </x:c>
      <x:c r="D2631" s="27" t="str">
        <x:v>VERIFIED_BY</x:v>
      </x:c>
      <x:c r="E2631" s="27" t="str">
        <x:v>S24-MATH-05:EVIDENCE</x:v>
      </x:c>
      <x:c r="F2631" s="27" t="str">
        <x:v>Selects a model, checks conditions, calculates, and interprets probability in context.</x:v>
      </x:c>
      <x:c r="G2631" s="27" t="str">
        <x:v>S24</x:v>
      </x:c>
      <x:c r="H2631" s="27" t="str">
        <x:v>Mathematics</x:v>
      </x:c>
      <x:c r="I2631" s="27" t="str">
        <x:v>SRC28</x:v>
      </x:c>
      <x:c r="J2631" s="27" t="str">
        <x:v>Observable evidence of usable learning.</x:v>
      </x:c>
    </x:row>
    <x:row r="2632">
      <x:c r="A2632" s="27" t="str">
        <x:v>E02628</x:v>
      </x:c>
      <x:c r="B2632" s="27" t="str">
        <x:v>S24-MATH-05</x:v>
      </x:c>
      <x:c r="C2632" s="27" t="str">
        <x:v>Previous node in domain progression</x:v>
      </x:c>
      <x:c r="D2632" s="27" t="str">
        <x:v>DOMAIN_SEQUENCE</x:v>
      </x:c>
      <x:c r="E2632" s="27" t="str">
        <x:v>S24-MATH-06</x:v>
      </x:c>
      <x:c r="F2632" s="27" t="str">
        <x:v>Confidence intervals, significance tests, and regression</x:v>
      </x:c>
      <x:c r="G2632" s="27" t="str">
        <x:v>S24</x:v>
      </x:c>
      <x:c r="H2632" s="27" t="str">
        <x:v>Mathematics</x:v>
      </x:c>
      <x:c r="I2632" s="27" t="str">
        <x:v>SRC28</x:v>
      </x:c>
      <x:c r="J2632" s="27" t="str">
        <x:v>Ordered spiral link; consult explicit prerequisites for logical dependency.</x:v>
      </x:c>
    </x:row>
    <x:row r="2633">
      <x:c r="A2633" s="27" t="str">
        <x:v>E02629</x:v>
      </x:c>
      <x:c r="B2633" s="27" t="str">
        <x:v>S24-MATH-06:PREREQ</x:v>
      </x:c>
      <x:c r="C2633" s="27" t="str">
        <x:v>Statistics design/distributions and Algebra II regression.</x:v>
      </x:c>
      <x:c r="D2633" s="27" t="str">
        <x:v>PREREQUISITE</x:v>
      </x:c>
      <x:c r="E2633" s="27" t="str">
        <x:v>S24-MATH-06</x:v>
      </x:c>
      <x:c r="F2633" s="27" t="str">
        <x:v>Confidence intervals, significance tests, and regression</x:v>
      </x:c>
      <x:c r="G2633" s="27" t="str">
        <x:v>S24</x:v>
      </x:c>
      <x:c r="H2633" s="27" t="str">
        <x:v>Mathematics</x:v>
      </x:c>
      <x:c r="I2633" s="27" t="str">
        <x:v>SRC28</x:v>
      </x:c>
      <x:c r="J2633" s="27" t="str">
        <x:v>Incoming prerequisite relationship.</x:v>
      </x:c>
    </x:row>
    <x:row r="2634">
      <x:c r="A2634" s="27" t="str">
        <x:v>E02630</x:v>
      </x:c>
      <x:c r="B2634" s="27" t="str">
        <x:v>S24-MATH-06:GROUND</x:v>
      </x:c>
      <x:c r="C2634" s="27" t="str">
        <x:v>G6/G7 — Evidence-based formal system demonstrated through authentic transfer</x:v>
      </x:c>
      <x:c r="D2634" s="27" t="str">
        <x:v>GROUNDED_BY</x:v>
      </x:c>
      <x:c r="E2634" s="27" t="str">
        <x:v>S24-MATH-06</x:v>
      </x:c>
      <x:c r="F2634" s="27" t="str">
        <x:v>Confidence intervals, significance tests, and regression</x:v>
      </x:c>
      <x:c r="G2634" s="27" t="str">
        <x:v>S24</x:v>
      </x:c>
      <x:c r="H2634" s="27" t="str">
        <x:v>Mathematics</x:v>
      </x:c>
      <x:c r="I2634" s="27" t="str">
        <x:v>SRC28</x:v>
      </x:c>
      <x:c r="J2634" s="27" t="str">
        <x:v>Grounding form used to preserve meaning.</x:v>
      </x:c>
    </x:row>
    <x:row r="2635">
      <x:c r="A2635" s="27" t="str">
        <x:v>E02631</x:v>
      </x:c>
      <x:c r="B2635" s="27" t="str">
        <x:v>S24-MATH-06</x:v>
      </x:c>
      <x:c r="C2635" s="27" t="str">
        <x:v>Confidence intervals, significance tests, and regression</x:v>
      </x:c>
      <x:c r="D2635" s="27" t="str">
        <x:v>CONNECTS_TO</x:v>
      </x:c>
      <x:c r="E2635" s="27" t="str">
        <x:v>S24-MATH-06:CROSS</x:v>
      </x:c>
      <x:c r="F2635" s="27" t="str">
        <x:v>Physical quantity and spatial action; science measurement/models; computing/algorithms; finance; music rhythm/pattern; geographic data.</x:v>
      </x:c>
      <x:c r="G2635" s="27" t="str">
        <x:v>S24</x:v>
      </x:c>
      <x:c r="H2635" s="27" t="str">
        <x:v>Mathematics</x:v>
      </x:c>
      <x:c r="I2635" s="27" t="str">
        <x:v>SRC28</x:v>
      </x:c>
      <x:c r="J2635" s="27" t="str">
        <x:v>Parallel subject and representation links.</x:v>
      </x:c>
    </x:row>
    <x:row r="2636">
      <x:c r="A2636" s="27" t="str">
        <x:v>E02632</x:v>
      </x:c>
      <x:c r="B2636" s="27" t="str">
        <x:v>S24-MATH-06</x:v>
      </x:c>
      <x:c r="C2636" s="27" t="str">
        <x:v>Confidence intervals, significance tests, and regression</x:v>
      </x:c>
      <x:c r="D2636" s="27" t="str">
        <x:v>UNLOCKS</x:v>
      </x:c>
      <x:c r="E2636" s="27" t="str">
        <x:v>S24-MATH-06:NEXT</x:v>
      </x:c>
      <x:c r="F2636" s="27" t="str">
        <x:v>Inference quantifies how sample evidence bears on population/model claims.</x:v>
      </x:c>
      <x:c r="G2636" s="27" t="str">
        <x:v>S24</x:v>
      </x:c>
      <x:c r="H2636" s="27" t="str">
        <x:v>Mathematics</x:v>
      </x:c>
      <x:c r="I2636" s="27" t="str">
        <x:v>SRC28</x:v>
      </x:c>
      <x:c r="J2636" s="27" t="str">
        <x:v>Outgoing use and placement rationale.</x:v>
      </x:c>
    </x:row>
    <x:row r="2637">
      <x:c r="A2637" s="27" t="str">
        <x:v>E02633</x:v>
      </x:c>
      <x:c r="B2637" s="27" t="str">
        <x:v>S24-MATH-06</x:v>
      </x:c>
      <x:c r="C2637" s="27" t="str">
        <x:v>Confidence intervals, significance tests, and regression</x:v>
      </x:c>
      <x:c r="D2637" s="27" t="str">
        <x:v>VERIFIED_BY</x:v>
      </x:c>
      <x:c r="E2637" s="27" t="str">
        <x:v>S24-MATH-06:EVIDENCE</x:v>
      </x:c>
      <x:c r="F2637" s="27" t="str">
        <x:v>Conducts an inference procedure and explains conclusion, uncertainty, assumptions, and practical meaning.</x:v>
      </x:c>
      <x:c r="G2637" s="27" t="str">
        <x:v>S24</x:v>
      </x:c>
      <x:c r="H2637" s="27" t="str">
        <x:v>Mathematics</x:v>
      </x:c>
      <x:c r="I2637" s="27" t="str">
        <x:v>SRC28</x:v>
      </x:c>
      <x:c r="J2637" s="27" t="str">
        <x:v>Observable evidence of usable learning.</x:v>
      </x:c>
    </x:row>
    <x:row r="2638">
      <x:c r="A2638" s="27" t="str">
        <x:v>E02634</x:v>
      </x:c>
      <x:c r="B2638" s="27" t="str">
        <x:v>S24-MATH-06</x:v>
      </x:c>
      <x:c r="C2638" s="27" t="str">
        <x:v>Previous node in domain progression</x:v>
      </x:c>
      <x:c r="D2638" s="27" t="str">
        <x:v>DOMAIN_SEQUENCE</x:v>
      </x:c>
      <x:c r="E2638" s="27" t="str">
        <x:v>S24-MATH-07</x:v>
      </x:c>
      <x:c r="F2638" s="27" t="str">
        <x:v>Limits and continuity</x:v>
      </x:c>
      <x:c r="G2638" s="27" t="str">
        <x:v>S24</x:v>
      </x:c>
      <x:c r="H2638" s="27" t="str">
        <x:v>Mathematics</x:v>
      </x:c>
      <x:c r="I2638" s="27" t="str">
        <x:v>SRC27</x:v>
      </x:c>
      <x:c r="J2638" s="27" t="str">
        <x:v>Ordered spiral link; consult explicit prerequisites for logical dependency.</x:v>
      </x:c>
    </x:row>
    <x:row r="2639">
      <x:c r="A2639" s="27" t="str">
        <x:v>E02635</x:v>
      </x:c>
      <x:c r="B2639" s="27" t="str">
        <x:v>S24-MATH-07:PREREQ</x:v>
      </x:c>
      <x:c r="C2639" s="27" t="str">
        <x:v>Precalculus function behavior, algebraic manipulation, and modeling.</x:v>
      </x:c>
      <x:c r="D2639" s="27" t="str">
        <x:v>PREREQUISITE</x:v>
      </x:c>
      <x:c r="E2639" s="27" t="str">
        <x:v>S24-MATH-07</x:v>
      </x:c>
      <x:c r="F2639" s="27" t="str">
        <x:v>Limits and continuity</x:v>
      </x:c>
      <x:c r="G2639" s="27" t="str">
        <x:v>S24</x:v>
      </x:c>
      <x:c r="H2639" s="27" t="str">
        <x:v>Mathematics</x:v>
      </x:c>
      <x:c r="I2639" s="27" t="str">
        <x:v>SRC27</x:v>
      </x:c>
      <x:c r="J2639" s="27" t="str">
        <x:v>Incoming prerequisite relationship.</x:v>
      </x:c>
    </x:row>
    <x:row r="2640">
      <x:c r="A2640" s="27" t="str">
        <x:v>E02636</x:v>
      </x:c>
      <x:c r="B2640" s="27" t="str">
        <x:v>S24-MATH-07:GROUND</x:v>
      </x:c>
      <x:c r="C2640" s="27" t="str">
        <x:v>G6/G7 — Evidence-based formal system demonstrated through authentic transfer</x:v>
      </x:c>
      <x:c r="D2640" s="27" t="str">
        <x:v>GROUNDED_BY</x:v>
      </x:c>
      <x:c r="E2640" s="27" t="str">
        <x:v>S24-MATH-07</x:v>
      </x:c>
      <x:c r="F2640" s="27" t="str">
        <x:v>Limits and continuity</x:v>
      </x:c>
      <x:c r="G2640" s="27" t="str">
        <x:v>S24</x:v>
      </x:c>
      <x:c r="H2640" s="27" t="str">
        <x:v>Mathematics</x:v>
      </x:c>
      <x:c r="I2640" s="27" t="str">
        <x:v>SRC27</x:v>
      </x:c>
      <x:c r="J2640" s="27" t="str">
        <x:v>Grounding form used to preserve meaning.</x:v>
      </x:c>
    </x:row>
    <x:row r="2641">
      <x:c r="A2641" s="27" t="str">
        <x:v>E02637</x:v>
      </x:c>
      <x:c r="B2641" s="27" t="str">
        <x:v>S24-MATH-07</x:v>
      </x:c>
      <x:c r="C2641" s="27" t="str">
        <x:v>Limits and continuity</x:v>
      </x:c>
      <x:c r="D2641" s="27" t="str">
        <x:v>CONNECTS_TO</x:v>
      </x:c>
      <x:c r="E2641" s="27" t="str">
        <x:v>S24-MATH-07:CROSS</x:v>
      </x:c>
      <x:c r="F2641" s="27" t="str">
        <x:v>Physical quantity and spatial action; science measurement/models; computing/algorithms; finance; music rhythm/pattern; geographic data.</x:v>
      </x:c>
      <x:c r="G2641" s="27" t="str">
        <x:v>S24</x:v>
      </x:c>
      <x:c r="H2641" s="27" t="str">
        <x:v>Mathematics</x:v>
      </x:c>
      <x:c r="I2641" s="27" t="str">
        <x:v>SRC27</x:v>
      </x:c>
      <x:c r="J2641" s="27" t="str">
        <x:v>Parallel subject and representation links.</x:v>
      </x:c>
    </x:row>
    <x:row r="2642">
      <x:c r="A2642" s="27" t="str">
        <x:v>E02638</x:v>
      </x:c>
      <x:c r="B2642" s="27" t="str">
        <x:v>S24-MATH-07</x:v>
      </x:c>
      <x:c r="C2642" s="27" t="str">
        <x:v>Limits and continuity</x:v>
      </x:c>
      <x:c r="D2642" s="27" t="str">
        <x:v>UNLOCKS</x:v>
      </x:c>
      <x:c r="E2642" s="27" t="str">
        <x:v>S24-MATH-07:NEXT</x:v>
      </x:c>
      <x:c r="F2642" s="27" t="str">
        <x:v>Limits rigorously define derivatives and integrals.</x:v>
      </x:c>
      <x:c r="G2642" s="27" t="str">
        <x:v>S24</x:v>
      </x:c>
      <x:c r="H2642" s="27" t="str">
        <x:v>Mathematics</x:v>
      </x:c>
      <x:c r="I2642" s="27" t="str">
        <x:v>SRC27</x:v>
      </x:c>
      <x:c r="J2642" s="27" t="str">
        <x:v>Outgoing use and placement rationale.</x:v>
      </x:c>
    </x:row>
    <x:row r="2643">
      <x:c r="A2643" s="27" t="str">
        <x:v>E02639</x:v>
      </x:c>
      <x:c r="B2643" s="27" t="str">
        <x:v>S24-MATH-07</x:v>
      </x:c>
      <x:c r="C2643" s="27" t="str">
        <x:v>Limits and continuity</x:v>
      </x:c>
      <x:c r="D2643" s="27" t="str">
        <x:v>VERIFIED_BY</x:v>
      </x:c>
      <x:c r="E2643" s="27" t="str">
        <x:v>S24-MATH-07:EVIDENCE</x:v>
      </x:c>
      <x:c r="F2643" s="27" t="str">
        <x:v>Evaluates/interprets a limit and connects it to local function behavior.</x:v>
      </x:c>
      <x:c r="G2643" s="27" t="str">
        <x:v>S24</x:v>
      </x:c>
      <x:c r="H2643" s="27" t="str">
        <x:v>Mathematics</x:v>
      </x:c>
      <x:c r="I2643" s="27" t="str">
        <x:v>SRC27</x:v>
      </x:c>
      <x:c r="J2643" s="27" t="str">
        <x:v>Observable evidence of usable learning.</x:v>
      </x:c>
    </x:row>
    <x:row r="2644">
      <x:c r="A2644" s="27" t="str">
        <x:v>E02640</x:v>
      </x:c>
      <x:c r="B2644" s="27" t="str">
        <x:v>S24-MATH-07</x:v>
      </x:c>
      <x:c r="C2644" s="27" t="str">
        <x:v>Previous node in domain progression</x:v>
      </x:c>
      <x:c r="D2644" s="27" t="str">
        <x:v>DOMAIN_SEQUENCE</x:v>
      </x:c>
      <x:c r="E2644" s="27" t="str">
        <x:v>S24-MATH-08</x:v>
      </x:c>
      <x:c r="F2644" s="27" t="str">
        <x:v>Derivative rules, representations, and applications</x:v>
      </x:c>
      <x:c r="G2644" s="27" t="str">
        <x:v>S24</x:v>
      </x:c>
      <x:c r="H2644" s="27" t="str">
        <x:v>Mathematics</x:v>
      </x:c>
      <x:c r="I2644" s="27" t="str">
        <x:v>SRC27</x:v>
      </x:c>
      <x:c r="J2644" s="27" t="str">
        <x:v>Ordered spiral link; consult explicit prerequisites for logical dependency.</x:v>
      </x:c>
    </x:row>
    <x:row r="2645">
      <x:c r="A2645" s="27" t="str">
        <x:v>E02641</x:v>
      </x:c>
      <x:c r="B2645" s="27" t="str">
        <x:v>S24-MATH-08:PREREQ</x:v>
      </x:c>
      <x:c r="C2645" s="27" t="str">
        <x:v>Limits, functions, trig/exponential/logarithmic fluency.</x:v>
      </x:c>
      <x:c r="D2645" s="27" t="str">
        <x:v>PREREQUISITE</x:v>
      </x:c>
      <x:c r="E2645" s="27" t="str">
        <x:v>S24-MATH-08</x:v>
      </x:c>
      <x:c r="F2645" s="27" t="str">
        <x:v>Derivative rules, representations, and applications</x:v>
      </x:c>
      <x:c r="G2645" s="27" t="str">
        <x:v>S24</x:v>
      </x:c>
      <x:c r="H2645" s="27" t="str">
        <x:v>Mathematics</x:v>
      </x:c>
      <x:c r="I2645" s="27" t="str">
        <x:v>SRC27</x:v>
      </x:c>
      <x:c r="J2645" s="27" t="str">
        <x:v>Incoming prerequisite relationship.</x:v>
      </x:c>
    </x:row>
    <x:row r="2646">
      <x:c r="A2646" s="27" t="str">
        <x:v>E02642</x:v>
      </x:c>
      <x:c r="B2646" s="27" t="str">
        <x:v>S24-MATH-08:GROUND</x:v>
      </x:c>
      <x:c r="C2646" s="27" t="str">
        <x:v>G6/G7 — Evidence-based formal system demonstrated through authentic transfer</x:v>
      </x:c>
      <x:c r="D2646" s="27" t="str">
        <x:v>GROUNDED_BY</x:v>
      </x:c>
      <x:c r="E2646" s="27" t="str">
        <x:v>S24-MATH-08</x:v>
      </x:c>
      <x:c r="F2646" s="27" t="str">
        <x:v>Derivative rules, representations, and applications</x:v>
      </x:c>
      <x:c r="G2646" s="27" t="str">
        <x:v>S24</x:v>
      </x:c>
      <x:c r="H2646" s="27" t="str">
        <x:v>Mathematics</x:v>
      </x:c>
      <x:c r="I2646" s="27" t="str">
        <x:v>SRC27</x:v>
      </x:c>
      <x:c r="J2646" s="27" t="str">
        <x:v>Grounding form used to preserve meaning.</x:v>
      </x:c>
    </x:row>
    <x:row r="2647">
      <x:c r="A2647" s="27" t="str">
        <x:v>E02643</x:v>
      </x:c>
      <x:c r="B2647" s="27" t="str">
        <x:v>S24-MATH-08</x:v>
      </x:c>
      <x:c r="C2647" s="27" t="str">
        <x:v>Derivative rules, representations, and applications</x:v>
      </x:c>
      <x:c r="D2647" s="27" t="str">
        <x:v>CONNECTS_TO</x:v>
      </x:c>
      <x:c r="E2647" s="27" t="str">
        <x:v>S24-MATH-08:CROSS</x:v>
      </x:c>
      <x:c r="F2647" s="27" t="str">
        <x:v>Physical quantity and spatial action; science measurement/models; computing/algorithms; finance; music rhythm/pattern; geographic data.</x:v>
      </x:c>
      <x:c r="G2647" s="27" t="str">
        <x:v>S24</x:v>
      </x:c>
      <x:c r="H2647" s="27" t="str">
        <x:v>Mathematics</x:v>
      </x:c>
      <x:c r="I2647" s="27" t="str">
        <x:v>SRC27</x:v>
      </x:c>
      <x:c r="J2647" s="27" t="str">
        <x:v>Parallel subject and representation links.</x:v>
      </x:c>
    </x:row>
    <x:row r="2648">
      <x:c r="A2648" s="27" t="str">
        <x:v>E02644</x:v>
      </x:c>
      <x:c r="B2648" s="27" t="str">
        <x:v>S24-MATH-08</x:v>
      </x:c>
      <x:c r="C2648" s="27" t="str">
        <x:v>Derivative rules, representations, and applications</x:v>
      </x:c>
      <x:c r="D2648" s="27" t="str">
        <x:v>UNLOCKS</x:v>
      </x:c>
      <x:c r="E2648" s="27" t="str">
        <x:v>S24-MATH-08:NEXT</x:v>
      </x:c>
      <x:c r="F2648" s="27" t="str">
        <x:v>Derivatives quantify local change and support prediction/optimization.</x:v>
      </x:c>
      <x:c r="G2648" s="27" t="str">
        <x:v>S24</x:v>
      </x:c>
      <x:c r="H2648" s="27" t="str">
        <x:v>Mathematics</x:v>
      </x:c>
      <x:c r="I2648" s="27" t="str">
        <x:v>SRC27</x:v>
      </x:c>
      <x:c r="J2648" s="27" t="str">
        <x:v>Outgoing use and placement rationale.</x:v>
      </x:c>
    </x:row>
    <x:row r="2649">
      <x:c r="A2649" s="27" t="str">
        <x:v>E02645</x:v>
      </x:c>
      <x:c r="B2649" s="27" t="str">
        <x:v>S24-MATH-08</x:v>
      </x:c>
      <x:c r="C2649" s="27" t="str">
        <x:v>Derivative rules, representations, and applications</x:v>
      </x:c>
      <x:c r="D2649" s="27" t="str">
        <x:v>VERIFIED_BY</x:v>
      </x:c>
      <x:c r="E2649" s="27" t="str">
        <x:v>S24-MATH-08:EVIDENCE</x:v>
      </x:c>
      <x:c r="F2649" s="27" t="str">
        <x:v>Computes and interprets a derivative-based conclusion with units and conditions.</x:v>
      </x:c>
      <x:c r="G2649" s="27" t="str">
        <x:v>S24</x:v>
      </x:c>
      <x:c r="H2649" s="27" t="str">
        <x:v>Mathematics</x:v>
      </x:c>
      <x:c r="I2649" s="27" t="str">
        <x:v>SRC27</x:v>
      </x:c>
      <x:c r="J2649" s="27" t="str">
        <x:v>Observable evidence of usable learning.</x:v>
      </x:c>
    </x:row>
    <x:row r="2650">
      <x:c r="A2650" s="27" t="str">
        <x:v>E02646</x:v>
      </x:c>
      <x:c r="B2650" s="27" t="str">
        <x:v>S24-MATH-08</x:v>
      </x:c>
      <x:c r="C2650" s="27" t="str">
        <x:v>Previous node in domain progression</x:v>
      </x:c>
      <x:c r="D2650" s="27" t="str">
        <x:v>DOMAIN_SEQUENCE</x:v>
      </x:c>
      <x:c r="E2650" s="27" t="str">
        <x:v>S24-MATH-09</x:v>
      </x:c>
      <x:c r="F2650" s="27" t="str">
        <x:v>Accumulation, Fundamental Theorem, and applications</x:v>
      </x:c>
      <x:c r="G2650" s="27" t="str">
        <x:v>S24</x:v>
      </x:c>
      <x:c r="H2650" s="27" t="str">
        <x:v>Mathematics</x:v>
      </x:c>
      <x:c r="I2650" s="27" t="str">
        <x:v>SRC27</x:v>
      </x:c>
      <x:c r="J2650" s="27" t="str">
        <x:v>Ordered spiral link; consult explicit prerequisites for logical dependency.</x:v>
      </x:c>
    </x:row>
    <x:row r="2651">
      <x:c r="A2651" s="27" t="str">
        <x:v>E02647</x:v>
      </x:c>
      <x:c r="B2651" s="27" t="str">
        <x:v>S24-MATH-09:PREREQ</x:v>
      </x:c>
      <x:c r="C2651" s="27" t="str">
        <x:v>Limits, derivatives, summation, and function models.</x:v>
      </x:c>
      <x:c r="D2651" s="27" t="str">
        <x:v>PREREQUISITE</x:v>
      </x:c>
      <x:c r="E2651" s="27" t="str">
        <x:v>S24-MATH-09</x:v>
      </x:c>
      <x:c r="F2651" s="27" t="str">
        <x:v>Accumulation, Fundamental Theorem, and applications</x:v>
      </x:c>
      <x:c r="G2651" s="27" t="str">
        <x:v>S24</x:v>
      </x:c>
      <x:c r="H2651" s="27" t="str">
        <x:v>Mathematics</x:v>
      </x:c>
      <x:c r="I2651" s="27" t="str">
        <x:v>SRC27</x:v>
      </x:c>
      <x:c r="J2651" s="27" t="str">
        <x:v>Incoming prerequisite relationship.</x:v>
      </x:c>
    </x:row>
    <x:row r="2652">
      <x:c r="A2652" s="27" t="str">
        <x:v>E02648</x:v>
      </x:c>
      <x:c r="B2652" s="27" t="str">
        <x:v>S24-MATH-09:GROUND</x:v>
      </x:c>
      <x:c r="C2652" s="27" t="str">
        <x:v>G6/G7 — Evidence-based formal system demonstrated through authentic transfer</x:v>
      </x:c>
      <x:c r="D2652" s="27" t="str">
        <x:v>GROUNDED_BY</x:v>
      </x:c>
      <x:c r="E2652" s="27" t="str">
        <x:v>S24-MATH-09</x:v>
      </x:c>
      <x:c r="F2652" s="27" t="str">
        <x:v>Accumulation, Fundamental Theorem, and applications</x:v>
      </x:c>
      <x:c r="G2652" s="27" t="str">
        <x:v>S24</x:v>
      </x:c>
      <x:c r="H2652" s="27" t="str">
        <x:v>Mathematics</x:v>
      </x:c>
      <x:c r="I2652" s="27" t="str">
        <x:v>SRC27</x:v>
      </x:c>
      <x:c r="J2652" s="27" t="str">
        <x:v>Grounding form used to preserve meaning.</x:v>
      </x:c>
    </x:row>
    <x:row r="2653">
      <x:c r="A2653" s="27" t="str">
        <x:v>E02649</x:v>
      </x:c>
      <x:c r="B2653" s="27" t="str">
        <x:v>S24-MATH-09</x:v>
      </x:c>
      <x:c r="C2653" s="27" t="str">
        <x:v>Accumulation, Fundamental Theorem, and applications</x:v>
      </x:c>
      <x:c r="D2653" s="27" t="str">
        <x:v>CONNECTS_TO</x:v>
      </x:c>
      <x:c r="E2653" s="27" t="str">
        <x:v>S24-MATH-09:CROSS</x:v>
      </x:c>
      <x:c r="F2653" s="27" t="str">
        <x:v>Physical quantity and spatial action; science measurement/models; computing/algorithms; finance; music rhythm/pattern; geographic data.</x:v>
      </x:c>
      <x:c r="G2653" s="27" t="str">
        <x:v>S24</x:v>
      </x:c>
      <x:c r="H2653" s="27" t="str">
        <x:v>Mathematics</x:v>
      </x:c>
      <x:c r="I2653" s="27" t="str">
        <x:v>SRC27</x:v>
      </x:c>
      <x:c r="J2653" s="27" t="str">
        <x:v>Parallel subject and representation links.</x:v>
      </x:c>
    </x:row>
    <x:row r="2654">
      <x:c r="A2654" s="27" t="str">
        <x:v>E02650</x:v>
      </x:c>
      <x:c r="B2654" s="27" t="str">
        <x:v>S24-MATH-09</x:v>
      </x:c>
      <x:c r="C2654" s="27" t="str">
        <x:v>Accumulation, Fundamental Theorem, and applications</x:v>
      </x:c>
      <x:c r="D2654" s="27" t="str">
        <x:v>UNLOCKS</x:v>
      </x:c>
      <x:c r="E2654" s="27" t="str">
        <x:v>S24-MATH-09:NEXT</x:v>
      </x:c>
      <x:c r="F2654" s="27" t="str">
        <x:v>Integration reconstructs accumulated quantity from rate and links local/global change.</x:v>
      </x:c>
      <x:c r="G2654" s="27" t="str">
        <x:v>S24</x:v>
      </x:c>
      <x:c r="H2654" s="27" t="str">
        <x:v>Mathematics</x:v>
      </x:c>
      <x:c r="I2654" s="27" t="str">
        <x:v>SRC27</x:v>
      </x:c>
      <x:c r="J2654" s="27" t="str">
        <x:v>Outgoing use and placement rationale.</x:v>
      </x:c>
    </x:row>
    <x:row r="2655">
      <x:c r="A2655" s="27" t="str">
        <x:v>E02651</x:v>
      </x:c>
      <x:c r="B2655" s="27" t="str">
        <x:v>S24-MATH-09</x:v>
      </x:c>
      <x:c r="C2655" s="27" t="str">
        <x:v>Accumulation, Fundamental Theorem, and applications</x:v>
      </x:c>
      <x:c r="D2655" s="27" t="str">
        <x:v>VERIFIED_BY</x:v>
      </x:c>
      <x:c r="E2655" s="27" t="str">
        <x:v>S24-MATH-09:EVIDENCE</x:v>
      </x:c>
      <x:c r="F2655" s="27" t="str">
        <x:v>Builds/evaluates an integral and explains the accumulated quantity and units.</x:v>
      </x:c>
      <x:c r="G2655" s="27" t="str">
        <x:v>S24</x:v>
      </x:c>
      <x:c r="H2655" s="27" t="str">
        <x:v>Mathematics</x:v>
      </x:c>
      <x:c r="I2655" s="27" t="str">
        <x:v>SRC27</x:v>
      </x:c>
      <x:c r="J2655" s="27" t="str">
        <x:v>Observable evidence of usable learning.</x:v>
      </x:c>
    </x:row>
    <x:row r="2656">
      <x:c r="A2656" s="27" t="str">
        <x:v>E02652</x:v>
      </x:c>
      <x:c r="B2656" s="27" t="str">
        <x:v>S24-MATH-09</x:v>
      </x:c>
      <x:c r="C2656" s="27" t="str">
        <x:v>Previous node in domain progression</x:v>
      </x:c>
      <x:c r="D2656" s="27" t="str">
        <x:v>DOMAIN_SEQUENCE</x:v>
      </x:c>
      <x:c r="E2656" s="27" t="str">
        <x:v>S24-MATH-10</x:v>
      </x:c>
      <x:c r="F2656" s="27" t="str">
        <x:v>Slope fields, separable equations, and growth models</x:v>
      </x:c>
      <x:c r="G2656" s="27" t="str">
        <x:v>S24</x:v>
      </x:c>
      <x:c r="H2656" s="27" t="str">
        <x:v>Mathematics</x:v>
      </x:c>
      <x:c r="I2656" s="27" t="str">
        <x:v>SRC27</x:v>
      </x:c>
      <x:c r="J2656" s="27" t="str">
        <x:v>Ordered spiral link; consult explicit prerequisites for logical dependency.</x:v>
      </x:c>
    </x:row>
    <x:row r="2657">
      <x:c r="A2657" s="27" t="str">
        <x:v>E02653</x:v>
      </x:c>
      <x:c r="B2657" s="27" t="str">
        <x:v>S24-MATH-10:PREREQ</x:v>
      </x:c>
      <x:c r="C2657" s="27" t="str">
        <x:v>Derivatives, integrals, exponentials/logarithms, and functions.</x:v>
      </x:c>
      <x:c r="D2657" s="27" t="str">
        <x:v>PREREQUISITE</x:v>
      </x:c>
      <x:c r="E2657" s="27" t="str">
        <x:v>S24-MATH-10</x:v>
      </x:c>
      <x:c r="F2657" s="27" t="str">
        <x:v>Slope fields, separable equations, and growth models</x:v>
      </x:c>
      <x:c r="G2657" s="27" t="str">
        <x:v>S24</x:v>
      </x:c>
      <x:c r="H2657" s="27" t="str">
        <x:v>Mathematics</x:v>
      </x:c>
      <x:c r="I2657" s="27" t="str">
        <x:v>SRC27</x:v>
      </x:c>
      <x:c r="J2657" s="27" t="str">
        <x:v>Incoming prerequisite relationship.</x:v>
      </x:c>
    </x:row>
    <x:row r="2658">
      <x:c r="A2658" s="27" t="str">
        <x:v>E02654</x:v>
      </x:c>
      <x:c r="B2658" s="27" t="str">
        <x:v>S24-MATH-10:GROUND</x:v>
      </x:c>
      <x:c r="C2658" s="27" t="str">
        <x:v>G6/G7 — Evidence-based formal system demonstrated through authentic transfer</x:v>
      </x:c>
      <x:c r="D2658" s="27" t="str">
        <x:v>GROUNDED_BY</x:v>
      </x:c>
      <x:c r="E2658" s="27" t="str">
        <x:v>S24-MATH-10</x:v>
      </x:c>
      <x:c r="F2658" s="27" t="str">
        <x:v>Slope fields, separable equations, and growth models</x:v>
      </x:c>
      <x:c r="G2658" s="27" t="str">
        <x:v>S24</x:v>
      </x:c>
      <x:c r="H2658" s="27" t="str">
        <x:v>Mathematics</x:v>
      </x:c>
      <x:c r="I2658" s="27" t="str">
        <x:v>SRC27</x:v>
      </x:c>
      <x:c r="J2658" s="27" t="str">
        <x:v>Grounding form used to preserve meaning.</x:v>
      </x:c>
    </x:row>
    <x:row r="2659">
      <x:c r="A2659" s="27" t="str">
        <x:v>E02655</x:v>
      </x:c>
      <x:c r="B2659" s="27" t="str">
        <x:v>S24-MATH-10</x:v>
      </x:c>
      <x:c r="C2659" s="27" t="str">
        <x:v>Slope fields, separable equations, and growth models</x:v>
      </x:c>
      <x:c r="D2659" s="27" t="str">
        <x:v>CONNECTS_TO</x:v>
      </x:c>
      <x:c r="E2659" s="27" t="str">
        <x:v>S24-MATH-10:CROSS</x:v>
      </x:c>
      <x:c r="F2659" s="27" t="str">
        <x:v>Physical quantity and spatial action; science measurement/models; computing/algorithms; finance; music rhythm/pattern; geographic data.</x:v>
      </x:c>
      <x:c r="G2659" s="27" t="str">
        <x:v>S24</x:v>
      </x:c>
      <x:c r="H2659" s="27" t="str">
        <x:v>Mathematics</x:v>
      </x:c>
      <x:c r="I2659" s="27" t="str">
        <x:v>SRC27</x:v>
      </x:c>
      <x:c r="J2659" s="27" t="str">
        <x:v>Parallel subject and representation links.</x:v>
      </x:c>
    </x:row>
    <x:row r="2660">
      <x:c r="A2660" s="27" t="str">
        <x:v>E02656</x:v>
      </x:c>
      <x:c r="B2660" s="27" t="str">
        <x:v>S24-MATH-10</x:v>
      </x:c>
      <x:c r="C2660" s="27" t="str">
        <x:v>Slope fields, separable equations, and growth models</x:v>
      </x:c>
      <x:c r="D2660" s="27" t="str">
        <x:v>UNLOCKS</x:v>
      </x:c>
      <x:c r="E2660" s="27" t="str">
        <x:v>S24-MATH-10:NEXT</x:v>
      </x:c>
      <x:c r="F2660" s="27" t="str">
        <x:v>Differential equations express laws directly as relationships among changing quantities.</x:v>
      </x:c>
      <x:c r="G2660" s="27" t="str">
        <x:v>S24</x:v>
      </x:c>
      <x:c r="H2660" s="27" t="str">
        <x:v>Mathematics</x:v>
      </x:c>
      <x:c r="I2660" s="27" t="str">
        <x:v>SRC27</x:v>
      </x:c>
      <x:c r="J2660" s="27" t="str">
        <x:v>Outgoing use and placement rationale.</x:v>
      </x:c>
    </x:row>
    <x:row r="2661">
      <x:c r="A2661" s="27" t="str">
        <x:v>E02657</x:v>
      </x:c>
      <x:c r="B2661" s="27" t="str">
        <x:v>S24-MATH-10</x:v>
      </x:c>
      <x:c r="C2661" s="27" t="str">
        <x:v>Slope fields, separable equations, and growth models</x:v>
      </x:c>
      <x:c r="D2661" s="27" t="str">
        <x:v>VERIFIED_BY</x:v>
      </x:c>
      <x:c r="E2661" s="27" t="str">
        <x:v>S24-MATH-10:EVIDENCE</x:v>
      </x:c>
      <x:c r="F2661" s="27" t="str">
        <x:v>Creates/solves a model and interprets parameters, initial condition, and solution behavior.</x:v>
      </x:c>
      <x:c r="G2661" s="27" t="str">
        <x:v>S24</x:v>
      </x:c>
      <x:c r="H2661" s="27" t="str">
        <x:v>Mathematics</x:v>
      </x:c>
      <x:c r="I2661" s="27" t="str">
        <x:v>SRC27</x:v>
      </x:c>
      <x:c r="J2661" s="27" t="str">
        <x:v>Observable evidence of usable learning.</x:v>
      </x:c>
    </x:row>
    <x:row r="2662">
      <x:c r="A2662" s="27" t="str">
        <x:v>E02658</x:v>
      </x:c>
      <x:c r="B2662" s="27" t="str">
        <x:v>S23-SCI-05</x:v>
      </x:c>
      <x:c r="C2662" s="27" t="str">
        <x:v>Previous node in domain progression</x:v>
      </x:c>
      <x:c r="D2662" s="27" t="str">
        <x:v>DOMAIN_SEQUENCE</x:v>
      </x:c>
      <x:c r="E2662" s="27" t="str">
        <x:v>S24-SCI-01</x:v>
      </x:c>
      <x:c r="F2662" s="27" t="str">
        <x:v>Model comparison, uncertainty, and societal decision</x:v>
      </x:c>
      <x:c r="G2662" s="27" t="str">
        <x:v>S24</x:v>
      </x:c>
      <x:c r="H2662" s="27" t="str">
        <x:v>Science &amp; Engineering</x:v>
      </x:c>
      <x:c r="I2662" s="27" t="str">
        <x:v>SRC11</x:v>
      </x:c>
      <x:c r="J2662" s="27" t="str">
        <x:v>Ordered spiral link; consult explicit prerequisites for logical dependency.</x:v>
      </x:c>
    </x:row>
    <x:row r="2663">
      <x:c r="A2663" s="27" t="str">
        <x:v>E02659</x:v>
      </x:c>
      <x:c r="B2663" s="27" t="str">
        <x:v>S24-SCI-01:PREREQ</x:v>
      </x:c>
      <x:c r="C2663" s="27" t="str">
        <x:v>High-school lab sciences, statistics, research, and ethics.</x:v>
      </x:c>
      <x:c r="D2663" s="27" t="str">
        <x:v>PREREQUISITE</x:v>
      </x:c>
      <x:c r="E2663" s="27" t="str">
        <x:v>S24-SCI-01</x:v>
      </x:c>
      <x:c r="F2663" s="27" t="str">
        <x:v>Model comparison, uncertainty, and societal decision</x:v>
      </x:c>
      <x:c r="G2663" s="27" t="str">
        <x:v>S24</x:v>
      </x:c>
      <x:c r="H2663" s="27" t="str">
        <x:v>Science &amp; Engineering</x:v>
      </x:c>
      <x:c r="I2663" s="27" t="str">
        <x:v>SRC11</x:v>
      </x:c>
      <x:c r="J2663" s="27" t="str">
        <x:v>Incoming prerequisite relationship.</x:v>
      </x:c>
    </x:row>
    <x:row r="2664">
      <x:c r="A2664" s="27" t="str">
        <x:v>E02660</x:v>
      </x:c>
      <x:c r="B2664" s="27" t="str">
        <x:v>S24-SCI-01:GROUND</x:v>
      </x:c>
      <x:c r="C2664" s="27" t="str">
        <x:v>G6/G7 — Evidence-based formal system demonstrated through authentic transfer</x:v>
      </x:c>
      <x:c r="D2664" s="27" t="str">
        <x:v>GROUNDED_BY</x:v>
      </x:c>
      <x:c r="E2664" s="27" t="str">
        <x:v>S24-SCI-01</x:v>
      </x:c>
      <x:c r="F2664" s="27" t="str">
        <x:v>Model comparison, uncertainty, and societal decision</x:v>
      </x:c>
      <x:c r="G2664" s="27" t="str">
        <x:v>S24</x:v>
      </x:c>
      <x:c r="H2664" s="27" t="str">
        <x:v>Science &amp; Engineering</x:v>
      </x:c>
      <x:c r="I2664" s="27" t="str">
        <x:v>SRC11</x:v>
      </x:c>
      <x:c r="J2664" s="27" t="str">
        <x:v>Grounding form used to preserve meaning.</x:v>
      </x:c>
    </x:row>
    <x:row r="2665">
      <x:c r="A2665" s="27" t="str">
        <x:v>E02661</x:v>
      </x:c>
      <x:c r="B2665" s="27" t="str">
        <x:v>S24-SCI-01</x:v>
      </x:c>
      <x:c r="C2665" s="27" t="str">
        <x:v>Model comparison, uncertainty, and societal decision</x:v>
      </x:c>
      <x:c r="D2665" s="27" t="str">
        <x:v>CONNECTS_TO</x:v>
      </x:c>
      <x:c r="E2665" s="27" t="str">
        <x:v>S24-SCI-01:CROSS</x:v>
      </x:c>
      <x:c r="F2665" s="27" t="str">
        <x:v>Sensory observation and action; mathematics/data; reading/writing evidence; computing/models; health and environmental/civic decisions.</x:v>
      </x:c>
      <x:c r="G2665" s="27" t="str">
        <x:v>S24</x:v>
      </x:c>
      <x:c r="H2665" s="27" t="str">
        <x:v>Science &amp; Engineering</x:v>
      </x:c>
      <x:c r="I2665" s="27" t="str">
        <x:v>SRC11</x:v>
      </x:c>
      <x:c r="J2665" s="27" t="str">
        <x:v>Parallel subject and representation links.</x:v>
      </x:c>
    </x:row>
    <x:row r="2666">
      <x:c r="A2666" s="27" t="str">
        <x:v>E02662</x:v>
      </x:c>
      <x:c r="B2666" s="27" t="str">
        <x:v>S24-SCI-01</x:v>
      </x:c>
      <x:c r="C2666" s="27" t="str">
        <x:v>Model comparison, uncertainty, and societal decision</x:v>
      </x:c>
      <x:c r="D2666" s="27" t="str">
        <x:v>UNLOCKS</x:v>
      </x:c>
      <x:c r="E2666" s="27" t="str">
        <x:v>S24-SCI-01:NEXT</x:v>
      </x:c>
      <x:c r="F2666" s="27" t="str">
        <x:v>Synthesis prepares specialized postsecondary science and evidence-based policy/work decisions.</x:v>
      </x:c>
      <x:c r="G2666" s="27" t="str">
        <x:v>S24</x:v>
      </x:c>
      <x:c r="H2666" s="27" t="str">
        <x:v>Science &amp; Engineering</x:v>
      </x:c>
      <x:c r="I2666" s="27" t="str">
        <x:v>SRC11</x:v>
      </x:c>
      <x:c r="J2666" s="27" t="str">
        <x:v>Outgoing use and placement rationale.</x:v>
      </x:c>
    </x:row>
    <x:row r="2667">
      <x:c r="A2667" s="27" t="str">
        <x:v>E02663</x:v>
      </x:c>
      <x:c r="B2667" s="27" t="str">
        <x:v>S24-SCI-01</x:v>
      </x:c>
      <x:c r="C2667" s="27" t="str">
        <x:v>Model comparison, uncertainty, and societal decision</x:v>
      </x:c>
      <x:c r="D2667" s="27" t="str">
        <x:v>VERIFIED_BY</x:v>
      </x:c>
      <x:c r="E2667" s="27" t="str">
        <x:v>S24-SCI-01:EVIDENCE</x:v>
      </x:c>
      <x:c r="F2667" s="27" t="str">
        <x:v>Compares models using data, assumptions, scale, uncertainty, and consequences.</x:v>
      </x:c>
      <x:c r="G2667" s="27" t="str">
        <x:v>S24</x:v>
      </x:c>
      <x:c r="H2667" s="27" t="str">
        <x:v>Science &amp; Engineering</x:v>
      </x:c>
      <x:c r="I2667" s="27" t="str">
        <x:v>SRC11</x:v>
      </x:c>
      <x:c r="J2667" s="27" t="str">
        <x:v>Observable evidence of usable learning.</x:v>
      </x:c>
    </x:row>
    <x:row r="2668">
      <x:c r="A2668" s="27" t="str">
        <x:v>E02664</x:v>
      </x:c>
      <x:c r="B2668" s="27" t="str">
        <x:v>S23-SST-02</x:v>
      </x:c>
      <x:c r="C2668" s="27" t="str">
        <x:v>Previous node in domain progression</x:v>
      </x:c>
      <x:c r="D2668" s="27" t="str">
        <x:v>DOMAIN_SEQUENCE</x:v>
      </x:c>
      <x:c r="E2668" s="27" t="str">
        <x:v>S24-SST-01</x:v>
      </x:c>
      <x:c r="F2668" s="27" t="str">
        <x:v>Constitution, institutions, rights, policy, and participation</x:v>
      </x:c>
      <x:c r="G2668" s="27" t="str">
        <x:v>S24</x:v>
      </x:c>
      <x:c r="H2668" s="27" t="str">
        <x:v>Social Studies</x:v>
      </x:c>
      <x:c r="I2668" s="27" t="str">
        <x:v>SRC12; SRC24</x:v>
      </x:c>
      <x:c r="J2668" s="27" t="str">
        <x:v>Ordered spiral link; consult explicit prerequisites for logical dependency.</x:v>
      </x:c>
    </x:row>
    <x:row r="2669">
      <x:c r="A2669" s="27" t="str">
        <x:v>E02665</x:v>
      </x:c>
      <x:c r="B2669" s="27" t="str">
        <x:v>S24-SST-01:PREREQ</x:v>
      </x:c>
      <x:c r="C2669" s="27" t="str">
        <x:v>Grade 8 civics, U.S. history, advanced argument, and media verification.</x:v>
      </x:c>
      <x:c r="D2669" s="27" t="str">
        <x:v>PREREQUISITE</x:v>
      </x:c>
      <x:c r="E2669" s="27" t="str">
        <x:v>S24-SST-01</x:v>
      </x:c>
      <x:c r="F2669" s="27" t="str">
        <x:v>Constitution, institutions, rights, policy, and participation</x:v>
      </x:c>
      <x:c r="G2669" s="27" t="str">
        <x:v>S24</x:v>
      </x:c>
      <x:c r="H2669" s="27" t="str">
        <x:v>Social Studies</x:v>
      </x:c>
      <x:c r="I2669" s="27" t="str">
        <x:v>SRC12; SRC24</x:v>
      </x:c>
      <x:c r="J2669" s="27" t="str">
        <x:v>Incoming prerequisite relationship.</x:v>
      </x:c>
    </x:row>
    <x:row r="2670">
      <x:c r="A2670" s="27" t="str">
        <x:v>E02666</x:v>
      </x:c>
      <x:c r="B2670" s="27" t="str">
        <x:v>S24-SST-01:GROUND</x:v>
      </x:c>
      <x:c r="C2670" s="27" t="str">
        <x:v>G6/G7 — Evidence-based formal system demonstrated through authentic transfer</x:v>
      </x:c>
      <x:c r="D2670" s="27" t="str">
        <x:v>GROUNDED_BY</x:v>
      </x:c>
      <x:c r="E2670" s="27" t="str">
        <x:v>S24-SST-01</x:v>
      </x:c>
      <x:c r="F2670" s="27" t="str">
        <x:v>Constitution, institutions, rights, policy, and participation</x:v>
      </x:c>
      <x:c r="G2670" s="27" t="str">
        <x:v>S24</x:v>
      </x:c>
      <x:c r="H2670" s="27" t="str">
        <x:v>Social Studies</x:v>
      </x:c>
      <x:c r="I2670" s="27" t="str">
        <x:v>SRC12; SRC24</x:v>
      </x:c>
      <x:c r="J2670" s="27" t="str">
        <x:v>Grounding form used to preserve meaning.</x:v>
      </x:c>
    </x:row>
    <x:row r="2671">
      <x:c r="A2671" s="27" t="str">
        <x:v>E02667</x:v>
      </x:c>
      <x:c r="B2671" s="27" t="str">
        <x:v>S24-SST-01</x:v>
      </x:c>
      <x:c r="C2671" s="27" t="str">
        <x:v>Constitution, institutions, rights, policy, and participation</x:v>
      </x:c>
      <x:c r="D2671" s="27" t="str">
        <x:v>CONNECTS_TO</x:v>
      </x:c>
      <x:c r="E2671" s="27" t="str">
        <x:v>S24-SST-01:CROSS</x:v>
      </x:c>
      <x:c r="F2671" s="27" t="str">
        <x:v>Language/literacy and source evidence; maps/data/economics; ethics/SEL; media literacy; arts/culture; civic action.</x:v>
      </x:c>
      <x:c r="G2671" s="27" t="str">
        <x:v>S24</x:v>
      </x:c>
      <x:c r="H2671" s="27" t="str">
        <x:v>Social Studies</x:v>
      </x:c>
      <x:c r="I2671" s="27" t="str">
        <x:v>SRC12; SRC24</x:v>
      </x:c>
      <x:c r="J2671" s="27" t="str">
        <x:v>Parallel subject and representation links.</x:v>
      </x:c>
    </x:row>
    <x:row r="2672">
      <x:c r="A2672" s="27" t="str">
        <x:v>E02668</x:v>
      </x:c>
      <x:c r="B2672" s="27" t="str">
        <x:v>S24-SST-01</x:v>
      </x:c>
      <x:c r="C2672" s="27" t="str">
        <x:v>Constitution, institutions, rights, policy, and participation</x:v>
      </x:c>
      <x:c r="D2672" s="27" t="str">
        <x:v>UNLOCKS</x:v>
      </x:c>
      <x:c r="E2672" s="27" t="str">
        <x:v>S24-SST-01:NEXT</x:v>
      </x:c>
      <x:c r="F2672" s="27" t="str">
        <x:v>Institutional knowledge and evidence evaluation support effective democratic participation.</x:v>
      </x:c>
      <x:c r="G2672" s="27" t="str">
        <x:v>S24</x:v>
      </x:c>
      <x:c r="H2672" s="27" t="str">
        <x:v>Social Studies</x:v>
      </x:c>
      <x:c r="I2672" s="27" t="str">
        <x:v>SRC12; SRC24</x:v>
      </x:c>
      <x:c r="J2672" s="27" t="str">
        <x:v>Outgoing use and placement rationale.</x:v>
      </x:c>
    </x:row>
    <x:row r="2673">
      <x:c r="A2673" s="27" t="str">
        <x:v>E02669</x:v>
      </x:c>
      <x:c r="B2673" s="27" t="str">
        <x:v>S24-SST-01</x:v>
      </x:c>
      <x:c r="C2673" s="27" t="str">
        <x:v>Constitution, institutions, rights, policy, and participation</x:v>
      </x:c>
      <x:c r="D2673" s="27" t="str">
        <x:v>VERIFIED_BY</x:v>
      </x:c>
      <x:c r="E2673" s="27" t="str">
        <x:v>S24-SST-01:EVIDENCE</x:v>
      </x:c>
      <x:c r="F2673" s="27" t="str">
        <x:v>Produces and acts on a policy analysis grounded in law, evidence, stakeholders, and implementation.</x:v>
      </x:c>
      <x:c r="G2673" s="27" t="str">
        <x:v>S24</x:v>
      </x:c>
      <x:c r="H2673" s="27" t="str">
        <x:v>Social Studies</x:v>
      </x:c>
      <x:c r="I2673" s="27" t="str">
        <x:v>SRC12; SRC24</x:v>
      </x:c>
      <x:c r="J2673" s="27" t="str">
        <x:v>Observable evidence of usable learning.</x:v>
      </x:c>
    </x:row>
    <x:row r="2674">
      <x:c r="A2674" s="27" t="str">
        <x:v>E02670</x:v>
      </x:c>
      <x:c r="B2674" s="27" t="str">
        <x:v>S24-SST-01</x:v>
      </x:c>
      <x:c r="C2674" s="27" t="str">
        <x:v>Previous node in domain progression</x:v>
      </x:c>
      <x:c r="D2674" s="27" t="str">
        <x:v>DOMAIN_SEQUENCE</x:v>
      </x:c>
      <x:c r="E2674" s="27" t="str">
        <x:v>S24-SST-02</x:v>
      </x:c>
      <x:c r="F2674" s="27" t="str">
        <x:v>Markets, firms, government, macroeconomics, and global trade</x:v>
      </x:c>
      <x:c r="G2674" s="27" t="str">
        <x:v>S24</x:v>
      </x:c>
      <x:c r="H2674" s="27" t="str">
        <x:v>Social Studies</x:v>
      </x:c>
      <x:c r="I2674" s="27" t="str">
        <x:v>SRC12; SRC19; SRC24</x:v>
      </x:c>
      <x:c r="J2674" s="27" t="str">
        <x:v>Ordered spiral link; consult explicit prerequisites for logical dependency.</x:v>
      </x:c>
    </x:row>
    <x:row r="2675">
      <x:c r="A2675" s="27" t="str">
        <x:v>E02671</x:v>
      </x:c>
      <x:c r="B2675" s="27" t="str">
        <x:v>S24-SST-02:PREREQ</x:v>
      </x:c>
      <x:c r="C2675" s="27" t="str">
        <x:v>Ratios/functions/statistics, Grade 7–11 finance, and historical institutions.</x:v>
      </x:c>
      <x:c r="D2675" s="27" t="str">
        <x:v>PREREQUISITE</x:v>
      </x:c>
      <x:c r="E2675" s="27" t="str">
        <x:v>S24-SST-02</x:v>
      </x:c>
      <x:c r="F2675" s="27" t="str">
        <x:v>Markets, firms, government, macroeconomics, and global trade</x:v>
      </x:c>
      <x:c r="G2675" s="27" t="str">
        <x:v>S24</x:v>
      </x:c>
      <x:c r="H2675" s="27" t="str">
        <x:v>Social Studies</x:v>
      </x:c>
      <x:c r="I2675" s="27" t="str">
        <x:v>SRC12; SRC19; SRC24</x:v>
      </x:c>
      <x:c r="J2675" s="27" t="str">
        <x:v>Incoming prerequisite relationship.</x:v>
      </x:c>
    </x:row>
    <x:row r="2676">
      <x:c r="A2676" s="27" t="str">
        <x:v>E02672</x:v>
      </x:c>
      <x:c r="B2676" s="27" t="str">
        <x:v>S24-SST-02:GROUND</x:v>
      </x:c>
      <x:c r="C2676" s="27" t="str">
        <x:v>G6/G7 — Evidence-based formal system demonstrated through authentic transfer</x:v>
      </x:c>
      <x:c r="D2676" s="27" t="str">
        <x:v>GROUNDED_BY</x:v>
      </x:c>
      <x:c r="E2676" s="27" t="str">
        <x:v>S24-SST-02</x:v>
      </x:c>
      <x:c r="F2676" s="27" t="str">
        <x:v>Markets, firms, government, macroeconomics, and global trade</x:v>
      </x:c>
      <x:c r="G2676" s="27" t="str">
        <x:v>S24</x:v>
      </x:c>
      <x:c r="H2676" s="27" t="str">
        <x:v>Social Studies</x:v>
      </x:c>
      <x:c r="I2676" s="27" t="str">
        <x:v>SRC12; SRC19; SRC24</x:v>
      </x:c>
      <x:c r="J2676" s="27" t="str">
        <x:v>Grounding form used to preserve meaning.</x:v>
      </x:c>
    </x:row>
    <x:row r="2677">
      <x:c r="A2677" s="27" t="str">
        <x:v>E02673</x:v>
      </x:c>
      <x:c r="B2677" s="27" t="str">
        <x:v>S24-SST-02</x:v>
      </x:c>
      <x:c r="C2677" s="27" t="str">
        <x:v>Markets, firms, government, macroeconomics, and global trade</x:v>
      </x:c>
      <x:c r="D2677" s="27" t="str">
        <x:v>CONNECTS_TO</x:v>
      </x:c>
      <x:c r="E2677" s="27" t="str">
        <x:v>S24-SST-02:CROSS</x:v>
      </x:c>
      <x:c r="F2677" s="27" t="str">
        <x:v>Language/literacy and source evidence; maps/data/economics; ethics/SEL; media literacy; arts/culture; civic action.</x:v>
      </x:c>
      <x:c r="G2677" s="27" t="str">
        <x:v>S24</x:v>
      </x:c>
      <x:c r="H2677" s="27" t="str">
        <x:v>Social Studies</x:v>
      </x:c>
      <x:c r="I2677" s="27" t="str">
        <x:v>SRC12; SRC19; SRC24</x:v>
      </x:c>
      <x:c r="J2677" s="27" t="str">
        <x:v>Parallel subject and representation links.</x:v>
      </x:c>
    </x:row>
    <x:row r="2678">
      <x:c r="A2678" s="27" t="str">
        <x:v>E02674</x:v>
      </x:c>
      <x:c r="B2678" s="27" t="str">
        <x:v>S24-SST-02</x:v>
      </x:c>
      <x:c r="C2678" s="27" t="str">
        <x:v>Markets, firms, government, macroeconomics, and global trade</x:v>
      </x:c>
      <x:c r="D2678" s="27" t="str">
        <x:v>UNLOCKS</x:v>
      </x:c>
      <x:c r="E2678" s="27" t="str">
        <x:v>S24-SST-02:NEXT</x:v>
      </x:c>
      <x:c r="F2678" s="27" t="str">
        <x:v>Economic models organize tradeoffs and system effects in public/personal decisions.</x:v>
      </x:c>
      <x:c r="G2678" s="27" t="str">
        <x:v>S24</x:v>
      </x:c>
      <x:c r="H2678" s="27" t="str">
        <x:v>Social Studies</x:v>
      </x:c>
      <x:c r="I2678" s="27" t="str">
        <x:v>SRC12; SRC19; SRC24</x:v>
      </x:c>
      <x:c r="J2678" s="27" t="str">
        <x:v>Outgoing use and placement rationale.</x:v>
      </x:c>
    </x:row>
    <x:row r="2679">
      <x:c r="A2679" s="27" t="str">
        <x:v>E02675</x:v>
      </x:c>
      <x:c r="B2679" s="27" t="str">
        <x:v>S24-SST-02</x:v>
      </x:c>
      <x:c r="C2679" s="27" t="str">
        <x:v>Markets, firms, government, macroeconomics, and global trade</x:v>
      </x:c>
      <x:c r="D2679" s="27" t="str">
        <x:v>VERIFIED_BY</x:v>
      </x:c>
      <x:c r="E2679" s="27" t="str">
        <x:v>S24-SST-02:EVIDENCE</x:v>
      </x:c>
      <x:c r="F2679" s="27" t="str">
        <x:v>Analyzes a policy or market scenario with a model, data, distributional effects, and limitations.</x:v>
      </x:c>
      <x:c r="G2679" s="27" t="str">
        <x:v>S24</x:v>
      </x:c>
      <x:c r="H2679" s="27" t="str">
        <x:v>Social Studies</x:v>
      </x:c>
      <x:c r="I2679" s="27" t="str">
        <x:v>SRC12; SRC19; SRC24</x:v>
      </x:c>
      <x:c r="J2679" s="27" t="str">
        <x:v>Observable evidence of usable learning.</x:v>
      </x:c>
    </x:row>
    <x:row r="2680">
      <x:c r="A2680" s="27" t="str">
        <x:v>E02676</x:v>
      </x:c>
      <x:c r="B2680" s="27" t="str">
        <x:v>S23-ARTS-01</x:v>
      </x:c>
      <x:c r="C2680" s="27" t="str">
        <x:v>Previous node in domain progression</x:v>
      </x:c>
      <x:c r="D2680" s="27" t="str">
        <x:v>DOMAIN_SEQUENCE</x:v>
      </x:c>
      <x:c r="E2680" s="27" t="str">
        <x:v>S24-ARTS-01</x:v>
      </x:c>
      <x:c r="F2680" s="27" t="str">
        <x:v>Advanced portfolio/performance and public defense</x:v>
      </x:c>
      <x:c r="G2680" s="27" t="str">
        <x:v>S24</x:v>
      </x:c>
      <x:c r="H2680" s="27" t="str">
        <x:v>Music &amp; Arts</x:v>
      </x:c>
      <x:c r="I2680" s="27" t="str">
        <x:v>SRC13</x:v>
      </x:c>
      <x:c r="J2680" s="27" t="str">
        <x:v>Ordered spiral link; consult explicit prerequisites for logical dependency.</x:v>
      </x:c>
    </x:row>
    <x:row r="2681">
      <x:c r="A2681" s="27" t="str">
        <x:v>E02677</x:v>
      </x:c>
      <x:c r="B2681" s="27" t="str">
        <x:v>S24-ARTS-01:PREREQ</x:v>
      </x:c>
      <x:c r="C2681" s="27" t="str">
        <x:v>Grade 11 advanced pathway and capstone communication.</x:v>
      </x:c>
      <x:c r="D2681" s="27" t="str">
        <x:v>PREREQUISITE</x:v>
      </x:c>
      <x:c r="E2681" s="27" t="str">
        <x:v>S24-ARTS-01</x:v>
      </x:c>
      <x:c r="F2681" s="27" t="str">
        <x:v>Advanced portfolio/performance and public defense</x:v>
      </x:c>
      <x:c r="G2681" s="27" t="str">
        <x:v>S24</x:v>
      </x:c>
      <x:c r="H2681" s="27" t="str">
        <x:v>Music &amp; Arts</x:v>
      </x:c>
      <x:c r="I2681" s="27" t="str">
        <x:v>SRC13</x:v>
      </x:c>
      <x:c r="J2681" s="27" t="str">
        <x:v>Incoming prerequisite relationship.</x:v>
      </x:c>
    </x:row>
    <x:row r="2682">
      <x:c r="A2682" s="27" t="str">
        <x:v>E02678</x:v>
      </x:c>
      <x:c r="B2682" s="27" t="str">
        <x:v>S24-ARTS-01:GROUND</x:v>
      </x:c>
      <x:c r="C2682" s="27" t="str">
        <x:v>G6/G7 — Evidence-based formal system demonstrated through authentic transfer</x:v>
      </x:c>
      <x:c r="D2682" s="27" t="str">
        <x:v>GROUNDED_BY</x:v>
      </x:c>
      <x:c r="E2682" s="27" t="str">
        <x:v>S24-ARTS-01</x:v>
      </x:c>
      <x:c r="F2682" s="27" t="str">
        <x:v>Advanced portfolio/performance and public defense</x:v>
      </x:c>
      <x:c r="G2682" s="27" t="str">
        <x:v>S24</x:v>
      </x:c>
      <x:c r="H2682" s="27" t="str">
        <x:v>Music &amp; Arts</x:v>
      </x:c>
      <x:c r="I2682" s="27" t="str">
        <x:v>SRC13</x:v>
      </x:c>
      <x:c r="J2682" s="27" t="str">
        <x:v>Grounding form used to preserve meaning.</x:v>
      </x:c>
    </x:row>
    <x:row r="2683">
      <x:c r="A2683" s="27" t="str">
        <x:v>E02679</x:v>
      </x:c>
      <x:c r="B2683" s="27" t="str">
        <x:v>S24-ARTS-01</x:v>
      </x:c>
      <x:c r="C2683" s="27" t="str">
        <x:v>Advanced portfolio/performance and public defense</x:v>
      </x:c>
      <x:c r="D2683" s="27" t="str">
        <x:v>CONNECTS_TO</x:v>
      </x:c>
      <x:c r="E2683" s="27" t="str">
        <x:v>S24-ARTS-01:CROSS</x:v>
      </x:c>
      <x:c r="F2683" s="27" t="str">
        <x:v>Sensory discrimination; motor timing; language/prosody; mathematics/pattern; history/culture; emotion, design, and technology.</x:v>
      </x:c>
      <x:c r="G2683" s="27" t="str">
        <x:v>S24</x:v>
      </x:c>
      <x:c r="H2683" s="27" t="str">
        <x:v>Music &amp; Arts</x:v>
      </x:c>
      <x:c r="I2683" s="27" t="str">
        <x:v>SRC13</x:v>
      </x:c>
      <x:c r="J2683" s="27" t="str">
        <x:v>Parallel subject and representation links.</x:v>
      </x:c>
    </x:row>
    <x:row r="2684">
      <x:c r="A2684" s="27" t="str">
        <x:v>E02680</x:v>
      </x:c>
      <x:c r="B2684" s="27" t="str">
        <x:v>S24-ARTS-01</x:v>
      </x:c>
      <x:c r="C2684" s="27" t="str">
        <x:v>Advanced portfolio/performance and public defense</x:v>
      </x:c>
      <x:c r="D2684" s="27" t="str">
        <x:v>UNLOCKS</x:v>
      </x:c>
      <x:c r="E2684" s="27" t="str">
        <x:v>S24-ARTS-01:NEXT</x:v>
      </x:c>
      <x:c r="F2684" s="27" t="str">
        <x:v>Cohesion and public defense demonstrate mature authorship and field readiness.</x:v>
      </x:c>
      <x:c r="G2684" s="27" t="str">
        <x:v>S24</x:v>
      </x:c>
      <x:c r="H2684" s="27" t="str">
        <x:v>Music &amp; Arts</x:v>
      </x:c>
      <x:c r="I2684" s="27" t="str">
        <x:v>SRC13</x:v>
      </x:c>
      <x:c r="J2684" s="27" t="str">
        <x:v>Outgoing use and placement rationale.</x:v>
      </x:c>
    </x:row>
    <x:row r="2685">
      <x:c r="A2685" s="27" t="str">
        <x:v>E02681</x:v>
      </x:c>
      <x:c r="B2685" s="27" t="str">
        <x:v>S24-ARTS-01</x:v>
      </x:c>
      <x:c r="C2685" s="27" t="str">
        <x:v>Advanced portfolio/performance and public defense</x:v>
      </x:c>
      <x:c r="D2685" s="27" t="str">
        <x:v>VERIFIED_BY</x:v>
      </x:c>
      <x:c r="E2685" s="27" t="str">
        <x:v>S24-ARTS-01:EVIDENCE</x:v>
      </x:c>
      <x:c r="F2685" s="27" t="str">
        <x:v>Presents a cohesive body of work with artist statement, process archive, contextual research, and critique response.</x:v>
      </x:c>
      <x:c r="G2685" s="27" t="str">
        <x:v>S24</x:v>
      </x:c>
      <x:c r="H2685" s="27" t="str">
        <x:v>Music &amp; Arts</x:v>
      </x:c>
      <x:c r="I2685" s="27" t="str">
        <x:v>SRC13</x:v>
      </x:c>
      <x:c r="J2685" s="27" t="str">
        <x:v>Observable evidence of usable learning.</x:v>
      </x:c>
    </x:row>
    <x:row r="2686">
      <x:c r="A2686" s="27" t="str">
        <x:v>E02682</x:v>
      </x:c>
      <x:c r="B2686" s="27" t="str">
        <x:v>S23-HLTH-01</x:v>
      </x:c>
      <x:c r="C2686" s="27" t="str">
        <x:v>Previous node in domain progression</x:v>
      </x:c>
      <x:c r="D2686" s="27" t="str">
        <x:v>DOMAIN_SEQUENCE</x:v>
      </x:c>
      <x:c r="E2686" s="27" t="str">
        <x:v>S24-HLTH-01</x:v>
      </x:c>
      <x:c r="F2686" s="27" t="str">
        <x:v>Lifetime activity, healthcare, prevention, and emergency readiness</x:v>
      </x:c>
      <x:c r="G2686" s="27" t="str">
        <x:v>S24</x:v>
      </x:c>
      <x:c r="H2686" s="27" t="str">
        <x:v>Physical &amp; Health</x:v>
      </x:c>
      <x:c r="I2686" s="27" t="str">
        <x:v>SRC14; SRC15; SRC19</x:v>
      </x:c>
      <x:c r="J2686" s="27" t="str">
        <x:v>Ordered spiral link; consult explicit prerequisites for logical dependency.</x:v>
      </x:c>
    </x:row>
    <x:row r="2687">
      <x:c r="A2687" s="27" t="str">
        <x:v>E02683</x:v>
      </x:c>
      <x:c r="B2687" s="27" t="str">
        <x:v>S24-HLTH-01:PREREQ</x:v>
      </x:c>
      <x:c r="C2687" s="27" t="str">
        <x:v>Grade 11 adaptive wellness, finance/insurance, and systems navigation.</x:v>
      </x:c>
      <x:c r="D2687" s="27" t="str">
        <x:v>PREREQUISITE</x:v>
      </x:c>
      <x:c r="E2687" s="27" t="str">
        <x:v>S24-HLTH-01</x:v>
      </x:c>
      <x:c r="F2687" s="27" t="str">
        <x:v>Lifetime activity, healthcare, prevention, and emergency readiness</x:v>
      </x:c>
      <x:c r="G2687" s="27" t="str">
        <x:v>S24</x:v>
      </x:c>
      <x:c r="H2687" s="27" t="str">
        <x:v>Physical &amp; Health</x:v>
      </x:c>
      <x:c r="I2687" s="27" t="str">
        <x:v>SRC14; SRC15; SRC19</x:v>
      </x:c>
      <x:c r="J2687" s="27" t="str">
        <x:v>Incoming prerequisite relationship.</x:v>
      </x:c>
    </x:row>
    <x:row r="2688">
      <x:c r="A2688" s="27" t="str">
        <x:v>E02684</x:v>
      </x:c>
      <x:c r="B2688" s="27" t="str">
        <x:v>S24-HLTH-01:GROUND</x:v>
      </x:c>
      <x:c r="C2688" s="27" t="str">
        <x:v>G6/G7 — Evidence-based formal system demonstrated through authentic transfer</x:v>
      </x:c>
      <x:c r="D2688" s="27" t="str">
        <x:v>GROUNDED_BY</x:v>
      </x:c>
      <x:c r="E2688" s="27" t="str">
        <x:v>S24-HLTH-01</x:v>
      </x:c>
      <x:c r="F2688" s="27" t="str">
        <x:v>Lifetime activity, healthcare, prevention, and emergency readiness</x:v>
      </x:c>
      <x:c r="G2688" s="27" t="str">
        <x:v>S24</x:v>
      </x:c>
      <x:c r="H2688" s="27" t="str">
        <x:v>Physical &amp; Health</x:v>
      </x:c>
      <x:c r="I2688" s="27" t="str">
        <x:v>SRC14; SRC15; SRC19</x:v>
      </x:c>
      <x:c r="J2688" s="27" t="str">
        <x:v>Grounding form used to preserve meaning.</x:v>
      </x:c>
    </x:row>
    <x:row r="2689">
      <x:c r="A2689" s="27" t="str">
        <x:v>E02685</x:v>
      </x:c>
      <x:c r="B2689" s="27" t="str">
        <x:v>S24-HLTH-01</x:v>
      </x:c>
      <x:c r="C2689" s="27" t="str">
        <x:v>Lifetime activity, healthcare, prevention, and emergency readiness</x:v>
      </x:c>
      <x:c r="D2689" s="27" t="str">
        <x:v>CONNECTS_TO</x:v>
      </x:c>
      <x:c r="E2689" s="27" t="str">
        <x:v>S24-HLTH-01:CROSS</x:v>
      </x:c>
      <x:c r="F2689" s="27" t="str">
        <x:v>Motor/sensory development; life science; measurement/data; SEL/self-management; communication, safety, and decision-making.</x:v>
      </x:c>
      <x:c r="G2689" s="27" t="str">
        <x:v>S24</x:v>
      </x:c>
      <x:c r="H2689" s="27" t="str">
        <x:v>Physical &amp; Health</x:v>
      </x:c>
      <x:c r="I2689" s="27" t="str">
        <x:v>SRC14; SRC15; SRC19</x:v>
      </x:c>
      <x:c r="J2689" s="27" t="str">
        <x:v>Parallel subject and representation links.</x:v>
      </x:c>
    </x:row>
    <x:row r="2690">
      <x:c r="A2690" s="27" t="str">
        <x:v>E02686</x:v>
      </x:c>
      <x:c r="B2690" s="27" t="str">
        <x:v>S24-HLTH-01</x:v>
      </x:c>
      <x:c r="C2690" s="27" t="str">
        <x:v>Lifetime activity, healthcare, prevention, and emergency readiness</x:v>
      </x:c>
      <x:c r="D2690" s="27" t="str">
        <x:v>UNLOCKS</x:v>
      </x:c>
      <x:c r="E2690" s="27" t="str">
        <x:v>S24-HLTH-01:NEXT</x:v>
      </x:c>
      <x:c r="F2690" s="27" t="str">
        <x:v>Integrated self-management supports health continuity after school.</x:v>
      </x:c>
      <x:c r="G2690" s="27" t="str">
        <x:v>S24</x:v>
      </x:c>
      <x:c r="H2690" s="27" t="str">
        <x:v>Physical &amp; Health</x:v>
      </x:c>
      <x:c r="I2690" s="27" t="str">
        <x:v>SRC14; SRC15; SRC19</x:v>
      </x:c>
      <x:c r="J2690" s="27" t="str">
        <x:v>Outgoing use and placement rationale.</x:v>
      </x:c>
    </x:row>
    <x:row r="2691">
      <x:c r="A2691" s="27" t="str">
        <x:v>E02687</x:v>
      </x:c>
      <x:c r="B2691" s="27" t="str">
        <x:v>S24-HLTH-01</x:v>
      </x:c>
      <x:c r="C2691" s="27" t="str">
        <x:v>Lifetime activity, healthcare, prevention, and emergency readiness</x:v>
      </x:c>
      <x:c r="D2691" s="27" t="str">
        <x:v>VERIFIED_BY</x:v>
      </x:c>
      <x:c r="E2691" s="27" t="str">
        <x:v>S24-HLTH-01:EVIDENCE</x:v>
      </x:c>
      <x:c r="F2691" s="27" t="str">
        <x:v>Completes a personal adult-health plan and accurately resolves service, prevention, or emergency scenarios.</x:v>
      </x:c>
      <x:c r="G2691" s="27" t="str">
        <x:v>S24</x:v>
      </x:c>
      <x:c r="H2691" s="27" t="str">
        <x:v>Physical &amp; Health</x:v>
      </x:c>
      <x:c r="I2691" s="27" t="str">
        <x:v>SRC14; SRC15; SRC19</x:v>
      </x:c>
      <x:c r="J2691" s="27" t="str">
        <x:v>Observable evidence of usable learning.</x:v>
      </x:c>
    </x:row>
    <x:row r="2692">
      <x:c r="A2692" s="27" t="str">
        <x:v>E02688</x:v>
      </x:c>
      <x:c r="B2692" s="27" t="str">
        <x:v>S23-COMP-01</x:v>
      </x:c>
      <x:c r="C2692" s="27" t="str">
        <x:v>Previous node in domain progression</x:v>
      </x:c>
      <x:c r="D2692" s="27" t="str">
        <x:v>DOMAIN_SEQUENCE</x:v>
      </x:c>
      <x:c r="E2692" s="27" t="str">
        <x:v>S24-COMP-01</x:v>
      </x:c>
      <x:c r="F2692" s="27" t="str">
        <x:v>Human-centered system design and impact audit</x:v>
      </x:c>
      <x:c r="G2692" s="27" t="str">
        <x:v>S24</x:v>
      </x:c>
      <x:c r="H2692" s="27" t="str">
        <x:v>Computing &amp; Media</x:v>
      </x:c>
      <x:c r="I2692" s="27" t="str">
        <x:v>SRC16</x:v>
      </x:c>
      <x:c r="J2692" s="27" t="str">
        <x:v>Ordered spiral link; consult explicit prerequisites for logical dependency.</x:v>
      </x:c>
    </x:row>
    <x:row r="2693">
      <x:c r="A2693" s="27" t="str">
        <x:v>E02689</x:v>
      </x:c>
      <x:c r="B2693" s="27" t="str">
        <x:v>S24-COMP-01:PREREQ</x:v>
      </x:c>
      <x:c r="C2693" s="27" t="str">
        <x:v>Grade 11 CS specialty, software engineering, ethics, and capstone research.</x:v>
      </x:c>
      <x:c r="D2693" s="27" t="str">
        <x:v>PREREQUISITE</x:v>
      </x:c>
      <x:c r="E2693" s="27" t="str">
        <x:v>S24-COMP-01</x:v>
      </x:c>
      <x:c r="F2693" s="27" t="str">
        <x:v>Human-centered system design and impact audit</x:v>
      </x:c>
      <x:c r="G2693" s="27" t="str">
        <x:v>S24</x:v>
      </x:c>
      <x:c r="H2693" s="27" t="str">
        <x:v>Computing &amp; Media</x:v>
      </x:c>
      <x:c r="I2693" s="27" t="str">
        <x:v>SRC16</x:v>
      </x:c>
      <x:c r="J2693" s="27" t="str">
        <x:v>Incoming prerequisite relationship.</x:v>
      </x:c>
    </x:row>
    <x:row r="2694">
      <x:c r="A2694" s="27" t="str">
        <x:v>E02690</x:v>
      </x:c>
      <x:c r="B2694" s="27" t="str">
        <x:v>S24-COMP-01:GROUND</x:v>
      </x:c>
      <x:c r="C2694" s="27" t="str">
        <x:v>G6/G7 — Evidence-based formal system demonstrated through authentic transfer</x:v>
      </x:c>
      <x:c r="D2694" s="27" t="str">
        <x:v>GROUNDED_BY</x:v>
      </x:c>
      <x:c r="E2694" s="27" t="str">
        <x:v>S24-COMP-01</x:v>
      </x:c>
      <x:c r="F2694" s="27" t="str">
        <x:v>Human-centered system design and impact audit</x:v>
      </x:c>
      <x:c r="G2694" s="27" t="str">
        <x:v>S24</x:v>
      </x:c>
      <x:c r="H2694" s="27" t="str">
        <x:v>Computing &amp; Media</x:v>
      </x:c>
      <x:c r="I2694" s="27" t="str">
        <x:v>SRC16</x:v>
      </x:c>
      <x:c r="J2694" s="27" t="str">
        <x:v>Grounding form used to preserve meaning.</x:v>
      </x:c>
    </x:row>
    <x:row r="2695">
      <x:c r="A2695" s="27" t="str">
        <x:v>E02691</x:v>
      </x:c>
      <x:c r="B2695" s="27" t="str">
        <x:v>S24-COMP-01</x:v>
      </x:c>
      <x:c r="C2695" s="27" t="str">
        <x:v>Human-centered system design and impact audit</x:v>
      </x:c>
      <x:c r="D2695" s="27" t="str">
        <x:v>CONNECTS_TO</x:v>
      </x:c>
      <x:c r="E2695" s="27" t="str">
        <x:v>S24-COMP-01:CROSS</x:v>
      </x:c>
      <x:c r="F2695" s="27" t="str">
        <x:v>Mathematics/logic/data; language and media evidence; science/engineering models; art/design; civics, privacy, finance, and ethics.</x:v>
      </x:c>
      <x:c r="G2695" s="27" t="str">
        <x:v>S24</x:v>
      </x:c>
      <x:c r="H2695" s="27" t="str">
        <x:v>Computing &amp; Media</x:v>
      </x:c>
      <x:c r="I2695" s="27" t="str">
        <x:v>SRC16</x:v>
      </x:c>
      <x:c r="J2695" s="27" t="str">
        <x:v>Parallel subject and representation links.</x:v>
      </x:c>
    </x:row>
    <x:row r="2696">
      <x:c r="A2696" s="27" t="str">
        <x:v>E02692</x:v>
      </x:c>
      <x:c r="B2696" s="27" t="str">
        <x:v>S24-COMP-01</x:v>
      </x:c>
      <x:c r="C2696" s="27" t="str">
        <x:v>Human-centered system design and impact audit</x:v>
      </x:c>
      <x:c r="D2696" s="27" t="str">
        <x:v>UNLOCKS</x:v>
      </x:c>
      <x:c r="E2696" s="27" t="str">
        <x:v>S24-COMP-01:NEXT</x:v>
      </x:c>
      <x:c r="F2696" s="27" t="str">
        <x:v>A full lifecycle project demonstrates technical transfer and responsible deployment thinking.</x:v>
      </x:c>
      <x:c r="G2696" s="27" t="str">
        <x:v>S24</x:v>
      </x:c>
      <x:c r="H2696" s="27" t="str">
        <x:v>Computing &amp; Media</x:v>
      </x:c>
      <x:c r="I2696" s="27" t="str">
        <x:v>SRC16</x:v>
      </x:c>
      <x:c r="J2696" s="27" t="str">
        <x:v>Outgoing use and placement rationale.</x:v>
      </x:c>
    </x:row>
    <x:row r="2697">
      <x:c r="A2697" s="27" t="str">
        <x:v>E02693</x:v>
      </x:c>
      <x:c r="B2697" s="27" t="str">
        <x:v>S24-COMP-01</x:v>
      </x:c>
      <x:c r="C2697" s="27" t="str">
        <x:v>Human-centered system design and impact audit</x:v>
      </x:c>
      <x:c r="D2697" s="27" t="str">
        <x:v>VERIFIED_BY</x:v>
      </x:c>
      <x:c r="E2697" s="27" t="str">
        <x:v>S24-COMP-01:EVIDENCE</x:v>
      </x:c>
      <x:c r="F2697" s="27" t="str">
        <x:v>Delivers a functioning prototype/system with user tests, threat/privacy/accessibility review, and impact audit.</x:v>
      </x:c>
      <x:c r="G2697" s="27" t="str">
        <x:v>S24</x:v>
      </x:c>
      <x:c r="H2697" s="27" t="str">
        <x:v>Computing &amp; Media</x:v>
      </x:c>
      <x:c r="I2697" s="27" t="str">
        <x:v>SRC16</x:v>
      </x:c>
      <x:c r="J2697" s="27" t="str">
        <x:v>Observable evidence of usable learning.</x:v>
      </x:c>
    </x:row>
    <x:row r="2698">
      <x:c r="A2698" s="27" t="str">
        <x:v>E02694</x:v>
      </x:c>
      <x:c r="B2698" s="27" t="str">
        <x:v>S23-WLANG-01</x:v>
      </x:c>
      <x:c r="C2698" s="27" t="str">
        <x:v>Previous node in domain progression</x:v>
      </x:c>
      <x:c r="D2698" s="27" t="str">
        <x:v>DOMAIN_SEQUENCE</x:v>
      </x:c>
      <x:c r="E2698" s="27" t="str">
        <x:v>S24-WLANG-01</x:v>
      </x:c>
      <x:c r="F2698" s="27" t="str">
        <x:v>Advanced communication or sustained intermediate growth</x:v>
      </x:c>
      <x:c r="G2698" s="27" t="str">
        <x:v>S24</x:v>
      </x:c>
      <x:c r="H2698" s="27" t="str">
        <x:v>World Languages</x:v>
      </x:c>
      <x:c r="I2698" s="27" t="str">
        <x:v>SRC17</x:v>
      </x:c>
      <x:c r="J2698" s="27" t="str">
        <x:v>Ordered spiral link; consult explicit prerequisites for logical dependency.</x:v>
      </x:c>
    </x:row>
    <x:row r="2699">
      <x:c r="A2699" s="27" t="str">
        <x:v>E02695</x:v>
      </x:c>
      <x:c r="B2699" s="27" t="str">
        <x:v>S24-WLANG-01:PREREQ</x:v>
      </x:c>
      <x:c r="C2699" s="27" t="str">
        <x:v>Grade 11 advanced-low emerging skills and independent learning system.</x:v>
      </x:c>
      <x:c r="D2699" s="27" t="str">
        <x:v>PREREQUISITE</x:v>
      </x:c>
      <x:c r="E2699" s="27" t="str">
        <x:v>S24-WLANG-01</x:v>
      </x:c>
      <x:c r="F2699" s="27" t="str">
        <x:v>Advanced communication or sustained intermediate growth</x:v>
      </x:c>
      <x:c r="G2699" s="27" t="str">
        <x:v>S24</x:v>
      </x:c>
      <x:c r="H2699" s="27" t="str">
        <x:v>World Languages</x:v>
      </x:c>
      <x:c r="I2699" s="27" t="str">
        <x:v>SRC17</x:v>
      </x:c>
      <x:c r="J2699" s="27" t="str">
        <x:v>Incoming prerequisite relationship.</x:v>
      </x:c>
    </x:row>
    <x:row r="2700">
      <x:c r="A2700" s="27" t="str">
        <x:v>E02696</x:v>
      </x:c>
      <x:c r="B2700" s="27" t="str">
        <x:v>S24-WLANG-01:GROUND</x:v>
      </x:c>
      <x:c r="C2700" s="27" t="str">
        <x:v>G6/G7 — Evidence-based formal system demonstrated through authentic transfer</x:v>
      </x:c>
      <x:c r="D2700" s="27" t="str">
        <x:v>GROUNDED_BY</x:v>
      </x:c>
      <x:c r="E2700" s="27" t="str">
        <x:v>S24-WLANG-01</x:v>
      </x:c>
      <x:c r="F2700" s="27" t="str">
        <x:v>Advanced communication or sustained intermediate growth</x:v>
      </x:c>
      <x:c r="G2700" s="27" t="str">
        <x:v>S24</x:v>
      </x:c>
      <x:c r="H2700" s="27" t="str">
        <x:v>World Languages</x:v>
      </x:c>
      <x:c r="I2700" s="27" t="str">
        <x:v>SRC17</x:v>
      </x:c>
      <x:c r="J2700" s="27" t="str">
        <x:v>Grounding form used to preserve meaning.</x:v>
      </x:c>
    </x:row>
    <x:row r="2701">
      <x:c r="A2701" s="27" t="str">
        <x:v>E02697</x:v>
      </x:c>
      <x:c r="B2701" s="27" t="str">
        <x:v>S24-WLANG-01</x:v>
      </x:c>
      <x:c r="C2701" s="27" t="str">
        <x:v>Advanced communication or sustained intermediate growth</x:v>
      </x:c>
      <x:c r="D2701" s="27" t="str">
        <x:v>CONNECTS_TO</x:v>
      </x:c>
      <x:c r="E2701" s="27" t="str">
        <x:v>S24-WLANG-01:CROSS</x:v>
      </x:c>
      <x:c r="F2701" s="27" t="str">
        <x:v>Oral language, reading, and writing; memory/retrieval; social interaction; history/geography/arts; intercultural perspective.</x:v>
      </x:c>
      <x:c r="G2701" s="27" t="str">
        <x:v>S24</x:v>
      </x:c>
      <x:c r="H2701" s="27" t="str">
        <x:v>World Languages</x:v>
      </x:c>
      <x:c r="I2701" s="27" t="str">
        <x:v>SRC17</x:v>
      </x:c>
      <x:c r="J2701" s="27" t="str">
        <x:v>Parallel subject and representation links.</x:v>
      </x:c>
    </x:row>
    <x:row r="2702">
      <x:c r="A2702" s="27" t="str">
        <x:v>E02698</x:v>
      </x:c>
      <x:c r="B2702" s="27" t="str">
        <x:v>S24-WLANG-01</x:v>
      </x:c>
      <x:c r="C2702" s="27" t="str">
        <x:v>Advanced communication or sustained intermediate growth</x:v>
      </x:c>
      <x:c r="D2702" s="27" t="str">
        <x:v>UNLOCKS</x:v>
      </x:c>
      <x:c r="E2702" s="27" t="str">
        <x:v>S24-WLANG-01:NEXT</x:v>
      </x:c>
      <x:c r="F2702" s="27" t="str">
        <x:v>Purposeful real-world use sustains proficiency beyond course completion.</x:v>
      </x:c>
      <x:c r="G2702" s="27" t="str">
        <x:v>S24</x:v>
      </x:c>
      <x:c r="H2702" s="27" t="str">
        <x:v>World Languages</x:v>
      </x:c>
      <x:c r="I2702" s="27" t="str">
        <x:v>SRC17</x:v>
      </x:c>
      <x:c r="J2702" s="27" t="str">
        <x:v>Outgoing use and placement rationale.</x:v>
      </x:c>
    </x:row>
    <x:row r="2703">
      <x:c r="A2703" s="27" t="str">
        <x:v>E02699</x:v>
      </x:c>
      <x:c r="B2703" s="27" t="str">
        <x:v>S24-WLANG-01</x:v>
      </x:c>
      <x:c r="C2703" s="27" t="str">
        <x:v>Advanced communication or sustained intermediate growth</x:v>
      </x:c>
      <x:c r="D2703" s="27" t="str">
        <x:v>VERIFIED_BY</x:v>
      </x:c>
      <x:c r="E2703" s="27" t="str">
        <x:v>S24-WLANG-01:EVIDENCE</x:v>
      </x:c>
      <x:c r="F2703" s="27" t="str">
        <x:v>Completes an authentic interaction/product and self-assesses effectiveness with evidence and next-step plan.</x:v>
      </x:c>
      <x:c r="G2703" s="27" t="str">
        <x:v>S24</x:v>
      </x:c>
      <x:c r="H2703" s="27" t="str">
        <x:v>World Languages</x:v>
      </x:c>
      <x:c r="I2703" s="27" t="str">
        <x:v>SRC17</x:v>
      </x:c>
      <x:c r="J2703" s="27" t="str">
        <x:v>Observable evidence of usable learning.</x:v>
      </x:c>
    </x:row>
    <x:row r="2704">
      <x:c r="A2704" s="27" t="str">
        <x:v>E02700</x:v>
      </x:c>
      <x:c r="B2704" s="27" t="str">
        <x:v>S23-LIFE-01</x:v>
      </x:c>
      <x:c r="C2704" s="27" t="str">
        <x:v>Previous node in domain progression</x:v>
      </x:c>
      <x:c r="D2704" s="27" t="str">
        <x:v>DOMAIN_SEQUENCE</x:v>
      </x:c>
      <x:c r="E2704" s="27" t="str">
        <x:v>S24-LIFE-01</x:v>
      </x:c>
      <x:c r="F2704" s="27" t="str">
        <x:v>Postsecondary/work decision, aid, taxes, benefits, housing, and legal records</x:v>
      </x:c>
      <x:c r="G2704" s="27" t="str">
        <x:v>S24</x:v>
      </x:c>
      <x:c r="H2704" s="27" t="str">
        <x:v>Life, Finance &amp; Career</x:v>
      </x:c>
      <x:c r="I2704" s="27" t="str">
        <x:v>SRC19</x:v>
      </x:c>
      <x:c r="J2704" s="27" t="str">
        <x:v>Ordered spiral link; consult explicit prerequisites for logical dependency.</x:v>
      </x:c>
    </x:row>
    <x:row r="2705">
      <x:c r="A2705" s="27" t="str">
        <x:v>E02701</x:v>
      </x:c>
      <x:c r="B2705" s="27" t="str">
        <x:v>S24-LIFE-01:PREREQ</x:v>
      </x:c>
      <x:c r="C2705" s="27" t="str">
        <x:v>All prior finance, research, contract, budgeting, and systems-navigation skills.</x:v>
      </x:c>
      <x:c r="D2705" s="27" t="str">
        <x:v>PREREQUISITE</x:v>
      </x:c>
      <x:c r="E2705" s="27" t="str">
        <x:v>S24-LIFE-01</x:v>
      </x:c>
      <x:c r="F2705" s="27" t="str">
        <x:v>Postsecondary/work decision, aid, taxes, benefits, housing, and legal records</x:v>
      </x:c>
      <x:c r="G2705" s="27" t="str">
        <x:v>S24</x:v>
      </x:c>
      <x:c r="H2705" s="27" t="str">
        <x:v>Life, Finance &amp; Career</x:v>
      </x:c>
      <x:c r="I2705" s="27" t="str">
        <x:v>SRC19</x:v>
      </x:c>
      <x:c r="J2705" s="27" t="str">
        <x:v>Incoming prerequisite relationship.</x:v>
      </x:c>
    </x:row>
    <x:row r="2706">
      <x:c r="A2706" s="27" t="str">
        <x:v>E02702</x:v>
      </x:c>
      <x:c r="B2706" s="27" t="str">
        <x:v>S24-LIFE-01:GROUND</x:v>
      </x:c>
      <x:c r="C2706" s="27" t="str">
        <x:v>G6/G7 — Evidence-based formal system demonstrated through authentic transfer</x:v>
      </x:c>
      <x:c r="D2706" s="27" t="str">
        <x:v>GROUNDED_BY</x:v>
      </x:c>
      <x:c r="E2706" s="27" t="str">
        <x:v>S24-LIFE-01</x:v>
      </x:c>
      <x:c r="F2706" s="27" t="str">
        <x:v>Postsecondary/work decision, aid, taxes, benefits, housing, and legal records</x:v>
      </x:c>
      <x:c r="G2706" s="27" t="str">
        <x:v>S24</x:v>
      </x:c>
      <x:c r="H2706" s="27" t="str">
        <x:v>Life, Finance &amp; Career</x:v>
      </x:c>
      <x:c r="I2706" s="27" t="str">
        <x:v>SRC19</x:v>
      </x:c>
      <x:c r="J2706" s="27" t="str">
        <x:v>Grounding form used to preserve meaning.</x:v>
      </x:c>
    </x:row>
    <x:row r="2707">
      <x:c r="A2707" s="27" t="str">
        <x:v>E02703</x:v>
      </x:c>
      <x:c r="B2707" s="27" t="str">
        <x:v>S24-LIFE-01</x:v>
      </x:c>
      <x:c r="C2707" s="27" t="str">
        <x:v>Postsecondary/work decision, aid, taxes, benefits, housing, and legal records</x:v>
      </x:c>
      <x:c r="D2707" s="27" t="str">
        <x:v>CONNECTS_TO</x:v>
      </x:c>
      <x:c r="E2707" s="27" t="str">
        <x:v>S24-LIFE-01:CROSS</x:v>
      </x:c>
      <x:c r="F2707" s="27" t="str">
        <x:v>Mathematics/percent/growth; economics/civics; reading contracts/sources; computing/privacy; SEL, planning, and risk decisions.</x:v>
      </x:c>
      <x:c r="G2707" s="27" t="str">
        <x:v>S24</x:v>
      </x:c>
      <x:c r="H2707" s="27" t="str">
        <x:v>Life, Finance &amp; Career</x:v>
      </x:c>
      <x:c r="I2707" s="27" t="str">
        <x:v>SRC19</x:v>
      </x:c>
      <x:c r="J2707" s="27" t="str">
        <x:v>Parallel subject and representation links.</x:v>
      </x:c>
    </x:row>
    <x:row r="2708">
      <x:c r="A2708" s="27" t="str">
        <x:v>E02704</x:v>
      </x:c>
      <x:c r="B2708" s="27" t="str">
        <x:v>S24-LIFE-01</x:v>
      </x:c>
      <x:c r="C2708" s="27" t="str">
        <x:v>Postsecondary/work decision, aid, taxes, benefits, housing, and legal records</x:v>
      </x:c>
      <x:c r="D2708" s="27" t="str">
        <x:v>UNLOCKS</x:v>
      </x:c>
      <x:c r="E2708" s="27" t="str">
        <x:v>S24-LIFE-01:NEXT</x:v>
      </x:c>
      <x:c r="F2708" s="27" t="str">
        <x:v>Launch planning applies education to immediate adult systems with auditable decisions.</x:v>
      </x:c>
      <x:c r="G2708" s="27" t="str">
        <x:v>S24</x:v>
      </x:c>
      <x:c r="H2708" s="27" t="str">
        <x:v>Life, Finance &amp; Career</x:v>
      </x:c>
      <x:c r="I2708" s="27" t="str">
        <x:v>SRC19</x:v>
      </x:c>
      <x:c r="J2708" s="27" t="str">
        <x:v>Outgoing use and placement rationale.</x:v>
      </x:c>
    </x:row>
    <x:row r="2709">
      <x:c r="A2709" s="27" t="str">
        <x:v>E02705</x:v>
      </x:c>
      <x:c r="B2709" s="27" t="str">
        <x:v>S24-LIFE-01</x:v>
      </x:c>
      <x:c r="C2709" s="27" t="str">
        <x:v>Postsecondary/work decision, aid, taxes, benefits, housing, and legal records</x:v>
      </x:c>
      <x:c r="D2709" s="27" t="str">
        <x:v>VERIFIED_BY</x:v>
      </x:c>
      <x:c r="E2709" s="27" t="str">
        <x:v>S24-LIFE-01:EVIDENCE</x:v>
      </x:c>
      <x:c r="F2709" s="27" t="str">
        <x:v>Produces a documented transition plan with scenarios, deadlines, costs, records, risks, and fallback actions.</x:v>
      </x:c>
      <x:c r="G2709" s="27" t="str">
        <x:v>S24</x:v>
      </x:c>
      <x:c r="H2709" s="27" t="str">
        <x:v>Life, Finance &amp; Career</x:v>
      </x:c>
      <x:c r="I2709" s="27" t="str">
        <x:v>SRC19</x:v>
      </x:c>
      <x:c r="J2709" s="27" t="str">
        <x:v>Observable evidence of usable learning.</x:v>
      </x:c>
    </x:row>
    <x:row r="2710">
      <x:c r="A2710" s="27" t="str">
        <x:v>E02706</x:v>
      </x:c>
      <x:c r="B2710" s="27" t="str">
        <x:v>S24-LEARN-01</x:v>
      </x:c>
      <x:c r="C2710" s="27" t="str">
        <x:v>Previous node in domain progression</x:v>
      </x:c>
      <x:c r="D2710" s="27" t="str">
        <x:v>DOMAIN_SEQUENCE</x:v>
      </x:c>
      <x:c r="E2710" s="27" t="str">
        <x:v>S25-LEARN-01</x:v>
      </x:c>
      <x:c r="F2710" s="27" t="str">
        <x:v>Knowledge graph maintenance</x:v>
      </x:c>
      <x:c r="G2710" s="27" t="str">
        <x:v>S25</x:v>
      </x:c>
      <x:c r="H2710" s="27" t="str">
        <x:v>Learning Foundations</x:v>
      </x:c>
      <x:c r="I2710" s="27" t="str">
        <x:v>SRC29</x:v>
      </x:c>
      <x:c r="J2710" s="27" t="str">
        <x:v>Ordered spiral link; consult explicit prerequisites for logical dependency.</x:v>
      </x:c>
    </x:row>
    <x:row r="2711">
      <x:c r="A2711" s="27" t="str">
        <x:v>E02707</x:v>
      </x:c>
      <x:c r="B2711" s="27" t="str">
        <x:v>S25-LEARN-01:PREREQ</x:v>
      </x:c>
      <x:c r="C2711" s="27" t="str">
        <x:v>Grade 12 independent learning system, research/citation, and schema building.</x:v>
      </x:c>
      <x:c r="D2711" s="27" t="str">
        <x:v>PREREQUISITE</x:v>
      </x:c>
      <x:c r="E2711" s="27" t="str">
        <x:v>S25-LEARN-01</x:v>
      </x:c>
      <x:c r="F2711" s="27" t="str">
        <x:v>Knowledge graph maintenance</x:v>
      </x:c>
      <x:c r="G2711" s="27" t="str">
        <x:v>S25</x:v>
      </x:c>
      <x:c r="H2711" s="27" t="str">
        <x:v>Learning Foundations</x:v>
      </x:c>
      <x:c r="I2711" s="27" t="str">
        <x:v>SRC29</x:v>
      </x:c>
      <x:c r="J2711" s="27" t="str">
        <x:v>Incoming prerequisite relationship.</x:v>
      </x:c>
    </x:row>
    <x:row r="2712">
      <x:c r="A2712" s="27" t="str">
        <x:v>E02708</x:v>
      </x:c>
      <x:c r="B2712" s="27" t="str">
        <x:v>S25-LEARN-01:GROUND</x:v>
      </x:c>
      <x:c r="C2712" s="27" t="str">
        <x:v>G6/G7 — Evidence-based formal system demonstrated through authentic transfer</x:v>
      </x:c>
      <x:c r="D2712" s="27" t="str">
        <x:v>GROUNDED_BY</x:v>
      </x:c>
      <x:c r="E2712" s="27" t="str">
        <x:v>S25-LEARN-01</x:v>
      </x:c>
      <x:c r="F2712" s="27" t="str">
        <x:v>Knowledge graph maintenance</x:v>
      </x:c>
      <x:c r="G2712" s="27" t="str">
        <x:v>S25</x:v>
      </x:c>
      <x:c r="H2712" s="27" t="str">
        <x:v>Learning Foundations</x:v>
      </x:c>
      <x:c r="I2712" s="27" t="str">
        <x:v>SRC29</x:v>
      </x:c>
      <x:c r="J2712" s="27" t="str">
        <x:v>Grounding form used to preserve meaning.</x:v>
      </x:c>
    </x:row>
    <x:row r="2713">
      <x:c r="A2713" s="27" t="str">
        <x:v>E02709</x:v>
      </x:c>
      <x:c r="B2713" s="27" t="str">
        <x:v>S25-LEARN-01</x:v>
      </x:c>
      <x:c r="C2713" s="27" t="str">
        <x:v>Knowledge graph maintenance</x:v>
      </x:c>
      <x:c r="D2713" s="27" t="str">
        <x:v>CONNECTS_TO</x:v>
      </x:c>
      <x:c r="E2713" s="27" t="str">
        <x:v>S25-LEARN-01:CROSS</x:v>
      </x:c>
      <x:c r="F2713" s="27" t="str">
        <x:v>All domains: attention, memory, strategy choice, monitoring, retrieval, and transfer.</x:v>
      </x:c>
      <x:c r="G2713" s="27" t="str">
        <x:v>S25</x:v>
      </x:c>
      <x:c r="H2713" s="27" t="str">
        <x:v>Learning Foundations</x:v>
      </x:c>
      <x:c r="I2713" s="27" t="str">
        <x:v>SRC29</x:v>
      </x:c>
      <x:c r="J2713" s="27" t="str">
        <x:v>Parallel subject and representation links.</x:v>
      </x:c>
    </x:row>
    <x:row r="2714">
      <x:c r="A2714" s="27" t="str">
        <x:v>E02710</x:v>
      </x:c>
      <x:c r="B2714" s="27" t="str">
        <x:v>S25-LEARN-01</x:v>
      </x:c>
      <x:c r="C2714" s="27" t="str">
        <x:v>Knowledge graph maintenance</x:v>
      </x:c>
      <x:c r="D2714" s="27" t="str">
        <x:v>UNLOCKS</x:v>
      </x:c>
      <x:c r="E2714" s="27" t="str">
        <x:v>S25-LEARN-01:NEXT</x:v>
      </x:c>
      <x:c r="F2714" s="27" t="str">
        <x:v>A maintained graph preserves grounding while allowing new knowledge to attach without flattening distinctions.</x:v>
      </x:c>
      <x:c r="G2714" s="27" t="str">
        <x:v>S25</x:v>
      </x:c>
      <x:c r="H2714" s="27" t="str">
        <x:v>Learning Foundations</x:v>
      </x:c>
      <x:c r="I2714" s="27" t="str">
        <x:v>SRC29</x:v>
      </x:c>
      <x:c r="J2714" s="27" t="str">
        <x:v>Outgoing use and placement rationale.</x:v>
      </x:c>
    </x:row>
    <x:row r="2715">
      <x:c r="A2715" s="27" t="str">
        <x:v>E02711</x:v>
      </x:c>
      <x:c r="B2715" s="27" t="str">
        <x:v>S25-LEARN-01</x:v>
      </x:c>
      <x:c r="C2715" s="27" t="str">
        <x:v>Knowledge graph maintenance</x:v>
      </x:c>
      <x:c r="D2715" s="27" t="str">
        <x:v>VERIFIED_BY</x:v>
      </x:c>
      <x:c r="E2715" s="27" t="str">
        <x:v>S25-LEARN-01:EVIDENCE</x:v>
      </x:c>
      <x:c r="F2715" s="27" t="str">
        <x:v>Adds a new topic with verified incoming/outgoing links, sources, test cases, and revision history.</x:v>
      </x:c>
      <x:c r="G2715" s="27" t="str">
        <x:v>S25</x:v>
      </x:c>
      <x:c r="H2715" s="27" t="str">
        <x:v>Learning Foundations</x:v>
      </x:c>
      <x:c r="I2715" s="27" t="str">
        <x:v>SRC29</x:v>
      </x:c>
      <x:c r="J2715" s="27" t="str">
        <x:v>Observable evidence of usable learning.</x:v>
      </x:c>
    </x:row>
    <x:row r="2716">
      <x:c r="A2716" s="27" t="str">
        <x:v>E02712</x:v>
      </x:c>
      <x:c r="B2716" s="27" t="str">
        <x:v>S24-WRITE-01</x:v>
      </x:c>
      <x:c r="C2716" s="27" t="str">
        <x:v>Previous node in domain progression</x:v>
      </x:c>
      <x:c r="D2716" s="27" t="str">
        <x:v>DOMAIN_SEQUENCE</x:v>
      </x:c>
      <x:c r="E2716" s="27" t="str">
        <x:v>S25-WRITE-01</x:v>
      </x:c>
      <x:c r="F2716" s="27" t="str">
        <x:v>Disciplinary argument and literature review</x:v>
      </x:c>
      <x:c r="G2716" s="27" t="str">
        <x:v>S25</x:v>
      </x:c>
      <x:c r="H2716" s="27" t="str">
        <x:v>Writing &amp; Language</x:v>
      </x:c>
      <x:c r="I2716" s="27" t="str">
        <x:v>SRC10; SRC22; SRC29</x:v>
      </x:c>
      <x:c r="J2716" s="27" t="str">
        <x:v>Ordered spiral link; consult explicit prerequisites for logical dependency.</x:v>
      </x:c>
    </x:row>
    <x:row r="2717">
      <x:c r="A2717" s="27" t="str">
        <x:v>E02713</x:v>
      </x:c>
      <x:c r="B2717" s="27" t="str">
        <x:v>S25-WRITE-01:PREREQ</x:v>
      </x:c>
      <x:c r="C2717" s="27" t="str">
        <x:v>Grade 12 complex synthesis/capstone and Grade 11 independent research.</x:v>
      </x:c>
      <x:c r="D2717" s="27" t="str">
        <x:v>PREREQUISITE</x:v>
      </x:c>
      <x:c r="E2717" s="27" t="str">
        <x:v>S25-WRITE-01</x:v>
      </x:c>
      <x:c r="F2717" s="27" t="str">
        <x:v>Disciplinary argument and literature review</x:v>
      </x:c>
      <x:c r="G2717" s="27" t="str">
        <x:v>S25</x:v>
      </x:c>
      <x:c r="H2717" s="27" t="str">
        <x:v>Writing &amp; Language</x:v>
      </x:c>
      <x:c r="I2717" s="27" t="str">
        <x:v>SRC10; SRC22; SRC29</x:v>
      </x:c>
      <x:c r="J2717" s="27" t="str">
        <x:v>Incoming prerequisite relationship.</x:v>
      </x:c>
    </x:row>
    <x:row r="2718">
      <x:c r="A2718" s="27" t="str">
        <x:v>E02714</x:v>
      </x:c>
      <x:c r="B2718" s="27" t="str">
        <x:v>S25-WRITE-01:GROUND</x:v>
      </x:c>
      <x:c r="C2718" s="27" t="str">
        <x:v>G6/G7 — Evidence-based formal system demonstrated through authentic transfer</x:v>
      </x:c>
      <x:c r="D2718" s="27" t="str">
        <x:v>GROUNDED_BY</x:v>
      </x:c>
      <x:c r="E2718" s="27" t="str">
        <x:v>S25-WRITE-01</x:v>
      </x:c>
      <x:c r="F2718" s="27" t="str">
        <x:v>Disciplinary argument and literature review</x:v>
      </x:c>
      <x:c r="G2718" s="27" t="str">
        <x:v>S25</x:v>
      </x:c>
      <x:c r="H2718" s="27" t="str">
        <x:v>Writing &amp; Language</x:v>
      </x:c>
      <x:c r="I2718" s="27" t="str">
        <x:v>SRC10; SRC22; SRC29</x:v>
      </x:c>
      <x:c r="J2718" s="27" t="str">
        <x:v>Grounding form used to preserve meaning.</x:v>
      </x:c>
    </x:row>
    <x:row r="2719">
      <x:c r="A2719" s="27" t="str">
        <x:v>E02715</x:v>
      </x:c>
      <x:c r="B2719" s="27" t="str">
        <x:v>S25-WRITE-01</x:v>
      </x:c>
      <x:c r="C2719" s="27" t="str">
        <x:v>Disciplinary argument and literature review</x:v>
      </x:c>
      <x:c r="D2719" s="27" t="str">
        <x:v>CONNECTS_TO</x:v>
      </x:c>
      <x:c r="E2719" s="27" t="str">
        <x:v>S25-WRITE-01:CROSS</x:v>
      </x:c>
      <x:c r="F2719" s="27" t="str">
        <x:v>Reading models; evidence from science/social studies; mathematical explanation; research, media, and presentation.</x:v>
      </x:c>
      <x:c r="G2719" s="27" t="str">
        <x:v>S25</x:v>
      </x:c>
      <x:c r="H2719" s="27" t="str">
        <x:v>Writing &amp; Language</x:v>
      </x:c>
      <x:c r="I2719" s="27" t="str">
        <x:v>SRC10; SRC22; SRC29</x:v>
      </x:c>
      <x:c r="J2719" s="27" t="str">
        <x:v>Parallel subject and representation links.</x:v>
      </x:c>
    </x:row>
    <x:row r="2720">
      <x:c r="A2720" s="27" t="str">
        <x:v>E02716</x:v>
      </x:c>
      <x:c r="B2720" s="27" t="str">
        <x:v>S25-WRITE-01</x:v>
      </x:c>
      <x:c r="C2720" s="27" t="str">
        <x:v>Disciplinary argument and literature review</x:v>
      </x:c>
      <x:c r="D2720" s="27" t="str">
        <x:v>UNLOCKS</x:v>
      </x:c>
      <x:c r="E2720" s="27" t="str">
        <x:v>S25-WRITE-01:NEXT</x:v>
      </x:c>
      <x:c r="F2720" s="27" t="str">
        <x:v>Disciplinary conventions connect general reasoning to field-specific knowledge production.</x:v>
      </x:c>
      <x:c r="G2720" s="27" t="str">
        <x:v>S25</x:v>
      </x:c>
      <x:c r="H2720" s="27" t="str">
        <x:v>Writing &amp; Language</x:v>
      </x:c>
      <x:c r="I2720" s="27" t="str">
        <x:v>SRC10; SRC22; SRC29</x:v>
      </x:c>
      <x:c r="J2720" s="27" t="str">
        <x:v>Outgoing use and placement rationale.</x:v>
      </x:c>
    </x:row>
    <x:row r="2721">
      <x:c r="A2721" s="27" t="str">
        <x:v>E02717</x:v>
      </x:c>
      <x:c r="B2721" s="27" t="str">
        <x:v>S25-WRITE-01</x:v>
      </x:c>
      <x:c r="C2721" s="27" t="str">
        <x:v>Disciplinary argument and literature review</x:v>
      </x:c>
      <x:c r="D2721" s="27" t="str">
        <x:v>VERIFIED_BY</x:v>
      </x:c>
      <x:c r="E2721" s="27" t="str">
        <x:v>S25-WRITE-01:EVIDENCE</x:v>
      </x:c>
      <x:c r="F2721" s="27" t="str">
        <x:v>Produces a literature review and argument that accurately positions its contribution and limits.</x:v>
      </x:c>
      <x:c r="G2721" s="27" t="str">
        <x:v>S25</x:v>
      </x:c>
      <x:c r="H2721" s="27" t="str">
        <x:v>Writing &amp; Language</x:v>
      </x:c>
      <x:c r="I2721" s="27" t="str">
        <x:v>SRC10; SRC22; SRC29</x:v>
      </x:c>
      <x:c r="J2721" s="27" t="str">
        <x:v>Observable evidence of usable learning.</x:v>
      </x:c>
    </x:row>
    <x:row r="2722">
      <x:c r="A2722" s="27" t="str">
        <x:v>E02718</x:v>
      </x:c>
      <x:c r="B2722" s="27" t="str">
        <x:v>S24-MATH-10</x:v>
      </x:c>
      <x:c r="C2722" s="27" t="str">
        <x:v>Previous node in domain progression</x:v>
      </x:c>
      <x:c r="D2722" s="27" t="str">
        <x:v>DOMAIN_SEQUENCE</x:v>
      </x:c>
      <x:c r="E2722" s="27" t="str">
        <x:v>S25-MATH-01</x:v>
      </x:c>
      <x:c r="F2722" s="27" t="str">
        <x:v>Propositions, quantifiers, proof methods, and counterexamples</x:v>
      </x:c>
      <x:c r="G2722" s="27" t="str">
        <x:v>S25</x:v>
      </x:c>
      <x:c r="H2722" s="27" t="str">
        <x:v>Mathematics</x:v>
      </x:c>
      <x:c r="I2722" s="27" t="str">
        <x:v>SRC09</x:v>
      </x:c>
      <x:c r="J2722" s="27" t="str">
        <x:v>Ordered spiral link; consult explicit prerequisites for logical dependency.</x:v>
      </x:c>
    </x:row>
    <x:row r="2723">
      <x:c r="A2723" s="27" t="str">
        <x:v>E02719</x:v>
      </x:c>
      <x:c r="B2723" s="27" t="str">
        <x:v>S25-MATH-01:PREREQ</x:v>
      </x:c>
      <x:c r="C2723" s="27" t="str">
        <x:v>Geometry proof, algebraic structure, set language, and precise writing.</x:v>
      </x:c>
      <x:c r="D2723" s="27" t="str">
        <x:v>PREREQUISITE</x:v>
      </x:c>
      <x:c r="E2723" s="27" t="str">
        <x:v>S25-MATH-01</x:v>
      </x:c>
      <x:c r="F2723" s="27" t="str">
        <x:v>Propositions, quantifiers, proof methods, and counterexamples</x:v>
      </x:c>
      <x:c r="G2723" s="27" t="str">
        <x:v>S25</x:v>
      </x:c>
      <x:c r="H2723" s="27" t="str">
        <x:v>Mathematics</x:v>
      </x:c>
      <x:c r="I2723" s="27" t="str">
        <x:v>SRC09</x:v>
      </x:c>
      <x:c r="J2723" s="27" t="str">
        <x:v>Incoming prerequisite relationship.</x:v>
      </x:c>
    </x:row>
    <x:row r="2724">
      <x:c r="A2724" s="27" t="str">
        <x:v>E02720</x:v>
      </x:c>
      <x:c r="B2724" s="27" t="str">
        <x:v>S25-MATH-01:GROUND</x:v>
      </x:c>
      <x:c r="C2724" s="27" t="str">
        <x:v>G6/G7 — Evidence-based formal system demonstrated through authentic transfer</x:v>
      </x:c>
      <x:c r="D2724" s="27" t="str">
        <x:v>GROUNDED_BY</x:v>
      </x:c>
      <x:c r="E2724" s="27" t="str">
        <x:v>S25-MATH-01</x:v>
      </x:c>
      <x:c r="F2724" s="27" t="str">
        <x:v>Propositions, quantifiers, proof methods, and counterexamples</x:v>
      </x:c>
      <x:c r="G2724" s="27" t="str">
        <x:v>S25</x:v>
      </x:c>
      <x:c r="H2724" s="27" t="str">
        <x:v>Mathematics</x:v>
      </x:c>
      <x:c r="I2724" s="27" t="str">
        <x:v>SRC09</x:v>
      </x:c>
      <x:c r="J2724" s="27" t="str">
        <x:v>Grounding form used to preserve meaning.</x:v>
      </x:c>
    </x:row>
    <x:row r="2725">
      <x:c r="A2725" s="27" t="str">
        <x:v>E02721</x:v>
      </x:c>
      <x:c r="B2725" s="27" t="str">
        <x:v>S25-MATH-01</x:v>
      </x:c>
      <x:c r="C2725" s="27" t="str">
        <x:v>Propositions, quantifiers, proof methods, and counterexamples</x:v>
      </x:c>
      <x:c r="D2725" s="27" t="str">
        <x:v>CONNECTS_TO</x:v>
      </x:c>
      <x:c r="E2725" s="27" t="str">
        <x:v>S25-MATH-01:CROSS</x:v>
      </x:c>
      <x:c r="F2725" s="27" t="str">
        <x:v>Physical quantity and spatial action; science measurement/models; computing/algorithms; finance; music rhythm/pattern; geographic data.</x:v>
      </x:c>
      <x:c r="G2725" s="27" t="str">
        <x:v>S25</x:v>
      </x:c>
      <x:c r="H2725" s="27" t="str">
        <x:v>Mathematics</x:v>
      </x:c>
      <x:c r="I2725" s="27" t="str">
        <x:v>SRC09</x:v>
      </x:c>
      <x:c r="J2725" s="27" t="str">
        <x:v>Parallel subject and representation links.</x:v>
      </x:c>
    </x:row>
    <x:row r="2726">
      <x:c r="A2726" s="27" t="str">
        <x:v>E02722</x:v>
      </x:c>
      <x:c r="B2726" s="27" t="str">
        <x:v>S25-MATH-01</x:v>
      </x:c>
      <x:c r="C2726" s="27" t="str">
        <x:v>Propositions, quantifiers, proof methods, and counterexamples</x:v>
      </x:c>
      <x:c r="D2726" s="27" t="str">
        <x:v>UNLOCKS</x:v>
      </x:c>
      <x:c r="E2726" s="27" t="str">
        <x:v>S25-MATH-01:NEXT</x:v>
      </x:c>
      <x:c r="F2726" s="27" t="str">
        <x:v>Proof is the grounding method for advanced mathematics and theoretical computing.</x:v>
      </x:c>
      <x:c r="G2726" s="27" t="str">
        <x:v>S25</x:v>
      </x:c>
      <x:c r="H2726" s="27" t="str">
        <x:v>Mathematics</x:v>
      </x:c>
      <x:c r="I2726" s="27" t="str">
        <x:v>SRC09</x:v>
      </x:c>
      <x:c r="J2726" s="27" t="str">
        <x:v>Outgoing use and placement rationale.</x:v>
      </x:c>
    </x:row>
    <x:row r="2727">
      <x:c r="A2727" s="27" t="str">
        <x:v>E02723</x:v>
      </x:c>
      <x:c r="B2727" s="27" t="str">
        <x:v>S25-MATH-01</x:v>
      </x:c>
      <x:c r="C2727" s="27" t="str">
        <x:v>Propositions, quantifiers, proof methods, and counterexamples</x:v>
      </x:c>
      <x:c r="D2727" s="27" t="str">
        <x:v>VERIFIED_BY</x:v>
      </x:c>
      <x:c r="E2727" s="27" t="str">
        <x:v>S25-MATH-01:EVIDENCE</x:v>
      </x:c>
      <x:c r="F2727" s="27" t="str">
        <x:v>Writes a valid proof, identifies dependencies, and constructs a counterexample to a false variant.</x:v>
      </x:c>
      <x:c r="G2727" s="27" t="str">
        <x:v>S25</x:v>
      </x:c>
      <x:c r="H2727" s="27" t="str">
        <x:v>Mathematics</x:v>
      </x:c>
      <x:c r="I2727" s="27" t="str">
        <x:v>SRC09</x:v>
      </x:c>
      <x:c r="J2727" s="27" t="str">
        <x:v>Observable evidence of usable learning.</x:v>
      </x:c>
    </x:row>
    <x:row r="2728">
      <x:c r="A2728" s="27" t="str">
        <x:v>E02724</x:v>
      </x:c>
      <x:c r="B2728" s="27" t="str">
        <x:v>S25-MATH-01</x:v>
      </x:c>
      <x:c r="C2728" s="27" t="str">
        <x:v>Previous node in domain progression</x:v>
      </x:c>
      <x:c r="D2728" s="27" t="str">
        <x:v>DOMAIN_SEQUENCE</x:v>
      </x:c>
      <x:c r="E2728" s="27" t="str">
        <x:v>S25-MATH-02</x:v>
      </x:c>
      <x:c r="F2728" s="27" t="str">
        <x:v>Sets, relations, functions, and combinatorics</x:v>
      </x:c>
      <x:c r="G2728" s="27" t="str">
        <x:v>S25</x:v>
      </x:c>
      <x:c r="H2728" s="27" t="str">
        <x:v>Mathematics</x:v>
      </x:c>
      <x:c r="I2728" s="27" t="str">
        <x:v>SRC09</x:v>
      </x:c>
      <x:c r="J2728" s="27" t="str">
        <x:v>Ordered spiral link; consult explicit prerequisites for logical dependency.</x:v>
      </x:c>
    </x:row>
    <x:row r="2729">
      <x:c r="A2729" s="27" t="str">
        <x:v>E02725</x:v>
      </x:c>
      <x:c r="B2729" s="27" t="str">
        <x:v>S25-MATH-02:PREREQ</x:v>
      </x:c>
      <x:c r="C2729" s="27" t="str">
        <x:v>Proof/logic, algebra functions, probability, and finite counting.</x:v>
      </x:c>
      <x:c r="D2729" s="27" t="str">
        <x:v>PREREQUISITE</x:v>
      </x:c>
      <x:c r="E2729" s="27" t="str">
        <x:v>S25-MATH-02</x:v>
      </x:c>
      <x:c r="F2729" s="27" t="str">
        <x:v>Sets, relations, functions, and combinatorics</x:v>
      </x:c>
      <x:c r="G2729" s="27" t="str">
        <x:v>S25</x:v>
      </x:c>
      <x:c r="H2729" s="27" t="str">
        <x:v>Mathematics</x:v>
      </x:c>
      <x:c r="I2729" s="27" t="str">
        <x:v>SRC09</x:v>
      </x:c>
      <x:c r="J2729" s="27" t="str">
        <x:v>Incoming prerequisite relationship.</x:v>
      </x:c>
    </x:row>
    <x:row r="2730">
      <x:c r="A2730" s="27" t="str">
        <x:v>E02726</x:v>
      </x:c>
      <x:c r="B2730" s="27" t="str">
        <x:v>S25-MATH-02:GROUND</x:v>
      </x:c>
      <x:c r="C2730" s="27" t="str">
        <x:v>G6/G7 — Evidence-based formal system demonstrated through authentic transfer</x:v>
      </x:c>
      <x:c r="D2730" s="27" t="str">
        <x:v>GROUNDED_BY</x:v>
      </x:c>
      <x:c r="E2730" s="27" t="str">
        <x:v>S25-MATH-02</x:v>
      </x:c>
      <x:c r="F2730" s="27" t="str">
        <x:v>Sets, relations, functions, and combinatorics</x:v>
      </x:c>
      <x:c r="G2730" s="27" t="str">
        <x:v>S25</x:v>
      </x:c>
      <x:c r="H2730" s="27" t="str">
        <x:v>Mathematics</x:v>
      </x:c>
      <x:c r="I2730" s="27" t="str">
        <x:v>SRC09</x:v>
      </x:c>
      <x:c r="J2730" s="27" t="str">
        <x:v>Grounding form used to preserve meaning.</x:v>
      </x:c>
    </x:row>
    <x:row r="2731">
      <x:c r="A2731" s="27" t="str">
        <x:v>E02727</x:v>
      </x:c>
      <x:c r="B2731" s="27" t="str">
        <x:v>S25-MATH-02</x:v>
      </x:c>
      <x:c r="C2731" s="27" t="str">
        <x:v>Sets, relations, functions, and combinatorics</x:v>
      </x:c>
      <x:c r="D2731" s="27" t="str">
        <x:v>CONNECTS_TO</x:v>
      </x:c>
      <x:c r="E2731" s="27" t="str">
        <x:v>S25-MATH-02:CROSS</x:v>
      </x:c>
      <x:c r="F2731" s="27" t="str">
        <x:v>Physical quantity and spatial action; science measurement/models; computing/algorithms; finance; music rhythm/pattern; geographic data.</x:v>
      </x:c>
      <x:c r="G2731" s="27" t="str">
        <x:v>S25</x:v>
      </x:c>
      <x:c r="H2731" s="27" t="str">
        <x:v>Mathematics</x:v>
      </x:c>
      <x:c r="I2731" s="27" t="str">
        <x:v>SRC09</x:v>
      </x:c>
      <x:c r="J2731" s="27" t="str">
        <x:v>Parallel subject and representation links.</x:v>
      </x:c>
    </x:row>
    <x:row r="2732">
      <x:c r="A2732" s="27" t="str">
        <x:v>E02728</x:v>
      </x:c>
      <x:c r="B2732" s="27" t="str">
        <x:v>S25-MATH-02</x:v>
      </x:c>
      <x:c r="C2732" s="27" t="str">
        <x:v>Sets, relations, functions, and combinatorics</x:v>
      </x:c>
      <x:c r="D2732" s="27" t="str">
        <x:v>UNLOCKS</x:v>
      </x:c>
      <x:c r="E2732" s="27" t="str">
        <x:v>S25-MATH-02:NEXT</x:v>
      </x:c>
      <x:c r="F2732" s="27" t="str">
        <x:v>Discrete structures ground algorithms, databases, probability, and computer science.</x:v>
      </x:c>
      <x:c r="G2732" s="27" t="str">
        <x:v>S25</x:v>
      </x:c>
      <x:c r="H2732" s="27" t="str">
        <x:v>Mathematics</x:v>
      </x:c>
      <x:c r="I2732" s="27" t="str">
        <x:v>SRC09</x:v>
      </x:c>
      <x:c r="J2732" s="27" t="str">
        <x:v>Outgoing use and placement rationale.</x:v>
      </x:c>
    </x:row>
    <x:row r="2733">
      <x:c r="A2733" s="27" t="str">
        <x:v>E02729</x:v>
      </x:c>
      <x:c r="B2733" s="27" t="str">
        <x:v>S25-MATH-02</x:v>
      </x:c>
      <x:c r="C2733" s="27" t="str">
        <x:v>Sets, relations, functions, and combinatorics</x:v>
      </x:c>
      <x:c r="D2733" s="27" t="str">
        <x:v>VERIFIED_BY</x:v>
      </x:c>
      <x:c r="E2733" s="27" t="str">
        <x:v>S25-MATH-02:EVIDENCE</x:v>
      </x:c>
      <x:c r="F2733" s="27" t="str">
        <x:v>Models and solves a counting/relation problem with a proof of completeness.</x:v>
      </x:c>
      <x:c r="G2733" s="27" t="str">
        <x:v>S25</x:v>
      </x:c>
      <x:c r="H2733" s="27" t="str">
        <x:v>Mathematics</x:v>
      </x:c>
      <x:c r="I2733" s="27" t="str">
        <x:v>SRC09</x:v>
      </x:c>
      <x:c r="J2733" s="27" t="str">
        <x:v>Observable evidence of usable learning.</x:v>
      </x:c>
    </x:row>
    <x:row r="2734">
      <x:c r="A2734" s="27" t="str">
        <x:v>E02730</x:v>
      </x:c>
      <x:c r="B2734" s="27" t="str">
        <x:v>S25-MATH-02</x:v>
      </x:c>
      <x:c r="C2734" s="27" t="str">
        <x:v>Previous node in domain progression</x:v>
      </x:c>
      <x:c r="D2734" s="27" t="str">
        <x:v>DOMAIN_SEQUENCE</x:v>
      </x:c>
      <x:c r="E2734" s="27" t="str">
        <x:v>S25-MATH-03</x:v>
      </x:c>
      <x:c r="F2734" s="27" t="str">
        <x:v>Graph theory, trees, and networks</x:v>
      </x:c>
      <x:c r="G2734" s="27" t="str">
        <x:v>S25</x:v>
      </x:c>
      <x:c r="H2734" s="27" t="str">
        <x:v>Mathematics</x:v>
      </x:c>
      <x:c r="I2734" s="27" t="str">
        <x:v>SRC16</x:v>
      </x:c>
      <x:c r="J2734" s="27" t="str">
        <x:v>Ordered spiral link; consult explicit prerequisites for logical dependency.</x:v>
      </x:c>
    </x:row>
    <x:row r="2735">
      <x:c r="A2735" s="27" t="str">
        <x:v>E02731</x:v>
      </x:c>
      <x:c r="B2735" s="27" t="str">
        <x:v>S25-MATH-03:PREREQ</x:v>
      </x:c>
      <x:c r="C2735" s="27" t="str">
        <x:v>Sets/relations, proof, algorithms, and networks.</x:v>
      </x:c>
      <x:c r="D2735" s="27" t="str">
        <x:v>PREREQUISITE</x:v>
      </x:c>
      <x:c r="E2735" s="27" t="str">
        <x:v>S25-MATH-03</x:v>
      </x:c>
      <x:c r="F2735" s="27" t="str">
        <x:v>Graph theory, trees, and networks</x:v>
      </x:c>
      <x:c r="G2735" s="27" t="str">
        <x:v>S25</x:v>
      </x:c>
      <x:c r="H2735" s="27" t="str">
        <x:v>Mathematics</x:v>
      </x:c>
      <x:c r="I2735" s="27" t="str">
        <x:v>SRC16</x:v>
      </x:c>
      <x:c r="J2735" s="27" t="str">
        <x:v>Incoming prerequisite relationship.</x:v>
      </x:c>
    </x:row>
    <x:row r="2736">
      <x:c r="A2736" s="27" t="str">
        <x:v>E02732</x:v>
      </x:c>
      <x:c r="B2736" s="27" t="str">
        <x:v>S25-MATH-03:GROUND</x:v>
      </x:c>
      <x:c r="C2736" s="27" t="str">
        <x:v>G6/G7 — Evidence-based formal system demonstrated through authentic transfer</x:v>
      </x:c>
      <x:c r="D2736" s="27" t="str">
        <x:v>GROUNDED_BY</x:v>
      </x:c>
      <x:c r="E2736" s="27" t="str">
        <x:v>S25-MATH-03</x:v>
      </x:c>
      <x:c r="F2736" s="27" t="str">
        <x:v>Graph theory, trees, and networks</x:v>
      </x:c>
      <x:c r="G2736" s="27" t="str">
        <x:v>S25</x:v>
      </x:c>
      <x:c r="H2736" s="27" t="str">
        <x:v>Mathematics</x:v>
      </x:c>
      <x:c r="I2736" s="27" t="str">
        <x:v>SRC16</x:v>
      </x:c>
      <x:c r="J2736" s="27" t="str">
        <x:v>Grounding form used to preserve meaning.</x:v>
      </x:c>
    </x:row>
    <x:row r="2737">
      <x:c r="A2737" s="27" t="str">
        <x:v>E02733</x:v>
      </x:c>
      <x:c r="B2737" s="27" t="str">
        <x:v>S25-MATH-03</x:v>
      </x:c>
      <x:c r="C2737" s="27" t="str">
        <x:v>Graph theory, trees, and networks</x:v>
      </x:c>
      <x:c r="D2737" s="27" t="str">
        <x:v>CONNECTS_TO</x:v>
      </x:c>
      <x:c r="E2737" s="27" t="str">
        <x:v>S25-MATH-03:CROSS</x:v>
      </x:c>
      <x:c r="F2737" s="27" t="str">
        <x:v>Physical quantity and spatial action; science measurement/models; computing/algorithms; finance; music rhythm/pattern; geographic data.</x:v>
      </x:c>
      <x:c r="G2737" s="27" t="str">
        <x:v>S25</x:v>
      </x:c>
      <x:c r="H2737" s="27" t="str">
        <x:v>Mathematics</x:v>
      </x:c>
      <x:c r="I2737" s="27" t="str">
        <x:v>SRC16</x:v>
      </x:c>
      <x:c r="J2737" s="27" t="str">
        <x:v>Parallel subject and representation links.</x:v>
      </x:c>
    </x:row>
    <x:row r="2738">
      <x:c r="A2738" s="27" t="str">
        <x:v>E02734</x:v>
      </x:c>
      <x:c r="B2738" s="27" t="str">
        <x:v>S25-MATH-03</x:v>
      </x:c>
      <x:c r="C2738" s="27" t="str">
        <x:v>Graph theory, trees, and networks</x:v>
      </x:c>
      <x:c r="D2738" s="27" t="str">
        <x:v>UNLOCKS</x:v>
      </x:c>
      <x:c r="E2738" s="27" t="str">
        <x:v>S25-MATH-03:NEXT</x:v>
      </x:c>
      <x:c r="F2738" s="27" t="str">
        <x:v>Graphs provide a common model for routes, dependencies, social networks, circuits, and knowledge links.</x:v>
      </x:c>
      <x:c r="G2738" s="27" t="str">
        <x:v>S25</x:v>
      </x:c>
      <x:c r="H2738" s="27" t="str">
        <x:v>Mathematics</x:v>
      </x:c>
      <x:c r="I2738" s="27" t="str">
        <x:v>SRC16</x:v>
      </x:c>
      <x:c r="J2738" s="27" t="str">
        <x:v>Outgoing use and placement rationale.</x:v>
      </x:c>
    </x:row>
    <x:row r="2739">
      <x:c r="A2739" s="27" t="str">
        <x:v>E02735</x:v>
      </x:c>
      <x:c r="B2739" s="27" t="str">
        <x:v>S25-MATH-03</x:v>
      </x:c>
      <x:c r="C2739" s="27" t="str">
        <x:v>Graph theory, trees, and networks</x:v>
      </x:c>
      <x:c r="D2739" s="27" t="str">
        <x:v>VERIFIED_BY</x:v>
      </x:c>
      <x:c r="E2739" s="27" t="str">
        <x:v>S25-MATH-03:EVIDENCE</x:v>
      </x:c>
      <x:c r="F2739" s="27" t="str">
        <x:v>Builds a graph model, applies an appropriate theorem/algorithm, and interprets limitations.</x:v>
      </x:c>
      <x:c r="G2739" s="27" t="str">
        <x:v>S25</x:v>
      </x:c>
      <x:c r="H2739" s="27" t="str">
        <x:v>Mathematics</x:v>
      </x:c>
      <x:c r="I2739" s="27" t="str">
        <x:v>SRC16</x:v>
      </x:c>
      <x:c r="J2739" s="27" t="str">
        <x:v>Observable evidence of usable learning.</x:v>
      </x:c>
    </x:row>
    <x:row r="2740">
      <x:c r="A2740" s="27" t="str">
        <x:v>E02736</x:v>
      </x:c>
      <x:c r="B2740" s="27" t="str">
        <x:v>S25-MATH-03</x:v>
      </x:c>
      <x:c r="C2740" s="27" t="str">
        <x:v>Previous node in domain progression</x:v>
      </x:c>
      <x:c r="D2740" s="27" t="str">
        <x:v>DOMAIN_SEQUENCE</x:v>
      </x:c>
      <x:c r="E2740" s="27" t="str">
        <x:v>S25-MATH-04</x:v>
      </x:c>
      <x:c r="F2740" s="27" t="str">
        <x:v>Recurrence, induction, and algorithm growth</x:v>
      </x:c>
      <x:c r="G2740" s="27" t="str">
        <x:v>S25</x:v>
      </x:c>
      <x:c r="H2740" s="27" t="str">
        <x:v>Mathematics</x:v>
      </x:c>
      <x:c r="I2740" s="27" t="str">
        <x:v>SRC16</x:v>
      </x:c>
      <x:c r="J2740" s="27" t="str">
        <x:v>Ordered spiral link; consult explicit prerequisites for logical dependency.</x:v>
      </x:c>
    </x:row>
    <x:row r="2741">
      <x:c r="A2741" s="27" t="str">
        <x:v>E02737</x:v>
      </x:c>
      <x:c r="B2741" s="27" t="str">
        <x:v>S25-MATH-04:PREREQ</x:v>
      </x:c>
      <x:c r="C2741" s="27" t="str">
        <x:v>Algebra II sequences, proof/induction, exponent/log functions, and programming.</x:v>
      </x:c>
      <x:c r="D2741" s="27" t="str">
        <x:v>PREREQUISITE</x:v>
      </x:c>
      <x:c r="E2741" s="27" t="str">
        <x:v>S25-MATH-04</x:v>
      </x:c>
      <x:c r="F2741" s="27" t="str">
        <x:v>Recurrence, induction, and algorithm growth</x:v>
      </x:c>
      <x:c r="G2741" s="27" t="str">
        <x:v>S25</x:v>
      </x:c>
      <x:c r="H2741" s="27" t="str">
        <x:v>Mathematics</x:v>
      </x:c>
      <x:c r="I2741" s="27" t="str">
        <x:v>SRC16</x:v>
      </x:c>
      <x:c r="J2741" s="27" t="str">
        <x:v>Incoming prerequisite relationship.</x:v>
      </x:c>
    </x:row>
    <x:row r="2742">
      <x:c r="A2742" s="27" t="str">
        <x:v>E02738</x:v>
      </x:c>
      <x:c r="B2742" s="27" t="str">
        <x:v>S25-MATH-04:GROUND</x:v>
      </x:c>
      <x:c r="C2742" s="27" t="str">
        <x:v>G6/G7 — Evidence-based formal system demonstrated through authentic transfer</x:v>
      </x:c>
      <x:c r="D2742" s="27" t="str">
        <x:v>GROUNDED_BY</x:v>
      </x:c>
      <x:c r="E2742" s="27" t="str">
        <x:v>S25-MATH-04</x:v>
      </x:c>
      <x:c r="F2742" s="27" t="str">
        <x:v>Recurrence, induction, and algorithm growth</x:v>
      </x:c>
      <x:c r="G2742" s="27" t="str">
        <x:v>S25</x:v>
      </x:c>
      <x:c r="H2742" s="27" t="str">
        <x:v>Mathematics</x:v>
      </x:c>
      <x:c r="I2742" s="27" t="str">
        <x:v>SRC16</x:v>
      </x:c>
      <x:c r="J2742" s="27" t="str">
        <x:v>Grounding form used to preserve meaning.</x:v>
      </x:c>
    </x:row>
    <x:row r="2743">
      <x:c r="A2743" s="27" t="str">
        <x:v>E02739</x:v>
      </x:c>
      <x:c r="B2743" s="27" t="str">
        <x:v>S25-MATH-04</x:v>
      </x:c>
      <x:c r="C2743" s="27" t="str">
        <x:v>Recurrence, induction, and algorithm growth</x:v>
      </x:c>
      <x:c r="D2743" s="27" t="str">
        <x:v>CONNECTS_TO</x:v>
      </x:c>
      <x:c r="E2743" s="27" t="str">
        <x:v>S25-MATH-04:CROSS</x:v>
      </x:c>
      <x:c r="F2743" s="27" t="str">
        <x:v>Physical quantity and spatial action; science measurement/models; computing/algorithms; finance; music rhythm/pattern; geographic data.</x:v>
      </x:c>
      <x:c r="G2743" s="27" t="str">
        <x:v>S25</x:v>
      </x:c>
      <x:c r="H2743" s="27" t="str">
        <x:v>Mathematics</x:v>
      </x:c>
      <x:c r="I2743" s="27" t="str">
        <x:v>SRC16</x:v>
      </x:c>
      <x:c r="J2743" s="27" t="str">
        <x:v>Parallel subject and representation links.</x:v>
      </x:c>
    </x:row>
    <x:row r="2744">
      <x:c r="A2744" s="27" t="str">
        <x:v>E02740</x:v>
      </x:c>
      <x:c r="B2744" s="27" t="str">
        <x:v>S25-MATH-04</x:v>
      </x:c>
      <x:c r="C2744" s="27" t="str">
        <x:v>Recurrence, induction, and algorithm growth</x:v>
      </x:c>
      <x:c r="D2744" s="27" t="str">
        <x:v>UNLOCKS</x:v>
      </x:c>
      <x:c r="E2744" s="27" t="str">
        <x:v>S25-MATH-04:NEXT</x:v>
      </x:c>
      <x:c r="F2744" s="27" t="str">
        <x:v>Recurrences model stepwise processes; growth analysis predicts scalability.</x:v>
      </x:c>
      <x:c r="G2744" s="27" t="str">
        <x:v>S25</x:v>
      </x:c>
      <x:c r="H2744" s="27" t="str">
        <x:v>Mathematics</x:v>
      </x:c>
      <x:c r="I2744" s="27" t="str">
        <x:v>SRC16</x:v>
      </x:c>
      <x:c r="J2744" s="27" t="str">
        <x:v>Outgoing use and placement rationale.</x:v>
      </x:c>
    </x:row>
    <x:row r="2745">
      <x:c r="A2745" s="27" t="str">
        <x:v>E02741</x:v>
      </x:c>
      <x:c r="B2745" s="27" t="str">
        <x:v>S25-MATH-04</x:v>
      </x:c>
      <x:c r="C2745" s="27" t="str">
        <x:v>Recurrence, induction, and algorithm growth</x:v>
      </x:c>
      <x:c r="D2745" s="27" t="str">
        <x:v>VERIFIED_BY</x:v>
      </x:c>
      <x:c r="E2745" s="27" t="str">
        <x:v>S25-MATH-04:EVIDENCE</x:v>
      </x:c>
      <x:c r="F2745" s="27" t="str">
        <x:v>Derives/analyzes a recurrence and connects it to program behavior or a combinatorial structure.</x:v>
      </x:c>
      <x:c r="G2745" s="27" t="str">
        <x:v>S25</x:v>
      </x:c>
      <x:c r="H2745" s="27" t="str">
        <x:v>Mathematics</x:v>
      </x:c>
      <x:c r="I2745" s="27" t="str">
        <x:v>SRC16</x:v>
      </x:c>
      <x:c r="J2745" s="27" t="str">
        <x:v>Observable evidence of usable learning.</x:v>
      </x:c>
    </x:row>
    <x:row r="2746">
      <x:c r="A2746" s="27" t="str">
        <x:v>E02742</x:v>
      </x:c>
      <x:c r="B2746" s="27" t="str">
        <x:v>S25-MATH-04</x:v>
      </x:c>
      <x:c r="C2746" s="27" t="str">
        <x:v>Previous node in domain progression</x:v>
      </x:c>
      <x:c r="D2746" s="27" t="str">
        <x:v>DOMAIN_SEQUENCE</x:v>
      </x:c>
      <x:c r="E2746" s="27" t="str">
        <x:v>S25-MATH-05</x:v>
      </x:c>
      <x:c r="F2746" s="27" t="str">
        <x:v>Vectors, matrices, systems, and subspaces</x:v>
      </x:c>
      <x:c r="G2746" s="27" t="str">
        <x:v>S25</x:v>
      </x:c>
      <x:c r="H2746" s="27" t="str">
        <x:v>Mathematics</x:v>
      </x:c>
      <x:c r="I2746" s="27" t="str">
        <x:v>SRC26</x:v>
      </x:c>
      <x:c r="J2746" s="27" t="str">
        <x:v>Ordered spiral link; consult explicit prerequisites for logical dependency.</x:v>
      </x:c>
    </x:row>
    <x:row r="2747">
      <x:c r="A2747" s="27" t="str">
        <x:v>E02743</x:v>
      </x:c>
      <x:c r="B2747" s="27" t="str">
        <x:v>S25-MATH-05:PREREQ</x:v>
      </x:c>
      <x:c r="C2747" s="27" t="str">
        <x:v>Precalculus vectors/matrices, systems, coordinate geometry, and proof.</x:v>
      </x:c>
      <x:c r="D2747" s="27" t="str">
        <x:v>PREREQUISITE</x:v>
      </x:c>
      <x:c r="E2747" s="27" t="str">
        <x:v>S25-MATH-05</x:v>
      </x:c>
      <x:c r="F2747" s="27" t="str">
        <x:v>Vectors, matrices, systems, and subspaces</x:v>
      </x:c>
      <x:c r="G2747" s="27" t="str">
        <x:v>S25</x:v>
      </x:c>
      <x:c r="H2747" s="27" t="str">
        <x:v>Mathematics</x:v>
      </x:c>
      <x:c r="I2747" s="27" t="str">
        <x:v>SRC26</x:v>
      </x:c>
      <x:c r="J2747" s="27" t="str">
        <x:v>Incoming prerequisite relationship.</x:v>
      </x:c>
    </x:row>
    <x:row r="2748">
      <x:c r="A2748" s="27" t="str">
        <x:v>E02744</x:v>
      </x:c>
      <x:c r="B2748" s="27" t="str">
        <x:v>S25-MATH-05:GROUND</x:v>
      </x:c>
      <x:c r="C2748" s="27" t="str">
        <x:v>G6/G7 — Evidence-based formal system demonstrated through authentic transfer</x:v>
      </x:c>
      <x:c r="D2748" s="27" t="str">
        <x:v>GROUNDED_BY</x:v>
      </x:c>
      <x:c r="E2748" s="27" t="str">
        <x:v>S25-MATH-05</x:v>
      </x:c>
      <x:c r="F2748" s="27" t="str">
        <x:v>Vectors, matrices, systems, and subspaces</x:v>
      </x:c>
      <x:c r="G2748" s="27" t="str">
        <x:v>S25</x:v>
      </x:c>
      <x:c r="H2748" s="27" t="str">
        <x:v>Mathematics</x:v>
      </x:c>
      <x:c r="I2748" s="27" t="str">
        <x:v>SRC26</x:v>
      </x:c>
      <x:c r="J2748" s="27" t="str">
        <x:v>Grounding form used to preserve meaning.</x:v>
      </x:c>
    </x:row>
    <x:row r="2749">
      <x:c r="A2749" s="27" t="str">
        <x:v>E02745</x:v>
      </x:c>
      <x:c r="B2749" s="27" t="str">
        <x:v>S25-MATH-05</x:v>
      </x:c>
      <x:c r="C2749" s="27" t="str">
        <x:v>Vectors, matrices, systems, and subspaces</x:v>
      </x:c>
      <x:c r="D2749" s="27" t="str">
        <x:v>CONNECTS_TO</x:v>
      </x:c>
      <x:c r="E2749" s="27" t="str">
        <x:v>S25-MATH-05:CROSS</x:v>
      </x:c>
      <x:c r="F2749" s="27" t="str">
        <x:v>Physical quantity and spatial action; science measurement/models; computing/algorithms; finance; music rhythm/pattern; geographic data.</x:v>
      </x:c>
      <x:c r="G2749" s="27" t="str">
        <x:v>S25</x:v>
      </x:c>
      <x:c r="H2749" s="27" t="str">
        <x:v>Mathematics</x:v>
      </x:c>
      <x:c r="I2749" s="27" t="str">
        <x:v>SRC26</x:v>
      </x:c>
      <x:c r="J2749" s="27" t="str">
        <x:v>Parallel subject and representation links.</x:v>
      </x:c>
    </x:row>
    <x:row r="2750">
      <x:c r="A2750" s="27" t="str">
        <x:v>E02746</x:v>
      </x:c>
      <x:c r="B2750" s="27" t="str">
        <x:v>S25-MATH-05</x:v>
      </x:c>
      <x:c r="C2750" s="27" t="str">
        <x:v>Vectors, matrices, systems, and subspaces</x:v>
      </x:c>
      <x:c r="D2750" s="27" t="str">
        <x:v>UNLOCKS</x:v>
      </x:c>
      <x:c r="E2750" s="27" t="str">
        <x:v>S25-MATH-05:NEXT</x:v>
      </x:c>
      <x:c r="F2750" s="27" t="str">
        <x:v>Linear algebra is the language of multivariable models, data science, graphics, physics, and machine learning.</x:v>
      </x:c>
      <x:c r="G2750" s="27" t="str">
        <x:v>S25</x:v>
      </x:c>
      <x:c r="H2750" s="27" t="str">
        <x:v>Mathematics</x:v>
      </x:c>
      <x:c r="I2750" s="27" t="str">
        <x:v>SRC26</x:v>
      </x:c>
      <x:c r="J2750" s="27" t="str">
        <x:v>Outgoing use and placement rationale.</x:v>
      </x:c>
    </x:row>
    <x:row r="2751">
      <x:c r="A2751" s="27" t="str">
        <x:v>E02747</x:v>
      </x:c>
      <x:c r="B2751" s="27" t="str">
        <x:v>S25-MATH-05</x:v>
      </x:c>
      <x:c r="C2751" s="27" t="str">
        <x:v>Vectors, matrices, systems, and subspaces</x:v>
      </x:c>
      <x:c r="D2751" s="27" t="str">
        <x:v>VERIFIED_BY</x:v>
      </x:c>
      <x:c r="E2751" s="27" t="str">
        <x:v>S25-MATH-05:EVIDENCE</x:v>
      </x:c>
      <x:c r="F2751" s="27" t="str">
        <x:v>Moves among equation, matrix, geometric, and subspace representations and explains solvability.</x:v>
      </x:c>
      <x:c r="G2751" s="27" t="str">
        <x:v>S25</x:v>
      </x:c>
      <x:c r="H2751" s="27" t="str">
        <x:v>Mathematics</x:v>
      </x:c>
      <x:c r="I2751" s="27" t="str">
        <x:v>SRC26</x:v>
      </x:c>
      <x:c r="J2751" s="27" t="str">
        <x:v>Observable evidence of usable learning.</x:v>
      </x:c>
    </x:row>
    <x:row r="2752">
      <x:c r="A2752" s="27" t="str">
        <x:v>E02748</x:v>
      </x:c>
      <x:c r="B2752" s="27" t="str">
        <x:v>S25-MATH-05</x:v>
      </x:c>
      <x:c r="C2752" s="27" t="str">
        <x:v>Previous node in domain progression</x:v>
      </x:c>
      <x:c r="D2752" s="27" t="str">
        <x:v>DOMAIN_SEQUENCE</x:v>
      </x:c>
      <x:c r="E2752" s="27" t="str">
        <x:v>S25-MATH-06</x:v>
      </x:c>
      <x:c r="F2752" s="27" t="str">
        <x:v>Determinants, eigenvalues, and eigenvectors</x:v>
      </x:c>
      <x:c r="G2752" s="27" t="str">
        <x:v>S25</x:v>
      </x:c>
      <x:c r="H2752" s="27" t="str">
        <x:v>Mathematics</x:v>
      </x:c>
      <x:c r="I2752" s="27" t="str">
        <x:v>SRC26</x:v>
      </x:c>
      <x:c r="J2752" s="27" t="str">
        <x:v>Ordered spiral link; consult explicit prerequisites for logical dependency.</x:v>
      </x:c>
    </x:row>
    <x:row r="2753">
      <x:c r="A2753" s="27" t="str">
        <x:v>E02749</x:v>
      </x:c>
      <x:c r="B2753" s="27" t="str">
        <x:v>S25-MATH-06:PREREQ</x:v>
      </x:c>
      <x:c r="C2753" s="27" t="str">
        <x:v>Linear transformations, polynomial roots, and matrix operations.</x:v>
      </x:c>
      <x:c r="D2753" s="27" t="str">
        <x:v>PREREQUISITE</x:v>
      </x:c>
      <x:c r="E2753" s="27" t="str">
        <x:v>S25-MATH-06</x:v>
      </x:c>
      <x:c r="F2753" s="27" t="str">
        <x:v>Determinants, eigenvalues, and eigenvectors</x:v>
      </x:c>
      <x:c r="G2753" s="27" t="str">
        <x:v>S25</x:v>
      </x:c>
      <x:c r="H2753" s="27" t="str">
        <x:v>Mathematics</x:v>
      </x:c>
      <x:c r="I2753" s="27" t="str">
        <x:v>SRC26</x:v>
      </x:c>
      <x:c r="J2753" s="27" t="str">
        <x:v>Incoming prerequisite relationship.</x:v>
      </x:c>
    </x:row>
    <x:row r="2754">
      <x:c r="A2754" s="27" t="str">
        <x:v>E02750</x:v>
      </x:c>
      <x:c r="B2754" s="27" t="str">
        <x:v>S25-MATH-06:GROUND</x:v>
      </x:c>
      <x:c r="C2754" s="27" t="str">
        <x:v>G6/G7 — Evidence-based formal system demonstrated through authentic transfer</x:v>
      </x:c>
      <x:c r="D2754" s="27" t="str">
        <x:v>GROUNDED_BY</x:v>
      </x:c>
      <x:c r="E2754" s="27" t="str">
        <x:v>S25-MATH-06</x:v>
      </x:c>
      <x:c r="F2754" s="27" t="str">
        <x:v>Determinants, eigenvalues, and eigenvectors</x:v>
      </x:c>
      <x:c r="G2754" s="27" t="str">
        <x:v>S25</x:v>
      </x:c>
      <x:c r="H2754" s="27" t="str">
        <x:v>Mathematics</x:v>
      </x:c>
      <x:c r="I2754" s="27" t="str">
        <x:v>SRC26</x:v>
      </x:c>
      <x:c r="J2754" s="27" t="str">
        <x:v>Grounding form used to preserve meaning.</x:v>
      </x:c>
    </x:row>
    <x:row r="2755">
      <x:c r="A2755" s="27" t="str">
        <x:v>E02751</x:v>
      </x:c>
      <x:c r="B2755" s="27" t="str">
        <x:v>S25-MATH-06</x:v>
      </x:c>
      <x:c r="C2755" s="27" t="str">
        <x:v>Determinants, eigenvalues, and eigenvectors</x:v>
      </x:c>
      <x:c r="D2755" s="27" t="str">
        <x:v>CONNECTS_TO</x:v>
      </x:c>
      <x:c r="E2755" s="27" t="str">
        <x:v>S25-MATH-06:CROSS</x:v>
      </x:c>
      <x:c r="F2755" s="27" t="str">
        <x:v>Physical quantity and spatial action; science measurement/models; computing/algorithms; finance; music rhythm/pattern; geographic data.</x:v>
      </x:c>
      <x:c r="G2755" s="27" t="str">
        <x:v>S25</x:v>
      </x:c>
      <x:c r="H2755" s="27" t="str">
        <x:v>Mathematics</x:v>
      </x:c>
      <x:c r="I2755" s="27" t="str">
        <x:v>SRC26</x:v>
      </x:c>
      <x:c r="J2755" s="27" t="str">
        <x:v>Parallel subject and representation links.</x:v>
      </x:c>
    </x:row>
    <x:row r="2756">
      <x:c r="A2756" s="27" t="str">
        <x:v>E02752</x:v>
      </x:c>
      <x:c r="B2756" s="27" t="str">
        <x:v>S25-MATH-06</x:v>
      </x:c>
      <x:c r="C2756" s="27" t="str">
        <x:v>Determinants, eigenvalues, and eigenvectors</x:v>
      </x:c>
      <x:c r="D2756" s="27" t="str">
        <x:v>UNLOCKS</x:v>
      </x:c>
      <x:c r="E2756" s="27" t="str">
        <x:v>S25-MATH-06:NEXT</x:v>
      </x:c>
      <x:c r="F2756" s="27" t="str">
        <x:v>Eigenstructure grounds stability, differential equations, dynamical systems, networks, and dimensional reduction.</x:v>
      </x:c>
      <x:c r="G2756" s="27" t="str">
        <x:v>S25</x:v>
      </x:c>
      <x:c r="H2756" s="27" t="str">
        <x:v>Mathematics</x:v>
      </x:c>
      <x:c r="I2756" s="27" t="str">
        <x:v>SRC26</x:v>
      </x:c>
      <x:c r="J2756" s="27" t="str">
        <x:v>Outgoing use and placement rationale.</x:v>
      </x:c>
    </x:row>
    <x:row r="2757">
      <x:c r="A2757" s="27" t="str">
        <x:v>E02753</x:v>
      </x:c>
      <x:c r="B2757" s="27" t="str">
        <x:v>S25-MATH-06</x:v>
      </x:c>
      <x:c r="C2757" s="27" t="str">
        <x:v>Determinants, eigenvalues, and eigenvectors</x:v>
      </x:c>
      <x:c r="D2757" s="27" t="str">
        <x:v>VERIFIED_BY</x:v>
      </x:c>
      <x:c r="E2757" s="27" t="str">
        <x:v>S25-MATH-06:EVIDENCE</x:v>
      </x:c>
      <x:c r="F2757" s="27" t="str">
        <x:v>Computes/interprets eigenstructure in a concrete transformation or dynamic model.</x:v>
      </x:c>
      <x:c r="G2757" s="27" t="str">
        <x:v>S25</x:v>
      </x:c>
      <x:c r="H2757" s="27" t="str">
        <x:v>Mathematics</x:v>
      </x:c>
      <x:c r="I2757" s="27" t="str">
        <x:v>SRC26</x:v>
      </x:c>
      <x:c r="J2757" s="27" t="str">
        <x:v>Observable evidence of usable learning.</x:v>
      </x:c>
    </x:row>
    <x:row r="2758">
      <x:c r="A2758" s="27" t="str">
        <x:v>E02754</x:v>
      </x:c>
      <x:c r="B2758" s="27" t="str">
        <x:v>S25-MATH-06</x:v>
      </x:c>
      <x:c r="C2758" s="27" t="str">
        <x:v>Previous node in domain progression</x:v>
      </x:c>
      <x:c r="D2758" s="27" t="str">
        <x:v>DOMAIN_SEQUENCE</x:v>
      </x:c>
      <x:c r="E2758" s="27" t="str">
        <x:v>S25-MATH-07</x:v>
      </x:c>
      <x:c r="F2758" s="27" t="str">
        <x:v>Parametric/polar/vector functions and infinite series</x:v>
      </x:c>
      <x:c r="G2758" s="27" t="str">
        <x:v>S25</x:v>
      </x:c>
      <x:c r="H2758" s="27" t="str">
        <x:v>Mathematics</x:v>
      </x:c>
      <x:c r="I2758" s="27" t="str">
        <x:v>SRC27</x:v>
      </x:c>
      <x:c r="J2758" s="27" t="str">
        <x:v>Ordered spiral link; consult explicit prerequisites for logical dependency.</x:v>
      </x:c>
    </x:row>
    <x:row r="2759">
      <x:c r="A2759" s="27" t="str">
        <x:v>E02755</x:v>
      </x:c>
      <x:c r="B2759" s="27" t="str">
        <x:v>S25-MATH-07:PREREQ</x:v>
      </x:c>
      <x:c r="C2759" s="27" t="str">
        <x:v>Grade 12 calculus, precalculus advanced representations, and Algebra II series.</x:v>
      </x:c>
      <x:c r="D2759" s="27" t="str">
        <x:v>PREREQUISITE</x:v>
      </x:c>
      <x:c r="E2759" s="27" t="str">
        <x:v>S25-MATH-07</x:v>
      </x:c>
      <x:c r="F2759" s="27" t="str">
        <x:v>Parametric/polar/vector functions and infinite series</x:v>
      </x:c>
      <x:c r="G2759" s="27" t="str">
        <x:v>S25</x:v>
      </x:c>
      <x:c r="H2759" s="27" t="str">
        <x:v>Mathematics</x:v>
      </x:c>
      <x:c r="I2759" s="27" t="str">
        <x:v>SRC27</x:v>
      </x:c>
      <x:c r="J2759" s="27" t="str">
        <x:v>Incoming prerequisite relationship.</x:v>
      </x:c>
    </x:row>
    <x:row r="2760">
      <x:c r="A2760" s="27" t="str">
        <x:v>E02756</x:v>
      </x:c>
      <x:c r="B2760" s="27" t="str">
        <x:v>S25-MATH-07:GROUND</x:v>
      </x:c>
      <x:c r="C2760" s="27" t="str">
        <x:v>G6/G7 — Evidence-based formal system demonstrated through authentic transfer</x:v>
      </x:c>
      <x:c r="D2760" s="27" t="str">
        <x:v>GROUNDED_BY</x:v>
      </x:c>
      <x:c r="E2760" s="27" t="str">
        <x:v>S25-MATH-07</x:v>
      </x:c>
      <x:c r="F2760" s="27" t="str">
        <x:v>Parametric/polar/vector functions and infinite series</x:v>
      </x:c>
      <x:c r="G2760" s="27" t="str">
        <x:v>S25</x:v>
      </x:c>
      <x:c r="H2760" s="27" t="str">
        <x:v>Mathematics</x:v>
      </x:c>
      <x:c r="I2760" s="27" t="str">
        <x:v>SRC27</x:v>
      </x:c>
      <x:c r="J2760" s="27" t="str">
        <x:v>Grounding form used to preserve meaning.</x:v>
      </x:c>
    </x:row>
    <x:row r="2761">
      <x:c r="A2761" s="27" t="str">
        <x:v>E02757</x:v>
      </x:c>
      <x:c r="B2761" s="27" t="str">
        <x:v>S25-MATH-07</x:v>
      </x:c>
      <x:c r="C2761" s="27" t="str">
        <x:v>Parametric/polar/vector functions and infinite series</x:v>
      </x:c>
      <x:c r="D2761" s="27" t="str">
        <x:v>CONNECTS_TO</x:v>
      </x:c>
      <x:c r="E2761" s="27" t="str">
        <x:v>S25-MATH-07:CROSS</x:v>
      </x:c>
      <x:c r="F2761" s="27" t="str">
        <x:v>Physical quantity and spatial action; science measurement/models; computing/algorithms; finance; music rhythm/pattern; geographic data.</x:v>
      </x:c>
      <x:c r="G2761" s="27" t="str">
        <x:v>S25</x:v>
      </x:c>
      <x:c r="H2761" s="27" t="str">
        <x:v>Mathematics</x:v>
      </x:c>
      <x:c r="I2761" s="27" t="str">
        <x:v>SRC27</x:v>
      </x:c>
      <x:c r="J2761" s="27" t="str">
        <x:v>Parallel subject and representation links.</x:v>
      </x:c>
    </x:row>
    <x:row r="2762">
      <x:c r="A2762" s="27" t="str">
        <x:v>E02758</x:v>
      </x:c>
      <x:c r="B2762" s="27" t="str">
        <x:v>S25-MATH-07</x:v>
      </x:c>
      <x:c r="C2762" s="27" t="str">
        <x:v>Parametric/polar/vector functions and infinite series</x:v>
      </x:c>
      <x:c r="D2762" s="27" t="str">
        <x:v>UNLOCKS</x:v>
      </x:c>
      <x:c r="E2762" s="27" t="str">
        <x:v>S25-MATH-07:NEXT</x:v>
      </x:c>
      <x:c r="F2762" s="27" t="str">
        <x:v>These tools extend calculus to curves, motion, and function approximation.</x:v>
      </x:c>
      <x:c r="G2762" s="27" t="str">
        <x:v>S25</x:v>
      </x:c>
      <x:c r="H2762" s="27" t="str">
        <x:v>Mathematics</x:v>
      </x:c>
      <x:c r="I2762" s="27" t="str">
        <x:v>SRC27</x:v>
      </x:c>
      <x:c r="J2762" s="27" t="str">
        <x:v>Outgoing use and placement rationale.</x:v>
      </x:c>
    </x:row>
    <x:row r="2763">
      <x:c r="A2763" s="27" t="str">
        <x:v>E02759</x:v>
      </x:c>
      <x:c r="B2763" s="27" t="str">
        <x:v>S25-MATH-07</x:v>
      </x:c>
      <x:c r="C2763" s="27" t="str">
        <x:v>Parametric/polar/vector functions and infinite series</x:v>
      </x:c>
      <x:c r="D2763" s="27" t="str">
        <x:v>VERIFIED_BY</x:v>
      </x:c>
      <x:c r="E2763" s="27" t="str">
        <x:v>S25-MATH-07:EVIDENCE</x:v>
      </x:c>
      <x:c r="F2763" s="27" t="str">
        <x:v>Solves an advanced representation/series problem and explains convergence or geometric meaning.</x:v>
      </x:c>
      <x:c r="G2763" s="27" t="str">
        <x:v>S25</x:v>
      </x:c>
      <x:c r="H2763" s="27" t="str">
        <x:v>Mathematics</x:v>
      </x:c>
      <x:c r="I2763" s="27" t="str">
        <x:v>SRC27</x:v>
      </x:c>
      <x:c r="J2763" s="27" t="str">
        <x:v>Observable evidence of usable learning.</x:v>
      </x:c>
    </x:row>
    <x:row r="2764">
      <x:c r="A2764" s="27" t="str">
        <x:v>E02760</x:v>
      </x:c>
      <x:c r="B2764" s="27" t="str">
        <x:v>S25-MATH-07</x:v>
      </x:c>
      <x:c r="C2764" s="27" t="str">
        <x:v>Previous node in domain progression</x:v>
      </x:c>
      <x:c r="D2764" s="27" t="str">
        <x:v>DOMAIN_SEQUENCE</x:v>
      </x:c>
      <x:c r="E2764" s="27" t="str">
        <x:v>S25-MATH-08</x:v>
      </x:c>
      <x:c r="F2764" s="27" t="str">
        <x:v>Partial derivatives, multiple integrals, and vector calculus</x:v>
      </x:c>
      <x:c r="G2764" s="27" t="str">
        <x:v>S25</x:v>
      </x:c>
      <x:c r="H2764" s="27" t="str">
        <x:v>Mathematics</x:v>
      </x:c>
      <x:c r="I2764" s="27" t="str">
        <x:v>SRC27</x:v>
      </x:c>
      <x:c r="J2764" s="27" t="str">
        <x:v>Ordered spiral link; consult explicit prerequisites for logical dependency.</x:v>
      </x:c>
    </x:row>
    <x:row r="2765">
      <x:c r="A2765" s="27" t="str">
        <x:v>E02761</x:v>
      </x:c>
      <x:c r="B2765" s="27" t="str">
        <x:v>S25-MATH-08:PREREQ</x:v>
      </x:c>
      <x:c r="C2765" s="27" t="str">
        <x:v>Single-variable calculus, vectors, linear algebra, and 3D geometry.</x:v>
      </x:c>
      <x:c r="D2765" s="27" t="str">
        <x:v>PREREQUISITE</x:v>
      </x:c>
      <x:c r="E2765" s="27" t="str">
        <x:v>S25-MATH-08</x:v>
      </x:c>
      <x:c r="F2765" s="27" t="str">
        <x:v>Partial derivatives, multiple integrals, and vector calculus</x:v>
      </x:c>
      <x:c r="G2765" s="27" t="str">
        <x:v>S25</x:v>
      </x:c>
      <x:c r="H2765" s="27" t="str">
        <x:v>Mathematics</x:v>
      </x:c>
      <x:c r="I2765" s="27" t="str">
        <x:v>SRC27</x:v>
      </x:c>
      <x:c r="J2765" s="27" t="str">
        <x:v>Incoming prerequisite relationship.</x:v>
      </x:c>
    </x:row>
    <x:row r="2766">
      <x:c r="A2766" s="27" t="str">
        <x:v>E02762</x:v>
      </x:c>
      <x:c r="B2766" s="27" t="str">
        <x:v>S25-MATH-08:GROUND</x:v>
      </x:c>
      <x:c r="C2766" s="27" t="str">
        <x:v>G6/G7 — Evidence-based formal system demonstrated through authentic transfer</x:v>
      </x:c>
      <x:c r="D2766" s="27" t="str">
        <x:v>GROUNDED_BY</x:v>
      </x:c>
      <x:c r="E2766" s="27" t="str">
        <x:v>S25-MATH-08</x:v>
      </x:c>
      <x:c r="F2766" s="27" t="str">
        <x:v>Partial derivatives, multiple integrals, and vector calculus</x:v>
      </x:c>
      <x:c r="G2766" s="27" t="str">
        <x:v>S25</x:v>
      </x:c>
      <x:c r="H2766" s="27" t="str">
        <x:v>Mathematics</x:v>
      </x:c>
      <x:c r="I2766" s="27" t="str">
        <x:v>SRC27</x:v>
      </x:c>
      <x:c r="J2766" s="27" t="str">
        <x:v>Grounding form used to preserve meaning.</x:v>
      </x:c>
    </x:row>
    <x:row r="2767">
      <x:c r="A2767" s="27" t="str">
        <x:v>E02763</x:v>
      </x:c>
      <x:c r="B2767" s="27" t="str">
        <x:v>S25-MATH-08</x:v>
      </x:c>
      <x:c r="C2767" s="27" t="str">
        <x:v>Partial derivatives, multiple integrals, and vector calculus</x:v>
      </x:c>
      <x:c r="D2767" s="27" t="str">
        <x:v>CONNECTS_TO</x:v>
      </x:c>
      <x:c r="E2767" s="27" t="str">
        <x:v>S25-MATH-08:CROSS</x:v>
      </x:c>
      <x:c r="F2767" s="27" t="str">
        <x:v>Physical quantity and spatial action; science measurement/models; computing/algorithms; finance; music rhythm/pattern; geographic data.</x:v>
      </x:c>
      <x:c r="G2767" s="27" t="str">
        <x:v>S25</x:v>
      </x:c>
      <x:c r="H2767" s="27" t="str">
        <x:v>Mathematics</x:v>
      </x:c>
      <x:c r="I2767" s="27" t="str">
        <x:v>SRC27</x:v>
      </x:c>
      <x:c r="J2767" s="27" t="str">
        <x:v>Parallel subject and representation links.</x:v>
      </x:c>
    </x:row>
    <x:row r="2768">
      <x:c r="A2768" s="27" t="str">
        <x:v>E02764</x:v>
      </x:c>
      <x:c r="B2768" s="27" t="str">
        <x:v>S25-MATH-08</x:v>
      </x:c>
      <x:c r="C2768" s="27" t="str">
        <x:v>Partial derivatives, multiple integrals, and vector calculus</x:v>
      </x:c>
      <x:c r="D2768" s="27" t="str">
        <x:v>UNLOCKS</x:v>
      </x:c>
      <x:c r="E2768" s="27" t="str">
        <x:v>S25-MATH-08:NEXT</x:v>
      </x:c>
      <x:c r="F2768" s="27" t="str">
        <x:v>Multivariable calculus models interacting quantities and spatial fields.</x:v>
      </x:c>
      <x:c r="G2768" s="27" t="str">
        <x:v>S25</x:v>
      </x:c>
      <x:c r="H2768" s="27" t="str">
        <x:v>Mathematics</x:v>
      </x:c>
      <x:c r="I2768" s="27" t="str">
        <x:v>SRC27</x:v>
      </x:c>
      <x:c r="J2768" s="27" t="str">
        <x:v>Outgoing use and placement rationale.</x:v>
      </x:c>
    </x:row>
    <x:row r="2769">
      <x:c r="A2769" s="27" t="str">
        <x:v>E02765</x:v>
      </x:c>
      <x:c r="B2769" s="27" t="str">
        <x:v>S25-MATH-08</x:v>
      </x:c>
      <x:c r="C2769" s="27" t="str">
        <x:v>Partial derivatives, multiple integrals, and vector calculus</x:v>
      </x:c>
      <x:c r="D2769" s="27" t="str">
        <x:v>VERIFIED_BY</x:v>
      </x:c>
      <x:c r="E2769" s="27" t="str">
        <x:v>S25-MATH-08:EVIDENCE</x:v>
      </x:c>
      <x:c r="F2769" s="27" t="str">
        <x:v>Builds and interprets a multivariable rate, accumulation, optimization, or field model.</x:v>
      </x:c>
      <x:c r="G2769" s="27" t="str">
        <x:v>S25</x:v>
      </x:c>
      <x:c r="H2769" s="27" t="str">
        <x:v>Mathematics</x:v>
      </x:c>
      <x:c r="I2769" s="27" t="str">
        <x:v>SRC27</x:v>
      </x:c>
      <x:c r="J2769" s="27" t="str">
        <x:v>Observable evidence of usable learning.</x:v>
      </x:c>
    </x:row>
    <x:row r="2770">
      <x:c r="A2770" s="27" t="str">
        <x:v>E02766</x:v>
      </x:c>
      <x:c r="B2770" s="27" t="str">
        <x:v>S25-MATH-08</x:v>
      </x:c>
      <x:c r="C2770" s="27" t="str">
        <x:v>Previous node in domain progression</x:v>
      </x:c>
      <x:c r="D2770" s="27" t="str">
        <x:v>DOMAIN_SEQUENCE</x:v>
      </x:c>
      <x:c r="E2770" s="27" t="str">
        <x:v>S25-MATH-09</x:v>
      </x:c>
      <x:c r="F2770" s="27" t="str">
        <x:v>First/second-order systems and qualitative dynamics</x:v>
      </x:c>
      <x:c r="G2770" s="27" t="str">
        <x:v>S25</x:v>
      </x:c>
      <x:c r="H2770" s="27" t="str">
        <x:v>Mathematics</x:v>
      </x:c>
      <x:c r="I2770" s="27" t="str">
        <x:v>SRC27</x:v>
      </x:c>
      <x:c r="J2770" s="27" t="str">
        <x:v>Ordered spiral link; consult explicit prerequisites for logical dependency.</x:v>
      </x:c>
    </x:row>
    <x:row r="2771">
      <x:c r="A2771" s="27" t="str">
        <x:v>E02767</x:v>
      </x:c>
      <x:c r="B2771" s="27" t="str">
        <x:v>S25-MATH-09:PREREQ</x:v>
      </x:c>
      <x:c r="C2771" s="27" t="str">
        <x:v>Calculus differential equations, linear algebra/eigenvalues, and modeling.</x:v>
      </x:c>
      <x:c r="D2771" s="27" t="str">
        <x:v>PREREQUISITE</x:v>
      </x:c>
      <x:c r="E2771" s="27" t="str">
        <x:v>S25-MATH-09</x:v>
      </x:c>
      <x:c r="F2771" s="27" t="str">
        <x:v>First/second-order systems and qualitative dynamics</x:v>
      </x:c>
      <x:c r="G2771" s="27" t="str">
        <x:v>S25</x:v>
      </x:c>
      <x:c r="H2771" s="27" t="str">
        <x:v>Mathematics</x:v>
      </x:c>
      <x:c r="I2771" s="27" t="str">
        <x:v>SRC27</x:v>
      </x:c>
      <x:c r="J2771" s="27" t="str">
        <x:v>Incoming prerequisite relationship.</x:v>
      </x:c>
    </x:row>
    <x:row r="2772">
      <x:c r="A2772" s="27" t="str">
        <x:v>E02768</x:v>
      </x:c>
      <x:c r="B2772" s="27" t="str">
        <x:v>S25-MATH-09:GROUND</x:v>
      </x:c>
      <x:c r="C2772" s="27" t="str">
        <x:v>G6/G7 — Evidence-based formal system demonstrated through authentic transfer</x:v>
      </x:c>
      <x:c r="D2772" s="27" t="str">
        <x:v>GROUNDED_BY</x:v>
      </x:c>
      <x:c r="E2772" s="27" t="str">
        <x:v>S25-MATH-09</x:v>
      </x:c>
      <x:c r="F2772" s="27" t="str">
        <x:v>First/second-order systems and qualitative dynamics</x:v>
      </x:c>
      <x:c r="G2772" s="27" t="str">
        <x:v>S25</x:v>
      </x:c>
      <x:c r="H2772" s="27" t="str">
        <x:v>Mathematics</x:v>
      </x:c>
      <x:c r="I2772" s="27" t="str">
        <x:v>SRC27</x:v>
      </x:c>
      <x:c r="J2772" s="27" t="str">
        <x:v>Grounding form used to preserve meaning.</x:v>
      </x:c>
    </x:row>
    <x:row r="2773">
      <x:c r="A2773" s="27" t="str">
        <x:v>E02769</x:v>
      </x:c>
      <x:c r="B2773" s="27" t="str">
        <x:v>S25-MATH-09</x:v>
      </x:c>
      <x:c r="C2773" s="27" t="str">
        <x:v>First/second-order systems and qualitative dynamics</x:v>
      </x:c>
      <x:c r="D2773" s="27" t="str">
        <x:v>CONNECTS_TO</x:v>
      </x:c>
      <x:c r="E2773" s="27" t="str">
        <x:v>S25-MATH-09:CROSS</x:v>
      </x:c>
      <x:c r="F2773" s="27" t="str">
        <x:v>Physical quantity and spatial action; science measurement/models; computing/algorithms; finance; music rhythm/pattern; geographic data.</x:v>
      </x:c>
      <x:c r="G2773" s="27" t="str">
        <x:v>S25</x:v>
      </x:c>
      <x:c r="H2773" s="27" t="str">
        <x:v>Mathematics</x:v>
      </x:c>
      <x:c r="I2773" s="27" t="str">
        <x:v>SRC27</x:v>
      </x:c>
      <x:c r="J2773" s="27" t="str">
        <x:v>Parallel subject and representation links.</x:v>
      </x:c>
    </x:row>
    <x:row r="2774">
      <x:c r="A2774" s="27" t="str">
        <x:v>E02770</x:v>
      </x:c>
      <x:c r="B2774" s="27" t="str">
        <x:v>S25-MATH-09</x:v>
      </x:c>
      <x:c r="C2774" s="27" t="str">
        <x:v>First/second-order systems and qualitative dynamics</x:v>
      </x:c>
      <x:c r="D2774" s="27" t="str">
        <x:v>UNLOCKS</x:v>
      </x:c>
      <x:c r="E2774" s="27" t="str">
        <x:v>S25-MATH-09:NEXT</x:v>
      </x:c>
      <x:c r="F2774" s="27" t="str">
        <x:v>Differential equations connect local laws to system trajectories across science/engineering/economics.</x:v>
      </x:c>
      <x:c r="G2774" s="27" t="str">
        <x:v>S25</x:v>
      </x:c>
      <x:c r="H2774" s="27" t="str">
        <x:v>Mathematics</x:v>
      </x:c>
      <x:c r="I2774" s="27" t="str">
        <x:v>SRC27</x:v>
      </x:c>
      <x:c r="J2774" s="27" t="str">
        <x:v>Outgoing use and placement rationale.</x:v>
      </x:c>
    </x:row>
    <x:row r="2775">
      <x:c r="A2775" s="27" t="str">
        <x:v>E02771</x:v>
      </x:c>
      <x:c r="B2775" s="27" t="str">
        <x:v>S25-MATH-09</x:v>
      </x:c>
      <x:c r="C2775" s="27" t="str">
        <x:v>First/second-order systems and qualitative dynamics</x:v>
      </x:c>
      <x:c r="D2775" s="27" t="str">
        <x:v>VERIFIED_BY</x:v>
      </x:c>
      <x:c r="E2775" s="27" t="str">
        <x:v>S25-MATH-09:EVIDENCE</x:v>
      </x:c>
      <x:c r="F2775" s="27" t="str">
        <x:v>Formulates, solves or approximates, and validates a dynamic model with initial/boundary conditions.</x:v>
      </x:c>
      <x:c r="G2775" s="27" t="str">
        <x:v>S25</x:v>
      </x:c>
      <x:c r="H2775" s="27" t="str">
        <x:v>Mathematics</x:v>
      </x:c>
      <x:c r="I2775" s="27" t="str">
        <x:v>SRC27</x:v>
      </x:c>
      <x:c r="J2775" s="27" t="str">
        <x:v>Observable evidence of usable learning.</x:v>
      </x:c>
    </x:row>
    <x:row r="2776">
      <x:c r="A2776" s="27" t="str">
        <x:v>E02772</x:v>
      </x:c>
      <x:c r="B2776" s="27" t="str">
        <x:v>S25-MATH-09</x:v>
      </x:c>
      <x:c r="C2776" s="27" t="str">
        <x:v>Previous node in domain progression</x:v>
      </x:c>
      <x:c r="D2776" s="27" t="str">
        <x:v>DOMAIN_SEQUENCE</x:v>
      </x:c>
      <x:c r="E2776" s="27" t="str">
        <x:v>S25-MATH-10</x:v>
      </x:c>
      <x:c r="F2776" s="27" t="str">
        <x:v>Random variables, expectation, conditioning, and limit ideas</x:v>
      </x:c>
      <x:c r="G2776" s="27" t="str">
        <x:v>S25</x:v>
      </x:c>
      <x:c r="H2776" s="27" t="str">
        <x:v>Mathematics</x:v>
      </x:c>
      <x:c r="I2776" s="27" t="str">
        <x:v>SRC28</x:v>
      </x:c>
      <x:c r="J2776" s="27" t="str">
        <x:v>Ordered spiral link; consult explicit prerequisites for logical dependency.</x:v>
      </x:c>
    </x:row>
    <x:row r="2777">
      <x:c r="A2777" s="27" t="str">
        <x:v>E02773</x:v>
      </x:c>
      <x:c r="B2777" s="27" t="str">
        <x:v>S25-MATH-10:PREREQ</x:v>
      </x:c>
      <x:c r="C2777" s="27" t="str">
        <x:v>AP Statistics probability, calculus integration, combinatorics, and functions.</x:v>
      </x:c>
      <x:c r="D2777" s="27" t="str">
        <x:v>PREREQUISITE</x:v>
      </x:c>
      <x:c r="E2777" s="27" t="str">
        <x:v>S25-MATH-10</x:v>
      </x:c>
      <x:c r="F2777" s="27" t="str">
        <x:v>Random variables, expectation, conditioning, and limit ideas</x:v>
      </x:c>
      <x:c r="G2777" s="27" t="str">
        <x:v>S25</x:v>
      </x:c>
      <x:c r="H2777" s="27" t="str">
        <x:v>Mathematics</x:v>
      </x:c>
      <x:c r="I2777" s="27" t="str">
        <x:v>SRC28</x:v>
      </x:c>
      <x:c r="J2777" s="27" t="str">
        <x:v>Incoming prerequisite relationship.</x:v>
      </x:c>
    </x:row>
    <x:row r="2778">
      <x:c r="A2778" s="27" t="str">
        <x:v>E02774</x:v>
      </x:c>
      <x:c r="B2778" s="27" t="str">
        <x:v>S25-MATH-10:GROUND</x:v>
      </x:c>
      <x:c r="C2778" s="27" t="str">
        <x:v>G6/G7 — Evidence-based formal system demonstrated through authentic transfer</x:v>
      </x:c>
      <x:c r="D2778" s="27" t="str">
        <x:v>GROUNDED_BY</x:v>
      </x:c>
      <x:c r="E2778" s="27" t="str">
        <x:v>S25-MATH-10</x:v>
      </x:c>
      <x:c r="F2778" s="27" t="str">
        <x:v>Random variables, expectation, conditioning, and limit ideas</x:v>
      </x:c>
      <x:c r="G2778" s="27" t="str">
        <x:v>S25</x:v>
      </x:c>
      <x:c r="H2778" s="27" t="str">
        <x:v>Mathematics</x:v>
      </x:c>
      <x:c r="I2778" s="27" t="str">
        <x:v>SRC28</x:v>
      </x:c>
      <x:c r="J2778" s="27" t="str">
        <x:v>Grounding form used to preserve meaning.</x:v>
      </x:c>
    </x:row>
    <x:row r="2779">
      <x:c r="A2779" s="27" t="str">
        <x:v>E02775</x:v>
      </x:c>
      <x:c r="B2779" s="27" t="str">
        <x:v>S25-MATH-10</x:v>
      </x:c>
      <x:c r="C2779" s="27" t="str">
        <x:v>Random variables, expectation, conditioning, and limit ideas</x:v>
      </x:c>
      <x:c r="D2779" s="27" t="str">
        <x:v>CONNECTS_TO</x:v>
      </x:c>
      <x:c r="E2779" s="27" t="str">
        <x:v>S25-MATH-10:CROSS</x:v>
      </x:c>
      <x:c r="F2779" s="27" t="str">
        <x:v>Physical quantity and spatial action; science measurement/models; computing/algorithms; finance; music rhythm/pattern; geographic data.</x:v>
      </x:c>
      <x:c r="G2779" s="27" t="str">
        <x:v>S25</x:v>
      </x:c>
      <x:c r="H2779" s="27" t="str">
        <x:v>Mathematics</x:v>
      </x:c>
      <x:c r="I2779" s="27" t="str">
        <x:v>SRC28</x:v>
      </x:c>
      <x:c r="J2779" s="27" t="str">
        <x:v>Parallel subject and representation links.</x:v>
      </x:c>
    </x:row>
    <x:row r="2780">
      <x:c r="A2780" s="27" t="str">
        <x:v>E02776</x:v>
      </x:c>
      <x:c r="B2780" s="27" t="str">
        <x:v>S25-MATH-10</x:v>
      </x:c>
      <x:c r="C2780" s="27" t="str">
        <x:v>Random variables, expectation, conditioning, and limit ideas</x:v>
      </x:c>
      <x:c r="D2780" s="27" t="str">
        <x:v>UNLOCKS</x:v>
      </x:c>
      <x:c r="E2780" s="27" t="str">
        <x:v>S25-MATH-10:NEXT</x:v>
      </x:c>
      <x:c r="F2780" s="27" t="str">
        <x:v>Formal probability grounds statistical inference, risk, stochastic models, and machine learning.</x:v>
      </x:c>
      <x:c r="G2780" s="27" t="str">
        <x:v>S25</x:v>
      </x:c>
      <x:c r="H2780" s="27" t="str">
        <x:v>Mathematics</x:v>
      </x:c>
      <x:c r="I2780" s="27" t="str">
        <x:v>SRC28</x:v>
      </x:c>
      <x:c r="J2780" s="27" t="str">
        <x:v>Outgoing use and placement rationale.</x:v>
      </x:c>
    </x:row>
    <x:row r="2781">
      <x:c r="A2781" s="27" t="str">
        <x:v>E02777</x:v>
      </x:c>
      <x:c r="B2781" s="27" t="str">
        <x:v>S25-MATH-10</x:v>
      </x:c>
      <x:c r="C2781" s="27" t="str">
        <x:v>Random variables, expectation, conditioning, and limit ideas</x:v>
      </x:c>
      <x:c r="D2781" s="27" t="str">
        <x:v>VERIFIED_BY</x:v>
      </x:c>
      <x:c r="E2781" s="27" t="str">
        <x:v>S25-MATH-10:EVIDENCE</x:v>
      </x:c>
      <x:c r="F2781" s="27" t="str">
        <x:v>Defines a probability model, derives a quantity, and validates assumptions against the process.</x:v>
      </x:c>
      <x:c r="G2781" s="27" t="str">
        <x:v>S25</x:v>
      </x:c>
      <x:c r="H2781" s="27" t="str">
        <x:v>Mathematics</x:v>
      </x:c>
      <x:c r="I2781" s="27" t="str">
        <x:v>SRC28</x:v>
      </x:c>
      <x:c r="J2781" s="27" t="str">
        <x:v>Observable evidence of usable learning.</x:v>
      </x:c>
    </x:row>
    <x:row r="2782">
      <x:c r="A2782" s="27" t="str">
        <x:v>E02778</x:v>
      </x:c>
      <x:c r="B2782" s="27" t="str">
        <x:v>S25-MATH-10</x:v>
      </x:c>
      <x:c r="C2782" s="27" t="str">
        <x:v>Previous node in domain progression</x:v>
      </x:c>
      <x:c r="D2782" s="27" t="str">
        <x:v>DOMAIN_SEQUENCE</x:v>
      </x:c>
      <x:c r="E2782" s="27" t="str">
        <x:v>S25-MATH-11</x:v>
      </x:c>
      <x:c r="F2782" s="27" t="str">
        <x:v>Estimation, likelihood, testing, and regression</x:v>
      </x:c>
      <x:c r="G2782" s="27" t="str">
        <x:v>S25</x:v>
      </x:c>
      <x:c r="H2782" s="27" t="str">
        <x:v>Mathematics</x:v>
      </x:c>
      <x:c r="I2782" s="27" t="str">
        <x:v>SRC28</x:v>
      </x:c>
      <x:c r="J2782" s="27" t="str">
        <x:v>Ordered spiral link; consult explicit prerequisites for logical dependency.</x:v>
      </x:c>
    </x:row>
    <x:row r="2783">
      <x:c r="A2783" s="27" t="str">
        <x:v>E02779</x:v>
      </x:c>
      <x:c r="B2783" s="27" t="str">
        <x:v>S25-MATH-11:PREREQ</x:v>
      </x:c>
      <x:c r="C2783" s="27" t="str">
        <x:v>Probability, calculus, linear algebra, and AP Statistics inference.</x:v>
      </x:c>
      <x:c r="D2783" s="27" t="str">
        <x:v>PREREQUISITE</x:v>
      </x:c>
      <x:c r="E2783" s="27" t="str">
        <x:v>S25-MATH-11</x:v>
      </x:c>
      <x:c r="F2783" s="27" t="str">
        <x:v>Estimation, likelihood, testing, and regression</x:v>
      </x:c>
      <x:c r="G2783" s="27" t="str">
        <x:v>S25</x:v>
      </x:c>
      <x:c r="H2783" s="27" t="str">
        <x:v>Mathematics</x:v>
      </x:c>
      <x:c r="I2783" s="27" t="str">
        <x:v>SRC28</x:v>
      </x:c>
      <x:c r="J2783" s="27" t="str">
        <x:v>Incoming prerequisite relationship.</x:v>
      </x:c>
    </x:row>
    <x:row r="2784">
      <x:c r="A2784" s="27" t="str">
        <x:v>E02780</x:v>
      </x:c>
      <x:c r="B2784" s="27" t="str">
        <x:v>S25-MATH-11:GROUND</x:v>
      </x:c>
      <x:c r="C2784" s="27" t="str">
        <x:v>G6/G7 — Evidence-based formal system demonstrated through authentic transfer</x:v>
      </x:c>
      <x:c r="D2784" s="27" t="str">
        <x:v>GROUNDED_BY</x:v>
      </x:c>
      <x:c r="E2784" s="27" t="str">
        <x:v>S25-MATH-11</x:v>
      </x:c>
      <x:c r="F2784" s="27" t="str">
        <x:v>Estimation, likelihood, testing, and regression</x:v>
      </x:c>
      <x:c r="G2784" s="27" t="str">
        <x:v>S25</x:v>
      </x:c>
      <x:c r="H2784" s="27" t="str">
        <x:v>Mathematics</x:v>
      </x:c>
      <x:c r="I2784" s="27" t="str">
        <x:v>SRC28</x:v>
      </x:c>
      <x:c r="J2784" s="27" t="str">
        <x:v>Grounding form used to preserve meaning.</x:v>
      </x:c>
    </x:row>
    <x:row r="2785">
      <x:c r="A2785" s="27" t="str">
        <x:v>E02781</x:v>
      </x:c>
      <x:c r="B2785" s="27" t="str">
        <x:v>S25-MATH-11</x:v>
      </x:c>
      <x:c r="C2785" s="27" t="str">
        <x:v>Estimation, likelihood, testing, and regression</x:v>
      </x:c>
      <x:c r="D2785" s="27" t="str">
        <x:v>CONNECTS_TO</x:v>
      </x:c>
      <x:c r="E2785" s="27" t="str">
        <x:v>S25-MATH-11:CROSS</x:v>
      </x:c>
      <x:c r="F2785" s="27" t="str">
        <x:v>Physical quantity and spatial action; science measurement/models; computing/algorithms; finance; music rhythm/pattern; geographic data.</x:v>
      </x:c>
      <x:c r="G2785" s="27" t="str">
        <x:v>S25</x:v>
      </x:c>
      <x:c r="H2785" s="27" t="str">
        <x:v>Mathematics</x:v>
      </x:c>
      <x:c r="I2785" s="27" t="str">
        <x:v>SRC28</x:v>
      </x:c>
      <x:c r="J2785" s="27" t="str">
        <x:v>Parallel subject and representation links.</x:v>
      </x:c>
    </x:row>
    <x:row r="2786">
      <x:c r="A2786" s="27" t="str">
        <x:v>E02782</x:v>
      </x:c>
      <x:c r="B2786" s="27" t="str">
        <x:v>S25-MATH-11</x:v>
      </x:c>
      <x:c r="C2786" s="27" t="str">
        <x:v>Estimation, likelihood, testing, and regression</x:v>
      </x:c>
      <x:c r="D2786" s="27" t="str">
        <x:v>UNLOCKS</x:v>
      </x:c>
      <x:c r="E2786" s="27" t="str">
        <x:v>S25-MATH-11:NEXT</x:v>
      </x:c>
      <x:c r="F2786" s="27" t="str">
        <x:v>Mathematical statistics explains why inference procedures work and when they fail.</x:v>
      </x:c>
      <x:c r="G2786" s="27" t="str">
        <x:v>S25</x:v>
      </x:c>
      <x:c r="H2786" s="27" t="str">
        <x:v>Mathematics</x:v>
      </x:c>
      <x:c r="I2786" s="27" t="str">
        <x:v>SRC28</x:v>
      </x:c>
      <x:c r="J2786" s="27" t="str">
        <x:v>Outgoing use and placement rationale.</x:v>
      </x:c>
    </x:row>
    <x:row r="2787">
      <x:c r="A2787" s="27" t="str">
        <x:v>E02783</x:v>
      </x:c>
      <x:c r="B2787" s="27" t="str">
        <x:v>S25-MATH-11</x:v>
      </x:c>
      <x:c r="C2787" s="27" t="str">
        <x:v>Estimation, likelihood, testing, and regression</x:v>
      </x:c>
      <x:c r="D2787" s="27" t="str">
        <x:v>VERIFIED_BY</x:v>
      </x:c>
      <x:c r="E2787" s="27" t="str">
        <x:v>S25-MATH-11:EVIDENCE</x:v>
      </x:c>
      <x:c r="F2787" s="27" t="str">
        <x:v>Derives or justifies an estimator/test/model and audits assumptions, diagnostics, and uncertainty.</x:v>
      </x:c>
      <x:c r="G2787" s="27" t="str">
        <x:v>S25</x:v>
      </x:c>
      <x:c r="H2787" s="27" t="str">
        <x:v>Mathematics</x:v>
      </x:c>
      <x:c r="I2787" s="27" t="str">
        <x:v>SRC28</x:v>
      </x:c>
      <x:c r="J2787" s="27" t="str">
        <x:v>Observable evidence of usable learning.</x:v>
      </x:c>
    </x:row>
    <x:row r="2788">
      <x:c r="A2788" s="27" t="str">
        <x:v>E02784</x:v>
      </x:c>
      <x:c r="B2788" s="27" t="str">
        <x:v>S25-MATH-11</x:v>
      </x:c>
      <x:c r="C2788" s="27" t="str">
        <x:v>Previous node in domain progression</x:v>
      </x:c>
      <x:c r="D2788" s="27" t="str">
        <x:v>DOMAIN_SEQUENCE</x:v>
      </x:c>
      <x:c r="E2788" s="27" t="str">
        <x:v>S25-MATH-12</x:v>
      </x:c>
      <x:c r="F2788" s="27" t="str">
        <x:v>Linear, constrained, and numerical optimization</x:v>
      </x:c>
      <x:c r="G2788" s="27" t="str">
        <x:v>S25</x:v>
      </x:c>
      <x:c r="H2788" s="27" t="str">
        <x:v>Mathematics</x:v>
      </x:c>
      <x:c r="I2788" s="27" t="str">
        <x:v>SRC26; SRC27</x:v>
      </x:c>
      <x:c r="J2788" s="27" t="str">
        <x:v>Ordered spiral link; consult explicit prerequisites for logical dependency.</x:v>
      </x:c>
    </x:row>
    <x:row r="2789">
      <x:c r="A2789" s="27" t="str">
        <x:v>E02785</x:v>
      </x:c>
      <x:c r="B2789" s="27" t="str">
        <x:v>S25-MATH-12:PREREQ</x:v>
      </x:c>
      <x:c r="C2789" s="27" t="str">
        <x:v>Algebra systems/inequalities, calculus, linear algebra, and modeling.</x:v>
      </x:c>
      <x:c r="D2789" s="27" t="str">
        <x:v>PREREQUISITE</x:v>
      </x:c>
      <x:c r="E2789" s="27" t="str">
        <x:v>S25-MATH-12</x:v>
      </x:c>
      <x:c r="F2789" s="27" t="str">
        <x:v>Linear, constrained, and numerical optimization</x:v>
      </x:c>
      <x:c r="G2789" s="27" t="str">
        <x:v>S25</x:v>
      </x:c>
      <x:c r="H2789" s="27" t="str">
        <x:v>Mathematics</x:v>
      </x:c>
      <x:c r="I2789" s="27" t="str">
        <x:v>SRC26; SRC27</x:v>
      </x:c>
      <x:c r="J2789" s="27" t="str">
        <x:v>Incoming prerequisite relationship.</x:v>
      </x:c>
    </x:row>
    <x:row r="2790">
      <x:c r="A2790" s="27" t="str">
        <x:v>E02786</x:v>
      </x:c>
      <x:c r="B2790" s="27" t="str">
        <x:v>S25-MATH-12:GROUND</x:v>
      </x:c>
      <x:c r="C2790" s="27" t="str">
        <x:v>G6/G7 — Evidence-based formal system demonstrated through authentic transfer</x:v>
      </x:c>
      <x:c r="D2790" s="27" t="str">
        <x:v>GROUNDED_BY</x:v>
      </x:c>
      <x:c r="E2790" s="27" t="str">
        <x:v>S25-MATH-12</x:v>
      </x:c>
      <x:c r="F2790" s="27" t="str">
        <x:v>Linear, constrained, and numerical optimization</x:v>
      </x:c>
      <x:c r="G2790" s="27" t="str">
        <x:v>S25</x:v>
      </x:c>
      <x:c r="H2790" s="27" t="str">
        <x:v>Mathematics</x:v>
      </x:c>
      <x:c r="I2790" s="27" t="str">
        <x:v>SRC26; SRC27</x:v>
      </x:c>
      <x:c r="J2790" s="27" t="str">
        <x:v>Grounding form used to preserve meaning.</x:v>
      </x:c>
    </x:row>
    <x:row r="2791">
      <x:c r="A2791" s="27" t="str">
        <x:v>E02787</x:v>
      </x:c>
      <x:c r="B2791" s="27" t="str">
        <x:v>S25-MATH-12</x:v>
      </x:c>
      <x:c r="C2791" s="27" t="str">
        <x:v>Linear, constrained, and numerical optimization</x:v>
      </x:c>
      <x:c r="D2791" s="27" t="str">
        <x:v>CONNECTS_TO</x:v>
      </x:c>
      <x:c r="E2791" s="27" t="str">
        <x:v>S25-MATH-12:CROSS</x:v>
      </x:c>
      <x:c r="F2791" s="27" t="str">
        <x:v>Physical quantity and spatial action; science measurement/models; computing/algorithms; finance; music rhythm/pattern; geographic data.</x:v>
      </x:c>
      <x:c r="G2791" s="27" t="str">
        <x:v>S25</x:v>
      </x:c>
      <x:c r="H2791" s="27" t="str">
        <x:v>Mathematics</x:v>
      </x:c>
      <x:c r="I2791" s="27" t="str">
        <x:v>SRC26; SRC27</x:v>
      </x:c>
      <x:c r="J2791" s="27" t="str">
        <x:v>Parallel subject and representation links.</x:v>
      </x:c>
    </x:row>
    <x:row r="2792">
      <x:c r="A2792" s="27" t="str">
        <x:v>E02788</x:v>
      </x:c>
      <x:c r="B2792" s="27" t="str">
        <x:v>S25-MATH-12</x:v>
      </x:c>
      <x:c r="C2792" s="27" t="str">
        <x:v>Linear, constrained, and numerical optimization</x:v>
      </x:c>
      <x:c r="D2792" s="27" t="str">
        <x:v>UNLOCKS</x:v>
      </x:c>
      <x:c r="E2792" s="27" t="str">
        <x:v>S25-MATH-12:NEXT</x:v>
      </x:c>
      <x:c r="F2792" s="27" t="str">
        <x:v>Optimization turns competing criteria into explicit decision models used across engineering, economics, logistics, and AI.</x:v>
      </x:c>
      <x:c r="G2792" s="27" t="str">
        <x:v>S25</x:v>
      </x:c>
      <x:c r="H2792" s="27" t="str">
        <x:v>Mathematics</x:v>
      </x:c>
      <x:c r="I2792" s="27" t="str">
        <x:v>SRC26; SRC27</x:v>
      </x:c>
      <x:c r="J2792" s="27" t="str">
        <x:v>Outgoing use and placement rationale.</x:v>
      </x:c>
    </x:row>
    <x:row r="2793">
      <x:c r="A2793" s="27" t="str">
        <x:v>E02789</x:v>
      </x:c>
      <x:c r="B2793" s="27" t="str">
        <x:v>S25-MATH-12</x:v>
      </x:c>
      <x:c r="C2793" s="27" t="str">
        <x:v>Linear, constrained, and numerical optimization</x:v>
      </x:c>
      <x:c r="D2793" s="27" t="str">
        <x:v>VERIFIED_BY</x:v>
      </x:c>
      <x:c r="E2793" s="27" t="str">
        <x:v>S25-MATH-12:EVIDENCE</x:v>
      </x:c>
      <x:c r="F2793" s="27" t="str">
        <x:v>Formulates and solves an optimization problem and interprets sensitivity and omitted constraints.</x:v>
      </x:c>
      <x:c r="G2793" s="27" t="str">
        <x:v>S25</x:v>
      </x:c>
      <x:c r="H2793" s="27" t="str">
        <x:v>Mathematics</x:v>
      </x:c>
      <x:c r="I2793" s="27" t="str">
        <x:v>SRC26; SRC27</x:v>
      </x:c>
      <x:c r="J2793" s="27" t="str">
        <x:v>Observable evidence of usable learning.</x:v>
      </x:c>
    </x:row>
    <x:row r="2794">
      <x:c r="A2794" s="27" t="str">
        <x:v>E02790</x:v>
      </x:c>
      <x:c r="B2794" s="27" t="str">
        <x:v>S25-MATH-12</x:v>
      </x:c>
      <x:c r="C2794" s="27" t="str">
        <x:v>Previous node in domain progression</x:v>
      </x:c>
      <x:c r="D2794" s="27" t="str">
        <x:v>DOMAIN_SEQUENCE</x:v>
      </x:c>
      <x:c r="E2794" s="27" t="str">
        <x:v>S25-MATH-13</x:v>
      </x:c>
      <x:c r="F2794" s="27" t="str">
        <x:v>Approximation, error, stability, and computation</x:v>
      </x:c>
      <x:c r="G2794" s="27" t="str">
        <x:v>S25</x:v>
      </x:c>
      <x:c r="H2794" s="27" t="str">
        <x:v>Mathematics</x:v>
      </x:c>
      <x:c r="I2794" s="27" t="str">
        <x:v>SRC16; SRC27</x:v>
      </x:c>
      <x:c r="J2794" s="27" t="str">
        <x:v>Ordered spiral link; consult explicit prerequisites for logical dependency.</x:v>
      </x:c>
    </x:row>
    <x:row r="2795">
      <x:c r="A2795" s="27" t="str">
        <x:v>E02791</x:v>
      </x:c>
      <x:c r="B2795" s="27" t="str">
        <x:v>S25-MATH-13:PREREQ</x:v>
      </x:c>
      <x:c r="C2795" s="27" t="str">
        <x:v>Calculus, linear algebra, programming, and error/uncertainty analysis.</x:v>
      </x:c>
      <x:c r="D2795" s="27" t="str">
        <x:v>PREREQUISITE</x:v>
      </x:c>
      <x:c r="E2795" s="27" t="str">
        <x:v>S25-MATH-13</x:v>
      </x:c>
      <x:c r="F2795" s="27" t="str">
        <x:v>Approximation, error, stability, and computation</x:v>
      </x:c>
      <x:c r="G2795" s="27" t="str">
        <x:v>S25</x:v>
      </x:c>
      <x:c r="H2795" s="27" t="str">
        <x:v>Mathematics</x:v>
      </x:c>
      <x:c r="I2795" s="27" t="str">
        <x:v>SRC16; SRC27</x:v>
      </x:c>
      <x:c r="J2795" s="27" t="str">
        <x:v>Incoming prerequisite relationship.</x:v>
      </x:c>
    </x:row>
    <x:row r="2796">
      <x:c r="A2796" s="27" t="str">
        <x:v>E02792</x:v>
      </x:c>
      <x:c r="B2796" s="27" t="str">
        <x:v>S25-MATH-13:GROUND</x:v>
      </x:c>
      <x:c r="C2796" s="27" t="str">
        <x:v>G6/G7 — Evidence-based formal system demonstrated through authentic transfer</x:v>
      </x:c>
      <x:c r="D2796" s="27" t="str">
        <x:v>GROUNDED_BY</x:v>
      </x:c>
      <x:c r="E2796" s="27" t="str">
        <x:v>S25-MATH-13</x:v>
      </x:c>
      <x:c r="F2796" s="27" t="str">
        <x:v>Approximation, error, stability, and computation</x:v>
      </x:c>
      <x:c r="G2796" s="27" t="str">
        <x:v>S25</x:v>
      </x:c>
      <x:c r="H2796" s="27" t="str">
        <x:v>Mathematics</x:v>
      </x:c>
      <x:c r="I2796" s="27" t="str">
        <x:v>SRC16; SRC27</x:v>
      </x:c>
      <x:c r="J2796" s="27" t="str">
        <x:v>Grounding form used to preserve meaning.</x:v>
      </x:c>
    </x:row>
    <x:row r="2797">
      <x:c r="A2797" s="27" t="str">
        <x:v>E02793</x:v>
      </x:c>
      <x:c r="B2797" s="27" t="str">
        <x:v>S25-MATH-13</x:v>
      </x:c>
      <x:c r="C2797" s="27" t="str">
        <x:v>Approximation, error, stability, and computation</x:v>
      </x:c>
      <x:c r="D2797" s="27" t="str">
        <x:v>CONNECTS_TO</x:v>
      </x:c>
      <x:c r="E2797" s="27" t="str">
        <x:v>S25-MATH-13:CROSS</x:v>
      </x:c>
      <x:c r="F2797" s="27" t="str">
        <x:v>Physical quantity and spatial action; science measurement/models; computing/algorithms; finance; music rhythm/pattern; geographic data.</x:v>
      </x:c>
      <x:c r="G2797" s="27" t="str">
        <x:v>S25</x:v>
      </x:c>
      <x:c r="H2797" s="27" t="str">
        <x:v>Mathematics</x:v>
      </x:c>
      <x:c r="I2797" s="27" t="str">
        <x:v>SRC16; SRC27</x:v>
      </x:c>
      <x:c r="J2797" s="27" t="str">
        <x:v>Parallel subject and representation links.</x:v>
      </x:c>
    </x:row>
    <x:row r="2798">
      <x:c r="A2798" s="27" t="str">
        <x:v>E02794</x:v>
      </x:c>
      <x:c r="B2798" s="27" t="str">
        <x:v>S25-MATH-13</x:v>
      </x:c>
      <x:c r="C2798" s="27" t="str">
        <x:v>Approximation, error, stability, and computation</x:v>
      </x:c>
      <x:c r="D2798" s="27" t="str">
        <x:v>UNLOCKS</x:v>
      </x:c>
      <x:c r="E2798" s="27" t="str">
        <x:v>S25-MATH-13:NEXT</x:v>
      </x:c>
      <x:c r="F2798" s="27" t="str">
        <x:v>Numerical methods make mathematically defined solutions computable when closed forms are unavailable.</x:v>
      </x:c>
      <x:c r="G2798" s="27" t="str">
        <x:v>S25</x:v>
      </x:c>
      <x:c r="H2798" s="27" t="str">
        <x:v>Mathematics</x:v>
      </x:c>
      <x:c r="I2798" s="27" t="str">
        <x:v>SRC16; SRC27</x:v>
      </x:c>
      <x:c r="J2798" s="27" t="str">
        <x:v>Outgoing use and placement rationale.</x:v>
      </x:c>
    </x:row>
    <x:row r="2799">
      <x:c r="A2799" s="27" t="str">
        <x:v>E02795</x:v>
      </x:c>
      <x:c r="B2799" s="27" t="str">
        <x:v>S25-MATH-13</x:v>
      </x:c>
      <x:c r="C2799" s="27" t="str">
        <x:v>Approximation, error, stability, and computation</x:v>
      </x:c>
      <x:c r="D2799" s="27" t="str">
        <x:v>VERIFIED_BY</x:v>
      </x:c>
      <x:c r="E2799" s="27" t="str">
        <x:v>S25-MATH-13:EVIDENCE</x:v>
      </x:c>
      <x:c r="F2799" s="27" t="str">
        <x:v>Implements a method, tests convergence/error, and explains when the result is trustworthy.</x:v>
      </x:c>
      <x:c r="G2799" s="27" t="str">
        <x:v>S25</x:v>
      </x:c>
      <x:c r="H2799" s="27" t="str">
        <x:v>Mathematics</x:v>
      </x:c>
      <x:c r="I2799" s="27" t="str">
        <x:v>SRC16; SRC27</x:v>
      </x:c>
      <x:c r="J2799" s="27" t="str">
        <x:v>Observable evidence of usable learning.</x:v>
      </x:c>
    </x:row>
    <x:row r="2800">
      <x:c r="A2800" s="27" t="str">
        <x:v>E02796</x:v>
      </x:c>
      <x:c r="B2800" s="27" t="str">
        <x:v>S25-MATH-13</x:v>
      </x:c>
      <x:c r="C2800" s="27" t="str">
        <x:v>Previous node in domain progression</x:v>
      </x:c>
      <x:c r="D2800" s="27" t="str">
        <x:v>DOMAIN_SEQUENCE</x:v>
      </x:c>
      <x:c r="E2800" s="27" t="str">
        <x:v>S25-MATH-14</x:v>
      </x:c>
      <x:c r="F2800" s="27" t="str">
        <x:v>Limits, continuity, differentiation, and integration with rigor</x:v>
      </x:c>
      <x:c r="G2800" s="27" t="str">
        <x:v>S25</x:v>
      </x:c>
      <x:c r="H2800" s="27" t="str">
        <x:v>Mathematics</x:v>
      </x:c>
      <x:c r="I2800" s="27" t="str">
        <x:v>SRC27</x:v>
      </x:c>
      <x:c r="J2800" s="27" t="str">
        <x:v>Ordered spiral link; consult explicit prerequisites for logical dependency.</x:v>
      </x:c>
    </x:row>
    <x:row r="2801">
      <x:c r="A2801" s="27" t="str">
        <x:v>E02797</x:v>
      </x:c>
      <x:c r="B2801" s="27" t="str">
        <x:v>S25-MATH-14:PREREQ</x:v>
      </x:c>
      <x:c r="C2801" s="27" t="str">
        <x:v>Proof/logic, Calculus BC, and real-number structure.</x:v>
      </x:c>
      <x:c r="D2801" s="27" t="str">
        <x:v>PREREQUISITE</x:v>
      </x:c>
      <x:c r="E2801" s="27" t="str">
        <x:v>S25-MATH-14</x:v>
      </x:c>
      <x:c r="F2801" s="27" t="str">
        <x:v>Limits, continuity, differentiation, and integration with rigor</x:v>
      </x:c>
      <x:c r="G2801" s="27" t="str">
        <x:v>S25</x:v>
      </x:c>
      <x:c r="H2801" s="27" t="str">
        <x:v>Mathematics</x:v>
      </x:c>
      <x:c r="I2801" s="27" t="str">
        <x:v>SRC27</x:v>
      </x:c>
      <x:c r="J2801" s="27" t="str">
        <x:v>Incoming prerequisite relationship.</x:v>
      </x:c>
    </x:row>
    <x:row r="2802">
      <x:c r="A2802" s="27" t="str">
        <x:v>E02798</x:v>
      </x:c>
      <x:c r="B2802" s="27" t="str">
        <x:v>S25-MATH-14:GROUND</x:v>
      </x:c>
      <x:c r="C2802" s="27" t="str">
        <x:v>G6/G7 — Evidence-based formal system demonstrated through authentic transfer</x:v>
      </x:c>
      <x:c r="D2802" s="27" t="str">
        <x:v>GROUNDED_BY</x:v>
      </x:c>
      <x:c r="E2802" s="27" t="str">
        <x:v>S25-MATH-14</x:v>
      </x:c>
      <x:c r="F2802" s="27" t="str">
        <x:v>Limits, continuity, differentiation, and integration with rigor</x:v>
      </x:c>
      <x:c r="G2802" s="27" t="str">
        <x:v>S25</x:v>
      </x:c>
      <x:c r="H2802" s="27" t="str">
        <x:v>Mathematics</x:v>
      </x:c>
      <x:c r="I2802" s="27" t="str">
        <x:v>SRC27</x:v>
      </x:c>
      <x:c r="J2802" s="27" t="str">
        <x:v>Grounding form used to preserve meaning.</x:v>
      </x:c>
    </x:row>
    <x:row r="2803">
      <x:c r="A2803" s="27" t="str">
        <x:v>E02799</x:v>
      </x:c>
      <x:c r="B2803" s="27" t="str">
        <x:v>S25-MATH-14</x:v>
      </x:c>
      <x:c r="C2803" s="27" t="str">
        <x:v>Limits, continuity, differentiation, and integration with rigor</x:v>
      </x:c>
      <x:c r="D2803" s="27" t="str">
        <x:v>CONNECTS_TO</x:v>
      </x:c>
      <x:c r="E2803" s="27" t="str">
        <x:v>S25-MATH-14:CROSS</x:v>
      </x:c>
      <x:c r="F2803" s="27" t="str">
        <x:v>Physical quantity and spatial action; science measurement/models; computing/algorithms; finance; music rhythm/pattern; geographic data.</x:v>
      </x:c>
      <x:c r="G2803" s="27" t="str">
        <x:v>S25</x:v>
      </x:c>
      <x:c r="H2803" s="27" t="str">
        <x:v>Mathematics</x:v>
      </x:c>
      <x:c r="I2803" s="27" t="str">
        <x:v>SRC27</x:v>
      </x:c>
      <x:c r="J2803" s="27" t="str">
        <x:v>Parallel subject and representation links.</x:v>
      </x:c>
    </x:row>
    <x:row r="2804">
      <x:c r="A2804" s="27" t="str">
        <x:v>E02800</x:v>
      </x:c>
      <x:c r="B2804" s="27" t="str">
        <x:v>S25-MATH-14</x:v>
      </x:c>
      <x:c r="C2804" s="27" t="str">
        <x:v>Limits, continuity, differentiation, and integration with rigor</x:v>
      </x:c>
      <x:c r="D2804" s="27" t="str">
        <x:v>UNLOCKS</x:v>
      </x:c>
      <x:c r="E2804" s="27" t="str">
        <x:v>S25-MATH-14:NEXT</x:v>
      </x:c>
      <x:c r="F2804" s="27" t="str">
        <x:v>Analysis grounds the assumptions and guarantees behind calculus.</x:v>
      </x:c>
      <x:c r="G2804" s="27" t="str">
        <x:v>S25</x:v>
      </x:c>
      <x:c r="H2804" s="27" t="str">
        <x:v>Mathematics</x:v>
      </x:c>
      <x:c r="I2804" s="27" t="str">
        <x:v>SRC27</x:v>
      </x:c>
      <x:c r="J2804" s="27" t="str">
        <x:v>Outgoing use and placement rationale.</x:v>
      </x:c>
    </x:row>
    <x:row r="2805">
      <x:c r="A2805" s="27" t="str">
        <x:v>E02801</x:v>
      </x:c>
      <x:c r="B2805" s="27" t="str">
        <x:v>S25-MATH-14</x:v>
      </x:c>
      <x:c r="C2805" s="27" t="str">
        <x:v>Limits, continuity, differentiation, and integration with rigor</x:v>
      </x:c>
      <x:c r="D2805" s="27" t="str">
        <x:v>VERIFIED_BY</x:v>
      </x:c>
      <x:c r="E2805" s="27" t="str">
        <x:v>S25-MATH-14:EVIDENCE</x:v>
      </x:c>
      <x:c r="F2805" s="27" t="str">
        <x:v>Proves a foundational result from definitions and identifies why each condition matters.</x:v>
      </x:c>
      <x:c r="G2805" s="27" t="str">
        <x:v>S25</x:v>
      </x:c>
      <x:c r="H2805" s="27" t="str">
        <x:v>Mathematics</x:v>
      </x:c>
      <x:c r="I2805" s="27" t="str">
        <x:v>SRC27</x:v>
      </x:c>
      <x:c r="J2805" s="27" t="str">
        <x:v>Observable evidence of usable learning.</x:v>
      </x:c>
    </x:row>
    <x:row r="2806">
      <x:c r="A2806" s="27" t="str">
        <x:v>E02802</x:v>
      </x:c>
      <x:c r="B2806" s="27" t="str">
        <x:v>S25-MATH-14</x:v>
      </x:c>
      <x:c r="C2806" s="27" t="str">
        <x:v>Previous node in domain progression</x:v>
      </x:c>
      <x:c r="D2806" s="27" t="str">
        <x:v>DOMAIN_SEQUENCE</x:v>
      </x:c>
      <x:c r="E2806" s="27" t="str">
        <x:v>S25-MATH-15</x:v>
      </x:c>
      <x:c r="F2806" s="27" t="str">
        <x:v>Groups, rings, fields, and structure-preserving maps</x:v>
      </x:c>
      <x:c r="G2806" s="27" t="str">
        <x:v>S25</x:v>
      </x:c>
      <x:c r="H2806" s="27" t="str">
        <x:v>Mathematics</x:v>
      </x:c>
      <x:c r="I2806" s="27" t="str">
        <x:v>SRC09</x:v>
      </x:c>
      <x:c r="J2806" s="27" t="str">
        <x:v>Ordered spiral link; consult explicit prerequisites for logical dependency.</x:v>
      </x:c>
    </x:row>
    <x:row r="2807">
      <x:c r="A2807" s="27" t="str">
        <x:v>E02803</x:v>
      </x:c>
      <x:c r="B2807" s="27" t="str">
        <x:v>S25-MATH-15:PREREQ</x:v>
      </x:c>
      <x:c r="C2807" s="27" t="str">
        <x:v>Proof/logic, discrete relations, polynomial/number structure, and transformations.</x:v>
      </x:c>
      <x:c r="D2807" s="27" t="str">
        <x:v>PREREQUISITE</x:v>
      </x:c>
      <x:c r="E2807" s="27" t="str">
        <x:v>S25-MATH-15</x:v>
      </x:c>
      <x:c r="F2807" s="27" t="str">
        <x:v>Groups, rings, fields, and structure-preserving maps</x:v>
      </x:c>
      <x:c r="G2807" s="27" t="str">
        <x:v>S25</x:v>
      </x:c>
      <x:c r="H2807" s="27" t="str">
        <x:v>Mathematics</x:v>
      </x:c>
      <x:c r="I2807" s="27" t="str">
        <x:v>SRC09</x:v>
      </x:c>
      <x:c r="J2807" s="27" t="str">
        <x:v>Incoming prerequisite relationship.</x:v>
      </x:c>
    </x:row>
    <x:row r="2808">
      <x:c r="A2808" s="27" t="str">
        <x:v>E02804</x:v>
      </x:c>
      <x:c r="B2808" s="27" t="str">
        <x:v>S25-MATH-15:GROUND</x:v>
      </x:c>
      <x:c r="C2808" s="27" t="str">
        <x:v>G6/G7 — Evidence-based formal system demonstrated through authentic transfer</x:v>
      </x:c>
      <x:c r="D2808" s="27" t="str">
        <x:v>GROUNDED_BY</x:v>
      </x:c>
      <x:c r="E2808" s="27" t="str">
        <x:v>S25-MATH-15</x:v>
      </x:c>
      <x:c r="F2808" s="27" t="str">
        <x:v>Groups, rings, fields, and structure-preserving maps</x:v>
      </x:c>
      <x:c r="G2808" s="27" t="str">
        <x:v>S25</x:v>
      </x:c>
      <x:c r="H2808" s="27" t="str">
        <x:v>Mathematics</x:v>
      </x:c>
      <x:c r="I2808" s="27" t="str">
        <x:v>SRC09</x:v>
      </x:c>
      <x:c r="J2808" s="27" t="str">
        <x:v>Grounding form used to preserve meaning.</x:v>
      </x:c>
    </x:row>
    <x:row r="2809">
      <x:c r="A2809" s="27" t="str">
        <x:v>E02805</x:v>
      </x:c>
      <x:c r="B2809" s="27" t="str">
        <x:v>S25-MATH-15</x:v>
      </x:c>
      <x:c r="C2809" s="27" t="str">
        <x:v>Groups, rings, fields, and structure-preserving maps</x:v>
      </x:c>
      <x:c r="D2809" s="27" t="str">
        <x:v>CONNECTS_TO</x:v>
      </x:c>
      <x:c r="E2809" s="27" t="str">
        <x:v>S25-MATH-15:CROSS</x:v>
      </x:c>
      <x:c r="F2809" s="27" t="str">
        <x:v>Physical quantity and spatial action; science measurement/models; computing/algorithms; finance; music rhythm/pattern; geographic data.</x:v>
      </x:c>
      <x:c r="G2809" s="27" t="str">
        <x:v>S25</x:v>
      </x:c>
      <x:c r="H2809" s="27" t="str">
        <x:v>Mathematics</x:v>
      </x:c>
      <x:c r="I2809" s="27" t="str">
        <x:v>SRC09</x:v>
      </x:c>
      <x:c r="J2809" s="27" t="str">
        <x:v>Parallel subject and representation links.</x:v>
      </x:c>
    </x:row>
    <x:row r="2810">
      <x:c r="A2810" s="27" t="str">
        <x:v>E02806</x:v>
      </x:c>
      <x:c r="B2810" s="27" t="str">
        <x:v>S25-MATH-15</x:v>
      </x:c>
      <x:c r="C2810" s="27" t="str">
        <x:v>Groups, rings, fields, and structure-preserving maps</x:v>
      </x:c>
      <x:c r="D2810" s="27" t="str">
        <x:v>UNLOCKS</x:v>
      </x:c>
      <x:c r="E2810" s="27" t="str">
        <x:v>S25-MATH-15:NEXT</x:v>
      </x:c>
      <x:c r="F2810" s="27" t="str">
        <x:v>Abstract algebra identifies invariant structure across seemingly different systems.</x:v>
      </x:c>
      <x:c r="G2810" s="27" t="str">
        <x:v>S25</x:v>
      </x:c>
      <x:c r="H2810" s="27" t="str">
        <x:v>Mathematics</x:v>
      </x:c>
      <x:c r="I2810" s="27" t="str">
        <x:v>SRC09</x:v>
      </x:c>
      <x:c r="J2810" s="27" t="str">
        <x:v>Outgoing use and placement rationale.</x:v>
      </x:c>
    </x:row>
    <x:row r="2811">
      <x:c r="A2811" s="27" t="str">
        <x:v>E02807</x:v>
      </x:c>
      <x:c r="B2811" s="27" t="str">
        <x:v>S25-MATH-15</x:v>
      </x:c>
      <x:c r="C2811" s="27" t="str">
        <x:v>Groups, rings, fields, and structure-preserving maps</x:v>
      </x:c>
      <x:c r="D2811" s="27" t="str">
        <x:v>VERIFIED_BY</x:v>
      </x:c>
      <x:c r="E2811" s="27" t="str">
        <x:v>S25-MATH-15:EVIDENCE</x:v>
      </x:c>
      <x:c r="F2811" s="27" t="str">
        <x:v>Verifies a structure, proves a property, and maps two examples through a structure-preserving relationship.</x:v>
      </x:c>
      <x:c r="G2811" s="27" t="str">
        <x:v>S25</x:v>
      </x:c>
      <x:c r="H2811" s="27" t="str">
        <x:v>Mathematics</x:v>
      </x:c>
      <x:c r="I2811" s="27" t="str">
        <x:v>SRC09</x:v>
      </x:c>
      <x:c r="J2811" s="27" t="str">
        <x:v>Observable evidence of usable learning.</x:v>
      </x:c>
    </x:row>
    <x:row r="2812">
      <x:c r="A2812" s="27" t="str">
        <x:v>E02808</x:v>
      </x:c>
      <x:c r="B2812" s="27" t="str">
        <x:v>S24-SCI-01</x:v>
      </x:c>
      <x:c r="C2812" s="27" t="str">
        <x:v>Previous node in domain progression</x:v>
      </x:c>
      <x:c r="D2812" s="27" t="str">
        <x:v>DOMAIN_SEQUENCE</x:v>
      </x:c>
      <x:c r="E2812" s="27" t="str">
        <x:v>S25-SCI-01</x:v>
      </x:c>
      <x:c r="F2812" s="27" t="str">
        <x:v>Literature, protocol, data, analysis, and reproducibility</x:v>
      </x:c>
      <x:c r="G2812" s="27" t="str">
        <x:v>S25</x:v>
      </x:c>
      <x:c r="H2812" s="27" t="str">
        <x:v>Science &amp; Engineering</x:v>
      </x:c>
      <x:c r="I2812" s="27" t="str">
        <x:v>SRC11; SRC29</x:v>
      </x:c>
      <x:c r="J2812" s="27" t="str">
        <x:v>Ordered spiral link; consult explicit prerequisites for logical dependency.</x:v>
      </x:c>
    </x:row>
    <x:row r="2813">
      <x:c r="A2813" s="27" t="str">
        <x:v>E02809</x:v>
      </x:c>
      <x:c r="B2813" s="27" t="str">
        <x:v>S25-SCI-01:PREREQ</x:v>
      </x:c>
      <x:c r="C2813" s="27" t="str">
        <x:v>High-school lab methods, statistics, capstone, and disciplinary writing.</x:v>
      </x:c>
      <x:c r="D2813" s="27" t="str">
        <x:v>PREREQUISITE</x:v>
      </x:c>
      <x:c r="E2813" s="27" t="str">
        <x:v>S25-SCI-01</x:v>
      </x:c>
      <x:c r="F2813" s="27" t="str">
        <x:v>Literature, protocol, data, analysis, and reproducibility</x:v>
      </x:c>
      <x:c r="G2813" s="27" t="str">
        <x:v>S25</x:v>
      </x:c>
      <x:c r="H2813" s="27" t="str">
        <x:v>Science &amp; Engineering</x:v>
      </x:c>
      <x:c r="I2813" s="27" t="str">
        <x:v>SRC11; SRC29</x:v>
      </x:c>
      <x:c r="J2813" s="27" t="str">
        <x:v>Incoming prerequisite relationship.</x:v>
      </x:c>
    </x:row>
    <x:row r="2814">
      <x:c r="A2814" s="27" t="str">
        <x:v>E02810</x:v>
      </x:c>
      <x:c r="B2814" s="27" t="str">
        <x:v>S25-SCI-01:GROUND</x:v>
      </x:c>
      <x:c r="C2814" s="27" t="str">
        <x:v>G6/G7 — Evidence-based formal system demonstrated through authentic transfer</x:v>
      </x:c>
      <x:c r="D2814" s="27" t="str">
        <x:v>GROUNDED_BY</x:v>
      </x:c>
      <x:c r="E2814" s="27" t="str">
        <x:v>S25-SCI-01</x:v>
      </x:c>
      <x:c r="F2814" s="27" t="str">
        <x:v>Literature, protocol, data, analysis, and reproducibility</x:v>
      </x:c>
      <x:c r="G2814" s="27" t="str">
        <x:v>S25</x:v>
      </x:c>
      <x:c r="H2814" s="27" t="str">
        <x:v>Science &amp; Engineering</x:v>
      </x:c>
      <x:c r="I2814" s="27" t="str">
        <x:v>SRC11; SRC29</x:v>
      </x:c>
      <x:c r="J2814" s="27" t="str">
        <x:v>Grounding form used to preserve meaning.</x:v>
      </x:c>
    </x:row>
    <x:row r="2815">
      <x:c r="A2815" s="27" t="str">
        <x:v>E02811</x:v>
      </x:c>
      <x:c r="B2815" s="27" t="str">
        <x:v>S25-SCI-01</x:v>
      </x:c>
      <x:c r="C2815" s="27" t="str">
        <x:v>Literature, protocol, data, analysis, and reproducibility</x:v>
      </x:c>
      <x:c r="D2815" s="27" t="str">
        <x:v>CONNECTS_TO</x:v>
      </x:c>
      <x:c r="E2815" s="27" t="str">
        <x:v>S25-SCI-01:CROSS</x:v>
      </x:c>
      <x:c r="F2815" s="27" t="str">
        <x:v>Sensory observation and action; mathematics/data; reading/writing evidence; computing/models; health and environmental/civic decisions.</x:v>
      </x:c>
      <x:c r="G2815" s="27" t="str">
        <x:v>S25</x:v>
      </x:c>
      <x:c r="H2815" s="27" t="str">
        <x:v>Science &amp; Engineering</x:v>
      </x:c>
      <x:c r="I2815" s="27" t="str">
        <x:v>SRC11; SRC29</x:v>
      </x:c>
      <x:c r="J2815" s="27" t="str">
        <x:v>Parallel subject and representation links.</x:v>
      </x:c>
    </x:row>
    <x:row r="2816">
      <x:c r="A2816" s="27" t="str">
        <x:v>E02812</x:v>
      </x:c>
      <x:c r="B2816" s="27" t="str">
        <x:v>S25-SCI-01</x:v>
      </x:c>
      <x:c r="C2816" s="27" t="str">
        <x:v>Literature, protocol, data, analysis, and reproducibility</x:v>
      </x:c>
      <x:c r="D2816" s="27" t="str">
        <x:v>UNLOCKS</x:v>
      </x:c>
      <x:c r="E2816" s="27" t="str">
        <x:v>S25-SCI-01:NEXT</x:v>
      </x:c>
      <x:c r="F2816" s="27" t="str">
        <x:v>Reproducible research is the advanced grounding cycle for empirical knowledge.</x:v>
      </x:c>
      <x:c r="G2816" s="27" t="str">
        <x:v>S25</x:v>
      </x:c>
      <x:c r="H2816" s="27" t="str">
        <x:v>Science &amp; Engineering</x:v>
      </x:c>
      <x:c r="I2816" s="27" t="str">
        <x:v>SRC11; SRC29</x:v>
      </x:c>
      <x:c r="J2816" s="27" t="str">
        <x:v>Outgoing use and placement rationale.</x:v>
      </x:c>
    </x:row>
    <x:row r="2817">
      <x:c r="A2817" s="27" t="str">
        <x:v>E02813</x:v>
      </x:c>
      <x:c r="B2817" s="27" t="str">
        <x:v>S25-SCI-01</x:v>
      </x:c>
      <x:c r="C2817" s="27" t="str">
        <x:v>Literature, protocol, data, analysis, and reproducibility</x:v>
      </x:c>
      <x:c r="D2817" s="27" t="str">
        <x:v>VERIFIED_BY</x:v>
      </x:c>
      <x:c r="E2817" s="27" t="str">
        <x:v>S25-SCI-01:EVIDENCE</x:v>
      </x:c>
      <x:c r="F2817" s="27" t="str">
        <x:v>Submits preregistered or prospectively documented methods, raw/processed data trace, analysis, and limitation-aware report.</x:v>
      </x:c>
      <x:c r="G2817" s="27" t="str">
        <x:v>S25</x:v>
      </x:c>
      <x:c r="H2817" s="27" t="str">
        <x:v>Science &amp; Engineering</x:v>
      </x:c>
      <x:c r="I2817" s="27" t="str">
        <x:v>SRC11; SRC29</x:v>
      </x:c>
      <x:c r="J2817" s="27" t="str">
        <x:v>Observable evidence of usable learning.</x:v>
      </x:c>
    </x:row>
    <x:row r="2818">
      <x:c r="A2818" s="27" t="str">
        <x:v>E02814</x:v>
      </x:c>
      <x:c r="B2818" s="27" t="str">
        <x:v>S24-SST-02</x:v>
      </x:c>
      <x:c r="C2818" s="27" t="str">
        <x:v>Previous node in domain progression</x:v>
      </x:c>
      <x:c r="D2818" s="27" t="str">
        <x:v>DOMAIN_SEQUENCE</x:v>
      </x:c>
      <x:c r="E2818" s="27" t="str">
        <x:v>S25-SST-01</x:v>
      </x:c>
      <x:c r="F2818" s="27" t="str">
        <x:v>Psychology, sociology, anthropology, and research design</x:v>
      </x:c>
      <x:c r="G2818" s="27" t="str">
        <x:v>S25</x:v>
      </x:c>
      <x:c r="H2818" s="27" t="str">
        <x:v>Social Studies</x:v>
      </x:c>
      <x:c r="I2818" s="27" t="str">
        <x:v>SRC12; SRC29</x:v>
      </x:c>
      <x:c r="J2818" s="27" t="str">
        <x:v>Ordered spiral link; consult explicit prerequisites for logical dependency.</x:v>
      </x:c>
    </x:row>
    <x:row r="2819">
      <x:c r="A2819" s="27" t="str">
        <x:v>E02815</x:v>
      </x:c>
      <x:c r="B2819" s="27" t="str">
        <x:v>S25-SST-01:PREREQ</x:v>
      </x:c>
      <x:c r="C2819" s="27" t="str">
        <x:v>K–12 social inquiry, biology, statistics, ethics, and source methods.</x:v>
      </x:c>
      <x:c r="D2819" s="27" t="str">
        <x:v>PREREQUISITE</x:v>
      </x:c>
      <x:c r="E2819" s="27" t="str">
        <x:v>S25-SST-01</x:v>
      </x:c>
      <x:c r="F2819" s="27" t="str">
        <x:v>Psychology, sociology, anthropology, and research design</x:v>
      </x:c>
      <x:c r="G2819" s="27" t="str">
        <x:v>S25</x:v>
      </x:c>
      <x:c r="H2819" s="27" t="str">
        <x:v>Social Studies</x:v>
      </x:c>
      <x:c r="I2819" s="27" t="str">
        <x:v>SRC12; SRC29</x:v>
      </x:c>
      <x:c r="J2819" s="27" t="str">
        <x:v>Incoming prerequisite relationship.</x:v>
      </x:c>
    </x:row>
    <x:row r="2820">
      <x:c r="A2820" s="27" t="str">
        <x:v>E02816</x:v>
      </x:c>
      <x:c r="B2820" s="27" t="str">
        <x:v>S25-SST-01:GROUND</x:v>
      </x:c>
      <x:c r="C2820" s="27" t="str">
        <x:v>G6/G7 — Evidence-based formal system demonstrated through authentic transfer</x:v>
      </x:c>
      <x:c r="D2820" s="27" t="str">
        <x:v>GROUNDED_BY</x:v>
      </x:c>
      <x:c r="E2820" s="27" t="str">
        <x:v>S25-SST-01</x:v>
      </x:c>
      <x:c r="F2820" s="27" t="str">
        <x:v>Psychology, sociology, anthropology, and research design</x:v>
      </x:c>
      <x:c r="G2820" s="27" t="str">
        <x:v>S25</x:v>
      </x:c>
      <x:c r="H2820" s="27" t="str">
        <x:v>Social Studies</x:v>
      </x:c>
      <x:c r="I2820" s="27" t="str">
        <x:v>SRC12; SRC29</x:v>
      </x:c>
      <x:c r="J2820" s="27" t="str">
        <x:v>Grounding form used to preserve meaning.</x:v>
      </x:c>
    </x:row>
    <x:row r="2821">
      <x:c r="A2821" s="27" t="str">
        <x:v>E02817</x:v>
      </x:c>
      <x:c r="B2821" s="27" t="str">
        <x:v>S25-SST-01</x:v>
      </x:c>
      <x:c r="C2821" s="27" t="str">
        <x:v>Psychology, sociology, anthropology, and research design</x:v>
      </x:c>
      <x:c r="D2821" s="27" t="str">
        <x:v>CONNECTS_TO</x:v>
      </x:c>
      <x:c r="E2821" s="27" t="str">
        <x:v>S25-SST-01:CROSS</x:v>
      </x:c>
      <x:c r="F2821" s="27" t="str">
        <x:v>Language/literacy and source evidence; maps/data/economics; ethics/SEL; media literacy; arts/culture; civic action.</x:v>
      </x:c>
      <x:c r="G2821" s="27" t="str">
        <x:v>S25</x:v>
      </x:c>
      <x:c r="H2821" s="27" t="str">
        <x:v>Social Studies</x:v>
      </x:c>
      <x:c r="I2821" s="27" t="str">
        <x:v>SRC12; SRC29</x:v>
      </x:c>
      <x:c r="J2821" s="27" t="str">
        <x:v>Parallel subject and representation links.</x:v>
      </x:c>
    </x:row>
    <x:row r="2822">
      <x:c r="A2822" s="27" t="str">
        <x:v>E02818</x:v>
      </x:c>
      <x:c r="B2822" s="27" t="str">
        <x:v>S25-SST-01</x:v>
      </x:c>
      <x:c r="C2822" s="27" t="str">
        <x:v>Psychology, sociology, anthropology, and research design</x:v>
      </x:c>
      <x:c r="D2822" s="27" t="str">
        <x:v>UNLOCKS</x:v>
      </x:c>
      <x:c r="E2822" s="27" t="str">
        <x:v>S25-SST-01:NEXT</x:v>
      </x:c>
      <x:c r="F2822" s="27" t="str">
        <x:v>Behavioral/social sciences extend historical/civic understanding with testable and interpretive models of human systems.</x:v>
      </x:c>
      <x:c r="G2822" s="27" t="str">
        <x:v>S25</x:v>
      </x:c>
      <x:c r="H2822" s="27" t="str">
        <x:v>Social Studies</x:v>
      </x:c>
      <x:c r="I2822" s="27" t="str">
        <x:v>SRC12; SRC29</x:v>
      </x:c>
      <x:c r="J2822" s="27" t="str">
        <x:v>Outgoing use and placement rationale.</x:v>
      </x:c>
    </x:row>
    <x:row r="2823">
      <x:c r="A2823" s="27" t="str">
        <x:v>E02819</x:v>
      </x:c>
      <x:c r="B2823" s="27" t="str">
        <x:v>S25-SST-01</x:v>
      </x:c>
      <x:c r="C2823" s="27" t="str">
        <x:v>Psychology, sociology, anthropology, and research design</x:v>
      </x:c>
      <x:c r="D2823" s="27" t="str">
        <x:v>VERIFIED_BY</x:v>
      </x:c>
      <x:c r="E2823" s="27" t="str">
        <x:v>S25-SST-01:EVIDENCE</x:v>
      </x:c>
      <x:c r="F2823" s="27" t="str">
        <x:v>Evaluates or conducts a study with operational definitions, method fit, evidence, context, ethics, and limits.</x:v>
      </x:c>
      <x:c r="G2823" s="27" t="str">
        <x:v>S25</x:v>
      </x:c>
      <x:c r="H2823" s="27" t="str">
        <x:v>Social Studies</x:v>
      </x:c>
      <x:c r="I2823" s="27" t="str">
        <x:v>SRC12; SRC29</x:v>
      </x:c>
      <x:c r="J2823" s="27" t="str">
        <x:v>Observable evidence of usable learning.</x:v>
      </x:c>
    </x:row>
    <x:row r="2824">
      <x:c r="A2824" s="27" t="str">
        <x:v>E02820</x:v>
      </x:c>
      <x:c r="B2824" s="27" t="str">
        <x:v>S24-COMP-01</x:v>
      </x:c>
      <x:c r="C2824" s="27" t="str">
        <x:v>Previous node in domain progression</x:v>
      </x:c>
      <x:c r="D2824" s="27" t="str">
        <x:v>DOMAIN_SEQUENCE</x:v>
      </x:c>
      <x:c r="E2824" s="27" t="str">
        <x:v>S25-COMP-01</x:v>
      </x:c>
      <x:c r="F2824" s="27" t="str">
        <x:v>Complexity, recursion, trees, graphs, hashing, and algorithm design</x:v>
      </x:c>
      <x:c r="G2824" s="27" t="str">
        <x:v>S25</x:v>
      </x:c>
      <x:c r="H2824" s="27" t="str">
        <x:v>Computing &amp; Media</x:v>
      </x:c>
      <x:c r="I2824" s="27" t="str">
        <x:v>SRC16</x:v>
      </x:c>
      <x:c r="J2824" s="27" t="str">
        <x:v>Ordered spiral link; consult explicit prerequisites for logical dependency.</x:v>
      </x:c>
    </x:row>
    <x:row r="2825">
      <x:c r="A2825" s="27" t="str">
        <x:v>E02821</x:v>
      </x:c>
      <x:c r="B2825" s="27" t="str">
        <x:v>S25-COMP-01:PREREQ</x:v>
      </x:c>
      <x:c r="C2825" s="27" t="str">
        <x:v>High-school programming, discrete math, graph theory, and asymptotic growth.</x:v>
      </x:c>
      <x:c r="D2825" s="27" t="str">
        <x:v>PREREQUISITE</x:v>
      </x:c>
      <x:c r="E2825" s="27" t="str">
        <x:v>S25-COMP-01</x:v>
      </x:c>
      <x:c r="F2825" s="27" t="str">
        <x:v>Complexity, recursion, trees, graphs, hashing, and algorithm design</x:v>
      </x:c>
      <x:c r="G2825" s="27" t="str">
        <x:v>S25</x:v>
      </x:c>
      <x:c r="H2825" s="27" t="str">
        <x:v>Computing &amp; Media</x:v>
      </x:c>
      <x:c r="I2825" s="27" t="str">
        <x:v>SRC16</x:v>
      </x:c>
      <x:c r="J2825" s="27" t="str">
        <x:v>Incoming prerequisite relationship.</x:v>
      </x:c>
    </x:row>
    <x:row r="2826">
      <x:c r="A2826" s="27" t="str">
        <x:v>E02822</x:v>
      </x:c>
      <x:c r="B2826" s="27" t="str">
        <x:v>S25-COMP-01:GROUND</x:v>
      </x:c>
      <x:c r="C2826" s="27" t="str">
        <x:v>G6/G7 — Evidence-based formal system demonstrated through authentic transfer</x:v>
      </x:c>
      <x:c r="D2826" s="27" t="str">
        <x:v>GROUNDED_BY</x:v>
      </x:c>
      <x:c r="E2826" s="27" t="str">
        <x:v>S25-COMP-01</x:v>
      </x:c>
      <x:c r="F2826" s="27" t="str">
        <x:v>Complexity, recursion, trees, graphs, hashing, and algorithm design</x:v>
      </x:c>
      <x:c r="G2826" s="27" t="str">
        <x:v>S25</x:v>
      </x:c>
      <x:c r="H2826" s="27" t="str">
        <x:v>Computing &amp; Media</x:v>
      </x:c>
      <x:c r="I2826" s="27" t="str">
        <x:v>SRC16</x:v>
      </x:c>
      <x:c r="J2826" s="27" t="str">
        <x:v>Grounding form used to preserve meaning.</x:v>
      </x:c>
    </x:row>
    <x:row r="2827">
      <x:c r="A2827" s="27" t="str">
        <x:v>E02823</x:v>
      </x:c>
      <x:c r="B2827" s="27" t="str">
        <x:v>S25-COMP-01</x:v>
      </x:c>
      <x:c r="C2827" s="27" t="str">
        <x:v>Complexity, recursion, trees, graphs, hashing, and algorithm design</x:v>
      </x:c>
      <x:c r="D2827" s="27" t="str">
        <x:v>CONNECTS_TO</x:v>
      </x:c>
      <x:c r="E2827" s="27" t="str">
        <x:v>S25-COMP-01:CROSS</x:v>
      </x:c>
      <x:c r="F2827" s="27" t="str">
        <x:v>Mathematics/logic/data; language and media evidence; science/engineering models; art/design; civics, privacy, finance, and ethics.</x:v>
      </x:c>
      <x:c r="G2827" s="27" t="str">
        <x:v>S25</x:v>
      </x:c>
      <x:c r="H2827" s="27" t="str">
        <x:v>Computing &amp; Media</x:v>
      </x:c>
      <x:c r="I2827" s="27" t="str">
        <x:v>SRC16</x:v>
      </x:c>
      <x:c r="J2827" s="27" t="str">
        <x:v>Parallel subject and representation links.</x:v>
      </x:c>
    </x:row>
    <x:row r="2828">
      <x:c r="A2828" s="27" t="str">
        <x:v>E02824</x:v>
      </x:c>
      <x:c r="B2828" s="27" t="str">
        <x:v>S25-COMP-01</x:v>
      </x:c>
      <x:c r="C2828" s="27" t="str">
        <x:v>Complexity, recursion, trees, graphs, hashing, and algorithm design</x:v>
      </x:c>
      <x:c r="D2828" s="27" t="str">
        <x:v>UNLOCKS</x:v>
      </x:c>
      <x:c r="E2828" s="27" t="str">
        <x:v>S25-COMP-01:NEXT</x:v>
      </x:c>
      <x:c r="F2828" s="27" t="str">
        <x:v>Algorithm/data-structure fit determines correctness and scalability.</x:v>
      </x:c>
      <x:c r="G2828" s="27" t="str">
        <x:v>S25</x:v>
      </x:c>
      <x:c r="H2828" s="27" t="str">
        <x:v>Computing &amp; Media</x:v>
      </x:c>
      <x:c r="I2828" s="27" t="str">
        <x:v>SRC16</x:v>
      </x:c>
      <x:c r="J2828" s="27" t="str">
        <x:v>Outgoing use and placement rationale.</x:v>
      </x:c>
    </x:row>
    <x:row r="2829">
      <x:c r="A2829" s="27" t="str">
        <x:v>E02825</x:v>
      </x:c>
      <x:c r="B2829" s="27" t="str">
        <x:v>S25-COMP-01</x:v>
      </x:c>
      <x:c r="C2829" s="27" t="str">
        <x:v>Complexity, recursion, trees, graphs, hashing, and algorithm design</x:v>
      </x:c>
      <x:c r="D2829" s="27" t="str">
        <x:v>VERIFIED_BY</x:v>
      </x:c>
      <x:c r="E2829" s="27" t="str">
        <x:v>S25-COMP-01:EVIDENCE</x:v>
      </x:c>
      <x:c r="F2829" s="27" t="str">
        <x:v>Implements and tests a solution, proves key correctness, and compares complexity/tradeoffs.</x:v>
      </x:c>
      <x:c r="G2829" s="27" t="str">
        <x:v>S25</x:v>
      </x:c>
      <x:c r="H2829" s="27" t="str">
        <x:v>Computing &amp; Media</x:v>
      </x:c>
      <x:c r="I2829" s="27" t="str">
        <x:v>SRC16</x:v>
      </x:c>
      <x:c r="J2829" s="27" t="str">
        <x:v>Observable evidence of usable learning.</x:v>
      </x:c>
    </x:row>
    <x:row r="2830">
      <x:c r="A2830" s="27" t="str">
        <x:v>E02826</x:v>
      </x:c>
      <x:c r="B2830" s="27" t="str">
        <x:v>S25-COMP-01</x:v>
      </x:c>
      <x:c r="C2830" s="27" t="str">
        <x:v>Previous node in domain progression</x:v>
      </x:c>
      <x:c r="D2830" s="27" t="str">
        <x:v>DOMAIN_SEQUENCE</x:v>
      </x:c>
      <x:c r="E2830" s="27" t="str">
        <x:v>S25-COMP-02</x:v>
      </x:c>
      <x:c r="F2830" s="27" t="str">
        <x:v>Data pipeline, models, validation, and responsible use</x:v>
      </x:c>
      <x:c r="G2830" s="27" t="str">
        <x:v>S25</x:v>
      </x:c>
      <x:c r="H2830" s="27" t="str">
        <x:v>Computing &amp; Media</x:v>
      </x:c>
      <x:c r="I2830" s="27" t="str">
        <x:v>SRC16; SRC28</x:v>
      </x:c>
      <x:c r="J2830" s="27" t="str">
        <x:v>Ordered spiral link; consult explicit prerequisites for logical dependency.</x:v>
      </x:c>
    </x:row>
    <x:row r="2831">
      <x:c r="A2831" s="27" t="str">
        <x:v>E02827</x:v>
      </x:c>
      <x:c r="B2831" s="27" t="str">
        <x:v>S25-COMP-02:PREREQ</x:v>
      </x:c>
      <x:c r="C2831" s="27" t="str">
        <x:v>Statistics, linear algebra, probability, programming, and media/data ethics.</x:v>
      </x:c>
      <x:c r="D2831" s="27" t="str">
        <x:v>PREREQUISITE</x:v>
      </x:c>
      <x:c r="E2831" s="27" t="str">
        <x:v>S25-COMP-02</x:v>
      </x:c>
      <x:c r="F2831" s="27" t="str">
        <x:v>Data pipeline, models, validation, and responsible use</x:v>
      </x:c>
      <x:c r="G2831" s="27" t="str">
        <x:v>S25</x:v>
      </x:c>
      <x:c r="H2831" s="27" t="str">
        <x:v>Computing &amp; Media</x:v>
      </x:c>
      <x:c r="I2831" s="27" t="str">
        <x:v>SRC16; SRC28</x:v>
      </x:c>
      <x:c r="J2831" s="27" t="str">
        <x:v>Incoming prerequisite relationship.</x:v>
      </x:c>
    </x:row>
    <x:row r="2832">
      <x:c r="A2832" s="27" t="str">
        <x:v>E02828</x:v>
      </x:c>
      <x:c r="B2832" s="27" t="str">
        <x:v>S25-COMP-02:GROUND</x:v>
      </x:c>
      <x:c r="C2832" s="27" t="str">
        <x:v>G6/G7 — Evidence-based formal system demonstrated through authentic transfer</x:v>
      </x:c>
      <x:c r="D2832" s="27" t="str">
        <x:v>GROUNDED_BY</x:v>
      </x:c>
      <x:c r="E2832" s="27" t="str">
        <x:v>S25-COMP-02</x:v>
      </x:c>
      <x:c r="F2832" s="27" t="str">
        <x:v>Data pipeline, models, validation, and responsible use</x:v>
      </x:c>
      <x:c r="G2832" s="27" t="str">
        <x:v>S25</x:v>
      </x:c>
      <x:c r="H2832" s="27" t="str">
        <x:v>Computing &amp; Media</x:v>
      </x:c>
      <x:c r="I2832" s="27" t="str">
        <x:v>SRC16; SRC28</x:v>
      </x:c>
      <x:c r="J2832" s="27" t="str">
        <x:v>Grounding form used to preserve meaning.</x:v>
      </x:c>
    </x:row>
    <x:row r="2833">
      <x:c r="A2833" s="27" t="str">
        <x:v>E02829</x:v>
      </x:c>
      <x:c r="B2833" s="27" t="str">
        <x:v>S25-COMP-02</x:v>
      </x:c>
      <x:c r="C2833" s="27" t="str">
        <x:v>Data pipeline, models, validation, and responsible use</x:v>
      </x:c>
      <x:c r="D2833" s="27" t="str">
        <x:v>CONNECTS_TO</x:v>
      </x:c>
      <x:c r="E2833" s="27" t="str">
        <x:v>S25-COMP-02:CROSS</x:v>
      </x:c>
      <x:c r="F2833" s="27" t="str">
        <x:v>Mathematics/logic/data; language and media evidence; science/engineering models; art/design; civics, privacy, finance, and ethics.</x:v>
      </x:c>
      <x:c r="G2833" s="27" t="str">
        <x:v>S25</x:v>
      </x:c>
      <x:c r="H2833" s="27" t="str">
        <x:v>Computing &amp; Media</x:v>
      </x:c>
      <x:c r="I2833" s="27" t="str">
        <x:v>SRC16; SRC28</x:v>
      </x:c>
      <x:c r="J2833" s="27" t="str">
        <x:v>Parallel subject and representation links.</x:v>
      </x:c>
    </x:row>
    <x:row r="2834">
      <x:c r="A2834" s="27" t="str">
        <x:v>E02830</x:v>
      </x:c>
      <x:c r="B2834" s="27" t="str">
        <x:v>S25-COMP-02</x:v>
      </x:c>
      <x:c r="C2834" s="27" t="str">
        <x:v>Data pipeline, models, validation, and responsible use</x:v>
      </x:c>
      <x:c r="D2834" s="27" t="str">
        <x:v>UNLOCKS</x:v>
      </x:c>
      <x:c r="E2834" s="27" t="str">
        <x:v>S25-COMP-02:NEXT</x:v>
      </x:c>
      <x:c r="F2834" s="27" t="str">
        <x:v>A full evidence pipeline grounds model outputs in data provenance, assumptions, and consequences.</x:v>
      </x:c>
      <x:c r="G2834" s="27" t="str">
        <x:v>S25</x:v>
      </x:c>
      <x:c r="H2834" s="27" t="str">
        <x:v>Computing &amp; Media</x:v>
      </x:c>
      <x:c r="I2834" s="27" t="str">
        <x:v>SRC16; SRC28</x:v>
      </x:c>
      <x:c r="J2834" s="27" t="str">
        <x:v>Outgoing use and placement rationale.</x:v>
      </x:c>
    </x:row>
    <x:row r="2835">
      <x:c r="A2835" s="27" t="str">
        <x:v>E02831</x:v>
      </x:c>
      <x:c r="B2835" s="27" t="str">
        <x:v>S25-COMP-02</x:v>
      </x:c>
      <x:c r="C2835" s="27" t="str">
        <x:v>Data pipeline, models, validation, and responsible use</x:v>
      </x:c>
      <x:c r="D2835" s="27" t="str">
        <x:v>VERIFIED_BY</x:v>
      </x:c>
      <x:c r="E2835" s="27" t="str">
        <x:v>S25-COMP-02:EVIDENCE</x:v>
      </x:c>
      <x:c r="F2835" s="27" t="str">
        <x:v>Produces a reproducible analysis/model card with validation, error analysis, limitations, and impact controls.</x:v>
      </x:c>
      <x:c r="G2835" s="27" t="str">
        <x:v>S25</x:v>
      </x:c>
      <x:c r="H2835" s="27" t="str">
        <x:v>Computing &amp; Media</x:v>
      </x:c>
      <x:c r="I2835" s="27" t="str">
        <x:v>SRC16; SRC28</x:v>
      </x:c>
      <x:c r="J2835" s="27" t="str">
        <x:v>Observable evidence of usable learning.</x:v>
      </x:c>
    </x:row>
    <x:row r="2836">
      <x:c r="A2836" s="27" t="str">
        <x:v>E02832</x:v>
      </x:c>
      <x:c r="B2836" s="27" t="str">
        <x:v>S24-LIFE-01</x:v>
      </x:c>
      <x:c r="C2836" s="27" t="str">
        <x:v>Previous node in domain progression</x:v>
      </x:c>
      <x:c r="D2836" s="27" t="str">
        <x:v>DOMAIN_SEQUENCE</x:v>
      </x:c>
      <x:c r="E2836" s="27" t="str">
        <x:v>S25-LIFE-01</x:v>
      </x:c>
      <x:c r="F2836" s="27" t="str">
        <x:v>Portfolio, standards, project management, and continuous learning</x:v>
      </x:c>
      <x:c r="G2836" s="27" t="str">
        <x:v>S25</x:v>
      </x:c>
      <x:c r="H2836" s="27" t="str">
        <x:v>Life, Finance &amp; Career</x:v>
      </x:c>
      <x:c r="I2836" s="27" t="str">
        <x:v>SRC18; SRC19; SRC29</x:v>
      </x:c>
      <x:c r="J2836" s="27" t="str">
        <x:v>Ordered spiral link; consult explicit prerequisites for logical dependency.</x:v>
      </x:c>
    </x:row>
    <x:row r="2837">
      <x:c r="A2837" s="27" t="str">
        <x:v>E02833</x:v>
      </x:c>
      <x:c r="B2837" s="27" t="str">
        <x:v>S25-LIFE-01:PREREQ</x:v>
      </x:c>
      <x:c r="C2837" s="27" t="str">
        <x:v>Grade 12 capstone, launch planning, negotiation, and independent learning system.</x:v>
      </x:c>
      <x:c r="D2837" s="27" t="str">
        <x:v>PREREQUISITE</x:v>
      </x:c>
      <x:c r="E2837" s="27" t="str">
        <x:v>S25-LIFE-01</x:v>
      </x:c>
      <x:c r="F2837" s="27" t="str">
        <x:v>Portfolio, standards, project management, and continuous learning</x:v>
      </x:c>
      <x:c r="G2837" s="27" t="str">
        <x:v>S25</x:v>
      </x:c>
      <x:c r="H2837" s="27" t="str">
        <x:v>Life, Finance &amp; Career</x:v>
      </x:c>
      <x:c r="I2837" s="27" t="str">
        <x:v>SRC18; SRC19; SRC29</x:v>
      </x:c>
      <x:c r="J2837" s="27" t="str">
        <x:v>Incoming prerequisite relationship.</x:v>
      </x:c>
    </x:row>
    <x:row r="2838">
      <x:c r="A2838" s="27" t="str">
        <x:v>E02834</x:v>
      </x:c>
      <x:c r="B2838" s="27" t="str">
        <x:v>S25-LIFE-01:GROUND</x:v>
      </x:c>
      <x:c r="C2838" s="27" t="str">
        <x:v>G6/G7 — Evidence-based formal system demonstrated through authentic transfer</x:v>
      </x:c>
      <x:c r="D2838" s="27" t="str">
        <x:v>GROUNDED_BY</x:v>
      </x:c>
      <x:c r="E2838" s="27" t="str">
        <x:v>S25-LIFE-01</x:v>
      </x:c>
      <x:c r="F2838" s="27" t="str">
        <x:v>Portfolio, standards, project management, and continuous learning</x:v>
      </x:c>
      <x:c r="G2838" s="27" t="str">
        <x:v>S25</x:v>
      </x:c>
      <x:c r="H2838" s="27" t="str">
        <x:v>Life, Finance &amp; Career</x:v>
      </x:c>
      <x:c r="I2838" s="27" t="str">
        <x:v>SRC18; SRC19; SRC29</x:v>
      </x:c>
      <x:c r="J2838" s="27" t="str">
        <x:v>Grounding form used to preserve meaning.</x:v>
      </x:c>
    </x:row>
    <x:row r="2839">
      <x:c r="A2839" s="27" t="str">
        <x:v>E02835</x:v>
      </x:c>
      <x:c r="B2839" s="27" t="str">
        <x:v>S25-LIFE-01</x:v>
      </x:c>
      <x:c r="C2839" s="27" t="str">
        <x:v>Portfolio, standards, project management, and continuous learning</x:v>
      </x:c>
      <x:c r="D2839" s="27" t="str">
        <x:v>CONNECTS_TO</x:v>
      </x:c>
      <x:c r="E2839" s="27" t="str">
        <x:v>S25-LIFE-01:CROSS</x:v>
      </x:c>
      <x:c r="F2839" s="27" t="str">
        <x:v>Mathematics/percent/growth; economics/civics; reading contracts/sources; computing/privacy; SEL, planning, and risk decisions.</x:v>
      </x:c>
      <x:c r="G2839" s="27" t="str">
        <x:v>S25</x:v>
      </x:c>
      <x:c r="H2839" s="27" t="str">
        <x:v>Life, Finance &amp; Career</x:v>
      </x:c>
      <x:c r="I2839" s="27" t="str">
        <x:v>SRC18; SRC19; SRC29</x:v>
      </x:c>
      <x:c r="J2839" s="27" t="str">
        <x:v>Parallel subject and representation links.</x:v>
      </x:c>
    </x:row>
    <x:row r="2840">
      <x:c r="A2840" s="27" t="str">
        <x:v>E02836</x:v>
      </x:c>
      <x:c r="B2840" s="27" t="str">
        <x:v>S25-LIFE-01</x:v>
      </x:c>
      <x:c r="C2840" s="27" t="str">
        <x:v>Portfolio, standards, project management, and continuous learning</x:v>
      </x:c>
      <x:c r="D2840" s="27" t="str">
        <x:v>UNLOCKS</x:v>
      </x:c>
      <x:c r="E2840" s="27" t="str">
        <x:v>S25-LIFE-01:NEXT</x:v>
      </x:c>
      <x:c r="F2840" s="27" t="str">
        <x:v>Professional practice integrates knowledge, accountability, communication, and repeatable improvement.</x:v>
      </x:c>
      <x:c r="G2840" s="27" t="str">
        <x:v>S25</x:v>
      </x:c>
      <x:c r="H2840" s="27" t="str">
        <x:v>Life, Finance &amp; Career</x:v>
      </x:c>
      <x:c r="I2840" s="27" t="str">
        <x:v>SRC18; SRC19; SRC29</x:v>
      </x:c>
      <x:c r="J2840" s="27" t="str">
        <x:v>Outgoing use and placement rationale.</x:v>
      </x:c>
    </x:row>
    <x:row r="2841">
      <x:c r="A2841" s="27" t="str">
        <x:v>E02837</x:v>
      </x:c>
      <x:c r="B2841" s="27" t="str">
        <x:v>S25-LIFE-01</x:v>
      </x:c>
      <x:c r="C2841" s="27" t="str">
        <x:v>Portfolio, standards, project management, and continuous learning</x:v>
      </x:c>
      <x:c r="D2841" s="27" t="str">
        <x:v>VERIFIED_BY</x:v>
      </x:c>
      <x:c r="E2841" s="27" t="str">
        <x:v>S25-LIFE-01:EVIDENCE</x:v>
      </x:c>
      <x:c r="F2841" s="27" t="str">
        <x:v>Completes a standards-aligned project/portfolio and a measurable next-learning plan with review dates.</x:v>
      </x:c>
      <x:c r="G2841" s="27" t="str">
        <x:v>S25</x:v>
      </x:c>
      <x:c r="H2841" s="27" t="str">
        <x:v>Life, Finance &amp; Career</x:v>
      </x:c>
      <x:c r="I2841" s="27" t="str">
        <x:v>SRC18; SRC19; SRC29</x:v>
      </x:c>
      <x:c r="J2841" s="27" t="str">
        <x:v>Observable evidence of usable learning.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449e495a2d742b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24" hidden="0" customWidth="1"/>
    <x:col min="4" max="4" width="65" hidden="0" customWidth="1"/>
    <x:col min="5" max="5" width="85" hidden="0" customWidth="1"/>
    <x:col min="6" max="6" width="14" hidden="0" customWidth="1"/>
  </x:cols>
  <x:sheetData>
    <x:row r="1" ht="34" customHeight="1">
      <x:c r="A1" s="4" t="str">
        <x:v>SOURCE REGISTER</x:v>
      </x:c>
      <x:c r="B1" s="4" t="str">
        <x:v>SOURCE REGISTER</x:v>
      </x:c>
      <x:c r="C1" s="4" t="str">
        <x:v>SOURCE REGISTER</x:v>
      </x:c>
      <x:c r="D1" s="4" t="str">
        <x:v>SOURCE REGISTER</x:v>
      </x:c>
      <x:c r="E1" s="4" t="str">
        <x:v>SOURCE REGISTER</x:v>
      </x:c>
      <x:c r="F1" s="4" t="str">
        <x:v>SOURCE REGISTER</x:v>
      </x:c>
    </x:row>
    <x:row r="2" ht="30" customHeight="1">
      <x:c r="A2" s="8" t="str">
        <x:v>Primary and authoritative frameworks are used for scope, sequence, and learning science. URLs are preserved for independent verification.</x:v>
      </x:c>
      <x:c r="B2" s="8" t="str">
        <x:v>Primary and authoritative frameworks are used for scope, sequence, and learning science. URLs are preserved for independent verification.</x:v>
      </x:c>
      <x:c r="C2" s="8" t="str">
        <x:v>Primary and authoritative frameworks are used for scope, sequence, and learning science. URLs are preserved for independent verification.</x:v>
      </x:c>
      <x:c r="D2" s="8" t="str">
        <x:v>Primary and authoritative frameworks are used for scope, sequence, and learning science. URLs are preserved for independent verification.</x:v>
      </x:c>
      <x:c r="E2" s="8" t="str">
        <x:v>Primary and authoritative frameworks are used for scope, sequence, and learning science. URLs are preserved for independent verification.</x:v>
      </x:c>
      <x:c r="F2" s="8" t="str">
        <x:v>Primary and authoritative frameworks are used for scope, sequence, and learning science. URLs are preserved for independent verification.</x:v>
      </x:c>
    </x:row>
    <x:row r="4" ht="32" customHeight="1">
      <x:c r="A4" s="17" t="str">
        <x:v>Source ID</x:v>
      </x:c>
      <x:c r="B4" s="35" t="str">
        <x:v>Title</x:v>
      </x:c>
      <x:c r="C4" s="35" t="str">
        <x:v>Coverage</x:v>
      </x:c>
      <x:c r="D4" s="35" t="str">
        <x:v>How Used</x:v>
      </x:c>
      <x:c r="E4" s="35" t="str">
        <x:v>URL</x:v>
      </x:c>
      <x:c r="F4" s="18" t="str">
        <x:v>Accessed</x:v>
      </x:c>
    </x:row>
    <x:row r="5">
      <x:c r="A5" s="26" t="str">
        <x:v>SRC01</x:v>
      </x:c>
      <x:c r="B5" s="26" t="str">
        <x:v>U.S. Department of Education — Federal Role in Education</x:v>
      </x:c>
      <x:c r="C5" s="26" t="str">
        <x:v>Governance</x:v>
      </x:c>
      <x:c r="D5" s="26" t="str">
        <x:v>Explains that U.S. curriculum and standards are primarily state and local responsibilities.</x:v>
      </x:c>
      <x:c r="E5" s="26" t="str">
        <x:v>https://www.ed.gov/about/ed-overview/federal-role-in-education</x:v>
      </x:c>
      <x:c r="F5" s="38" t="str">
        <x:v>2026-07-14</x:v>
      </x:c>
    </x:row>
    <x:row r="6">
      <x:c r="A6" s="27" t="str">
        <x:v>SRC02</x:v>
      </x:c>
      <x:c r="B6" s="27" t="str">
        <x:v>Head Start Early Learning Outcomes Framework: Ages Birth to Five</x:v>
      </x:c>
      <x:c r="C6" s="27" t="str">
        <x:v>Birth–5 development</x:v>
      </x:c>
      <x:c r="D6" s="27" t="str">
        <x:v>Five integrated domains, subdomains, goals, developmental progressions, and indicators.</x:v>
      </x:c>
      <x:c r="E6" s="27" t="str">
        <x:v>https://headstart.gov/interactive-head-start-early-learning-outcomes-framework-ages-birth-five</x:v>
      </x:c>
      <x:c r="F6" s="39" t="str">
        <x:v>2026-07-14</x:v>
      </x:c>
    </x:row>
    <x:row r="7">
      <x:c r="A7" s="27" t="str">
        <x:v>SRC03</x:v>
      </x:c>
      <x:c r="B7" s="27" t="str">
        <x:v>CDC Developmental Milestones</x:v>
      </x:c>
      <x:c r="C7" s="27" t="str">
        <x:v>2 months–5 years</x:v>
      </x:c>
      <x:c r="D7" s="27" t="str">
        <x:v>Age-linked communication, cognitive, social-emotional, movement, and physical milestones used as developmental reference points.</x:v>
      </x:c>
      <x:c r="E7" s="27" t="str">
        <x:v>https://www.cdc.gov/act-early/milestones/index.html</x:v>
      </x:c>
      <x:c r="F7" s="39" t="str">
        <x:v>2026-07-14</x:v>
      </x:c>
    </x:row>
    <x:row r="8">
      <x:c r="A8" s="27" t="str">
        <x:v>SRC04</x:v>
      </x:c>
      <x:c r="B8" s="27" t="str">
        <x:v>National Academies — Transforming the Workforce for Children Birth Through Age 8</x:v>
      </x:c>
      <x:c r="C8" s="27" t="str">
        <x:v>Birth–8 science</x:v>
      </x:c>
      <x:c r="D8" s="27" t="str">
        <x:v>Research synthesis on integrated development and early learning.</x:v>
      </x:c>
      <x:c r="E8" s="27" t="str">
        <x:v>https://nap.nationalacademies.org/catalog/19401/transforming-the-workforce-for-children-birth-through-age-8-a</x:v>
      </x:c>
      <x:c r="F8" s="39" t="str">
        <x:v>2026-07-14</x:v>
      </x:c>
    </x:row>
    <x:row r="9">
      <x:c r="A9" s="27" t="str">
        <x:v>SRC05</x:v>
      </x:c>
      <x:c r="B9" s="27" t="str">
        <x:v>Harvard Center on the Developing Child — Executive Function</x:v>
      </x:c>
      <x:c r="C9" s="27" t="str">
        <x:v>Executive function</x:v>
      </x:c>
      <x:c r="D9" s="27" t="str">
        <x:v>Working memory, mental flexibility, self-control, planning, focus, and self-regulation across development.</x:v>
      </x:c>
      <x:c r="E9" s="27" t="str">
        <x:v>https://developingchild.harvard.edu/resource-guides/guide-executive-function/</x:v>
      </x:c>
      <x:c r="F9" s="39" t="str">
        <x:v>2026-07-14</x:v>
      </x:c>
    </x:row>
    <x:row r="10">
      <x:c r="A10" s="27" t="str">
        <x:v>SRC06</x:v>
      </x:c>
      <x:c r="B10" s="27" t="str">
        <x:v>IES What Works Clearinghouse — Preparing Young Children for School</x:v>
      </x:c>
      <x:c r="C10" s="27" t="str">
        <x:v>Preschool readiness</x:v>
      </x:c>
      <x:c r="D10" s="27" t="str">
        <x:v>Evidence-based practices supporting social-emotional, executive-function, vocabulary, literacy, and mathematics preparation.</x:v>
      </x:c>
      <x:c r="E10" s="27" t="str">
        <x:v>https://ies.ed.gov/ncee/wwc/PracticeGuide/30</x:v>
      </x:c>
      <x:c r="F10" s="39" t="str">
        <x:v>2026-07-14</x:v>
      </x:c>
    </x:row>
    <x:row r="11">
      <x:c r="A11" s="27" t="str">
        <x:v>SRC07</x:v>
      </x:c>
      <x:c r="B11" s="27" t="str">
        <x:v>IES What Works Clearinghouse — Teaching Math to Young Children</x:v>
      </x:c>
      <x:c r="C11" s="27" t="str">
        <x:v>Early mathematics</x:v>
      </x:c>
      <x:c r="D11" s="27" t="str">
        <x:v>Developmental progressions for number and operations, geometry, patterns, measurement, and data.</x:v>
      </x:c>
      <x:c r="E11" s="27" t="str">
        <x:v>https://ies.ed.gov/ncee/wwc/practiceguide/18</x:v>
      </x:c>
      <x:c r="F11" s="39" t="str">
        <x:v>2026-07-14</x:v>
      </x:c>
    </x:row>
    <x:row r="12">
      <x:c r="A12" s="27" t="str">
        <x:v>SRC08</x:v>
      </x:c>
      <x:c r="B12" s="27" t="str">
        <x:v>IES What Works Clearinghouse — Foundational Reading Skills K–3</x:v>
      </x:c>
      <x:c r="C12" s="27" t="str">
        <x:v>Early reading</x:v>
      </x:c>
      <x:c r="D12" s="27" t="str">
        <x:v>Academic language, sound segmentation, sound-letter relations, decoding, word analysis, and connected-text reading.</x:v>
      </x:c>
      <x:c r="E12" s="27" t="str">
        <x:v>https://ies.ed.gov/ncee/wwc/practiceguide/21</x:v>
      </x:c>
      <x:c r="F12" s="39" t="str">
        <x:v>2026-07-14</x:v>
      </x:c>
    </x:row>
    <x:row r="13">
      <x:c r="A13" s="27" t="str">
        <x:v>SRC09</x:v>
      </x:c>
      <x:c r="B13" s="27" t="str">
        <x:v>Common Core State Standards — Mathematics</x:v>
      </x:c>
      <x:c r="C13" s="27" t="str">
        <x:v>K–12 mathematics</x:v>
      </x:c>
      <x:c r="D13" s="27" t="str">
        <x:v>Grade-level domains, high-school conceptual categories, and mathematical practices.</x:v>
      </x:c>
      <x:c r="E13" s="27" t="str">
        <x:v>https://corestandards.org/wp-content/uploads/2023/09/ADA-Compliant-Math-Standards.pdf</x:v>
      </x:c>
      <x:c r="F13" s="39" t="str">
        <x:v>2026-07-14</x:v>
      </x:c>
    </x:row>
    <x:row r="14">
      <x:c r="A14" s="27" t="str">
        <x:v>SRC10</x:v>
      </x:c>
      <x:c r="B14" s="27" t="str">
        <x:v>Common Core State Standards — English Language Arts/Literacy</x:v>
      </x:c>
      <x:c r="C14" s="27" t="str">
        <x:v>K–12 literacy</x:v>
      </x:c>
      <x:c r="D14" s="27" t="str">
        <x:v>Reading, writing, speaking/listening, language, foundational skills, and disciplinary literacy.</x:v>
      </x:c>
      <x:c r="E14" s="27" t="str">
        <x:v>https://corestandards.org/wp-content/uploads/2023/09/ELA_Standards1.pdf</x:v>
      </x:c>
      <x:c r="F14" s="39" t="str">
        <x:v>2026-07-14</x:v>
      </x:c>
    </x:row>
    <x:row r="15">
      <x:c r="A15" s="27" t="str">
        <x:v>SRC11</x:v>
      </x:c>
      <x:c r="B15" s="27" t="str">
        <x:v>Next Generation Science Standards</x:v>
      </x:c>
      <x:c r="C15" s="27" t="str">
        <x:v>K–12 science</x:v>
      </x:c>
      <x:c r="D15" s="27" t="str">
        <x:v>Three-dimensional progressions in practices, disciplinary core ideas, and crosscutting concepts.</x:v>
      </x:c>
      <x:c r="E15" s="27" t="str">
        <x:v>https://www.nextgenscience.org/overview-topics</x:v>
      </x:c>
      <x:c r="F15" s="39" t="str">
        <x:v>2026-07-14</x:v>
      </x:c>
    </x:row>
    <x:row r="16">
      <x:c r="A16" s="27" t="str">
        <x:v>SRC12</x:v>
      </x:c>
      <x:c r="B16" s="27" t="str">
        <x:v>NCSS College, Career, and Civic Life (C3) Framework</x:v>
      </x:c>
      <x:c r="C16" s="27" t="str">
        <x:v>K–12 social studies</x:v>
      </x:c>
      <x:c r="D16" s="27" t="str">
        <x:v>Inquiry arc plus civics, economics, geography, history, sources, evidence, communication, and action.</x:v>
      </x:c>
      <x:c r="E16" s="27" t="str">
        <x:v>https://www.socialstudies.org/sites/default/files/c3/C3-Framework-for-Social-Studies.pdf</x:v>
      </x:c>
      <x:c r="F16" s="39" t="str">
        <x:v>2026-07-14</x:v>
      </x:c>
    </x:row>
    <x:row r="17">
      <x:c r="A17" s="27" t="str">
        <x:v>SRC13</x:v>
      </x:c>
      <x:c r="B17" s="27" t="str">
        <x:v>National Core Arts Standards / NAfME Music Standards</x:v>
      </x:c>
      <x:c r="C17" s="27" t="str">
        <x:v>PK–12 arts</x:v>
      </x:c>
      <x:c r="D17" s="27" t="str">
        <x:v>Creating, performing/presenting, responding, and connecting; music literacy and artistic processes.</x:v>
      </x:c>
      <x:c r="E17" s="27" t="str">
        <x:v>https://www.nationalartsstandards.org/</x:v>
      </x:c>
      <x:c r="F17" s="39" t="str">
        <x:v>2026-07-14</x:v>
      </x:c>
    </x:row>
    <x:row r="18">
      <x:c r="A18" s="27" t="str">
        <x:v>SRC14</x:v>
      </x:c>
      <x:c r="B18" s="27" t="str">
        <x:v>SHAPE America 2024 National Physical Education Standards</x:v>
      </x:c>
      <x:c r="C18" s="27" t="str">
        <x:v>PK–12 physical education</x:v>
      </x:c>
      <x:c r="D18" s="27" t="str">
        <x:v>Motor skills, movement knowledge, fitness, social responsibility, and meaningful movement participation.</x:v>
      </x:c>
      <x:c r="E18" s="27" t="str">
        <x:v>https://shapeamerica.org/standards/pe/new-pe-standards/</x:v>
      </x:c>
      <x:c r="F18" s="39" t="str">
        <x:v>2026-07-14</x:v>
      </x:c>
    </x:row>
    <x:row r="19">
      <x:c r="A19" s="27" t="str">
        <x:v>SRC15</x:v>
      </x:c>
      <x:c r="B19" s="27" t="str">
        <x:v>SHAPE America 2024 National Health Education Standards</x:v>
      </x:c>
      <x:c r="C19" s="27" t="str">
        <x:v>PK–12 health</x:v>
      </x:c>
      <x:c r="D19" s="27" t="str">
        <x:v>Health concepts, information, influences, communication, decisions, goals, behaviors, and advocacy.</x:v>
      </x:c>
      <x:c r="E19" s="27" t="str">
        <x:v>https://shapeamerica.org/standards/health/new-he-standards/</x:v>
      </x:c>
      <x:c r="F19" s="39" t="str">
        <x:v>2026-07-14</x:v>
      </x:c>
    </x:row>
    <x:row r="20">
      <x:c r="A20" s="27" t="str">
        <x:v>SRC16</x:v>
      </x:c>
      <x:c r="B20" s="27" t="str">
        <x:v>CSTA 2026 PK–12 Computer Science Standards</x:v>
      </x:c>
      <x:c r="C20" s="27" t="str">
        <x:v>PK–12 computing</x:v>
      </x:c>
      <x:c r="D20" s="27" t="str">
        <x:v>Current coherent foundational and specialty progressions in computing concepts and practices.</x:v>
      </x:c>
      <x:c r="E20" s="27" t="str">
        <x:v>https://csteachers.org/pk12standards/</x:v>
      </x:c>
      <x:c r="F20" s="39" t="str">
        <x:v>2026-07-14</x:v>
      </x:c>
    </x:row>
    <x:row r="21">
      <x:c r="A21" s="27" t="str">
        <x:v>SRC17</x:v>
      </x:c>
      <x:c r="B21" s="27" t="str">
        <x:v>ACTFL World-Readiness Standards</x:v>
      </x:c>
      <x:c r="C21" s="27" t="str">
        <x:v>Language learning</x:v>
      </x:c>
      <x:c r="D21" s="27" t="str">
        <x:v>Communication, cultures, connections, comparisons, and communities.</x:v>
      </x:c>
      <x:c r="E21" s="27" t="str">
        <x:v>https://www.actfl.org/educator-resources/world-readiness-standards-for-learning-languages</x:v>
      </x:c>
      <x:c r="F21" s="39" t="str">
        <x:v>2026-07-14</x:v>
      </x:c>
    </x:row>
    <x:row r="22">
      <x:c r="A22" s="27" t="str">
        <x:v>SRC18</x:v>
      </x:c>
      <x:c r="B22" s="27" t="str">
        <x:v>CASEL Framework</x:v>
      </x:c>
      <x:c r="C22" s="27" t="str">
        <x:v>Social-emotional learning</x:v>
      </x:c>
      <x:c r="D22" s="27" t="str">
        <x:v>Self-awareness, self-management, social awareness, relationship skills, and responsible decision-making.</x:v>
      </x:c>
      <x:c r="E22" s="27" t="str">
        <x:v>https://casel.org/fundamentals-of-sel/what-is-the-casel-framework/</x:v>
      </x:c>
      <x:c r="F22" s="39" t="str">
        <x:v>2026-07-14</x:v>
      </x:c>
    </x:row>
    <x:row r="23">
      <x:c r="A23" s="27" t="str">
        <x:v>SRC19</x:v>
      </x:c>
      <x:c r="B23" s="27" t="str">
        <x:v>Jump$tart/CEE National Standards for Personal Financial Education</x:v>
      </x:c>
      <x:c r="C23" s="27" t="str">
        <x:v>K–12 personal finance</x:v>
      </x:c>
      <x:c r="D23" s="27" t="str">
        <x:v>Earning, spending, saving, investing, credit, risk management, and decision-making.</x:v>
      </x:c>
      <x:c r="E23" s="27" t="str">
        <x:v>https://www.jumpstart.org/wp-content/uploads/2023/04/2021_Natl_Standards_Downloadable_final.pdf</x:v>
      </x:c>
      <x:c r="F23" s="39" t="str">
        <x:v>2026-07-14</x:v>
      </x:c>
    </x:row>
    <x:row r="24">
      <x:c r="A24" s="27" t="str">
        <x:v>SRC20</x:v>
      </x:c>
      <x:c r="B24" s="27" t="str">
        <x:v>NAMLE Core Principles of Media Literacy Education</x:v>
      </x:c>
      <x:c r="C24" s="27" t="str">
        <x:v>Media literacy</x:v>
      </x:c>
      <x:c r="D24" s="27" t="str">
        <x:v>Access, analysis, evaluation, creation, inquiry, expression, and action across media.</x:v>
      </x:c>
      <x:c r="E24" s="27" t="str">
        <x:v>https://namle.org/resources/core-principles/</x:v>
      </x:c>
      <x:c r="F24" s="39" t="str">
        <x:v>2026-07-14</x:v>
      </x:c>
    </x:row>
    <x:row r="25">
      <x:c r="A25" s="27" t="str">
        <x:v>SRC21</x:v>
      </x:c>
      <x:c r="B25" s="27" t="str">
        <x:v>IES — Teaching Elementary Students to Be Effective Writers</x:v>
      </x:c>
      <x:c r="C25" s="27" t="str">
        <x:v>Elementary writing</x:v>
      </x:c>
      <x:c r="D25" s="27" t="str">
        <x:v>Writing time, process, foundational skills, strategies, and a supportive community.</x:v>
      </x:c>
      <x:c r="E25" s="27" t="str">
        <x:v>https://ies.ed.gov/ncee/wwc/practiceguide/17</x:v>
      </x:c>
      <x:c r="F25" s="39" t="str">
        <x:v>2026-07-14</x:v>
      </x:c>
    </x:row>
    <x:row r="26">
      <x:c r="A26" s="27" t="str">
        <x:v>SRC22</x:v>
      </x:c>
      <x:c r="B26" s="27" t="str">
        <x:v>IES — Teaching Secondary Students to Write Effectively</x:v>
      </x:c>
      <x:c r="C26" s="27" t="str">
        <x:v>Secondary writing</x:v>
      </x:c>
      <x:c r="D26" s="27" t="str">
        <x:v>Model-practice-reflect strategies, reading-writing integration, and purposeful assessment/feedback.</x:v>
      </x:c>
      <x:c r="E26" s="27" t="str">
        <x:v>https://ies.ed.gov/ncee/wwc/practiceguide/22</x:v>
      </x:c>
      <x:c r="F26" s="39" t="str">
        <x:v>2026-07-14</x:v>
      </x:c>
    </x:row>
    <x:row r="27">
      <x:c r="A27" s="27" t="str">
        <x:v>SRC23</x:v>
      </x:c>
      <x:c r="B27" s="27" t="str">
        <x:v>IES — Organizing Instruction and Study to Improve Learning</x:v>
      </x:c>
      <x:c r="C27" s="27" t="str">
        <x:v>Learning science</x:v>
      </x:c>
      <x:c r="D27" s="27" t="str">
        <x:v>Spacing, retrieval, worked examples, graphics with verbal descriptions, and deep explanatory questions.</x:v>
      </x:c>
      <x:c r="E27" s="27" t="str">
        <x:v>https://ies.ed.gov/ncee/wwc/practiceguide/1</x:v>
      </x:c>
      <x:c r="F27" s="39" t="str">
        <x:v>2026-07-14</x:v>
      </x:c>
    </x:row>
    <x:row r="28">
      <x:c r="A28" s="27" t="str">
        <x:v>SRC24</x:v>
      </x:c>
      <x:c r="B28" s="27" t="str">
        <x:v>Oregon Department of Education — Standards and Instruction</x:v>
      </x:c>
      <x:c r="C28" s="27" t="str">
        <x:v>Oregon cross-check</x:v>
      </x:c>
      <x:c r="D28" s="27" t="str">
        <x:v>Current Oregon academic content standards and subject links.</x:v>
      </x:c>
      <x:c r="E28" s="27" t="str">
        <x:v>https://www.oregon.gov/ode/educator-resources/standards/pages/default.aspx</x:v>
      </x:c>
      <x:c r="F28" s="39" t="str">
        <x:v>2026-07-14</x:v>
      </x:c>
    </x:row>
    <x:row r="29">
      <x:c r="A29" s="27" t="str">
        <x:v>SRC25</x:v>
      </x:c>
      <x:c r="B29" s="27" t="str">
        <x:v>Oregon Early Learning and Kindergarten Guidelines</x:v>
      </x:c>
      <x:c r="C29" s="27" t="str">
        <x:v>Age 3–Kindergarten cross-check</x:v>
      </x:c>
      <x:c r="D29" s="27" t="str">
        <x:v>Alignment of Head Start progressions with kindergarten learning expectations.</x:v>
      </x:c>
      <x:c r="E29" s="27" t="str">
        <x:v>https://www.oregon.gov/ode/students-and-family/transitioning-to-kindergarten/pages/early-learning-and-kindergarten-guidelines.aspx</x:v>
      </x:c>
      <x:c r="F29" s="39" t="str">
        <x:v>2026-07-14</x:v>
      </x:c>
    </x:row>
    <x:row r="30">
      <x:c r="A30" s="27" t="str">
        <x:v>SRC26</x:v>
      </x:c>
      <x:c r="B30" s="27" t="str">
        <x:v>College Board AP Precalculus</x:v>
      </x:c>
      <x:c r="C30" s="27" t="str">
        <x:v>Advanced mathematics</x:v>
      </x:c>
      <x:c r="D30" s="27" t="str">
        <x:v>Polynomial/rational, exponential/logarithmic, trigonometric/polar, parametric, vector, and matrix pathways.</x:v>
      </x:c>
      <x:c r="E30" s="27" t="str">
        <x:v>https://apcentral.collegeboard.org/courses/ap-precalculus</x:v>
      </x:c>
      <x:c r="F30" s="39" t="str">
        <x:v>2026-07-14</x:v>
      </x:c>
    </x:row>
    <x:row r="31">
      <x:c r="A31" s="27" t="str">
        <x:v>SRC27</x:v>
      </x:c>
      <x:c r="B31" s="27" t="str">
        <x:v>College Board AP Calculus AB/BC</x:v>
      </x:c>
      <x:c r="C31" s="27" t="str">
        <x:v>Advanced mathematics</x:v>
      </x:c>
      <x:c r="D31" s="27" t="str">
        <x:v>Limits, derivatives, integrals, differential equations, parametric/polar/vector functions, and series.</x:v>
      </x:c>
      <x:c r="E31" s="27" t="str">
        <x:v>https://apcentral.collegeboard.org/courses/ap-calculus-ab</x:v>
      </x:c>
      <x:c r="F31" s="39" t="str">
        <x:v>2026-07-14</x:v>
      </x:c>
    </x:row>
    <x:row r="32">
      <x:c r="A32" s="27" t="str">
        <x:v>SRC28</x:v>
      </x:c>
      <x:c r="B32" s="27" t="str">
        <x:v>College Board AP Statistics (2026–27)</x:v>
      </x:c>
      <x:c r="C32" s="27" t="str">
        <x:v>Advanced mathematics</x:v>
      </x:c>
      <x:c r="D32" s="27" t="str">
        <x:v>Statistical problem-solving: questions, data collection, analysis, probability, inference, and regression.</x:v>
      </x:c>
      <x:c r="E32" s="27" t="str">
        <x:v>https://apcentral.collegeboard.org/courses/ap-statistics</x:v>
      </x:c>
      <x:c r="F32" s="39" t="str">
        <x:v>2026-07-14</x:v>
      </x:c>
    </x:row>
    <x:row r="33">
      <x:c r="A33" s="27" t="str">
        <x:v>SRC29</x:v>
      </x:c>
      <x:c r="B33" s="27" t="str">
        <x:v>National Academies — How People Learn II</x:v>
      </x:c>
      <x:c r="C33" s="27" t="str">
        <x:v>Learning science</x:v>
      </x:c>
      <x:c r="D33" s="27" t="str">
        <x:v>Consensus synthesis on memory, knowledge structure, context, culture, motivation, metacognition, and transfer.</x:v>
      </x:c>
      <x:c r="E33" s="27" t="str">
        <x:v>https://www.nationalacademies.org/read/24783</x:v>
      </x:c>
      <x:c r="F33" s="39" t="str">
        <x:v>2026-07-14</x:v>
      </x:c>
    </x:row>
    <x:row r="34">
      <x:c r="A34" s="27" t="str">
        <x:v>SRC30</x:v>
      </x:c>
      <x:c r="B34" s="27" t="str">
        <x:v>Karpicke &amp; Blunt (2011) — Retrieval Practice and Meaningful Learning</x:v>
      </x:c>
      <x:c r="C34" s="27" t="str">
        <x:v>Retrieval practice</x:v>
      </x:c>
      <x:c r="D34" s="27" t="str">
        <x:v>Controlled studies comparing retrieval practice with elaborative concept mapping for meaningful science-text learning.</x:v>
      </x:c>
      <x:c r="E34" s="27" t="str">
        <x:v>https://pubmed.ncbi.nlm.nih.gov/21252317/</x:v>
      </x:c>
      <x:c r="F34" s="39" t="str">
        <x:v>2026-07-14</x:v>
      </x:c>
    </x:row>
    <x:row r="35">
      <x:c r="A35" s="27" t="str">
        <x:v>SRC31</x:v>
      </x:c>
      <x:c r="B35" s="27" t="str">
        <x:v>Cepeda et al. (2008) — Spacing Effects in Learning</x:v>
      </x:c>
      <x:c r="C35" s="27" t="str">
        <x:v>Spacing</x:v>
      </x:c>
      <x:c r="D35" s="27" t="str">
        <x:v>Large experiment characterizing how the effective spacing interval relates to the desired retention interval.</x:v>
      </x:c>
      <x:c r="E35" s="27" t="str">
        <x:v>https://pubmed.ncbi.nlm.nih.gov/19076480/</x:v>
      </x:c>
      <x:c r="F35" s="39" t="str">
        <x:v>2026-07-14</x:v>
      </x:c>
    </x:row>
    <x:row r="36">
      <x:c r="A36" s="27" t="str">
        <x:v>SRC32</x:v>
      </x:c>
      <x:c r="B36" s="27" t="str">
        <x:v>Shams &amp; Seitz (2008) — Benefits of Multisensory Learning</x:v>
      </x:c>
      <x:c r="C36" s="27" t="str">
        <x:v>Multisensory learning</x:v>
      </x:c>
      <x:c r="D36" s="27" t="str">
        <x:v>Review of mechanisms and evidence, including the importance of congruent cross-sensory relationships.</x:v>
      </x:c>
      <x:c r="E36" s="27" t="str">
        <x:v>https://pubmed.ncbi.nlm.nih.gov/18805039/</x:v>
      </x:c>
      <x:c r="F36" s="39" t="str">
        <x:v>2026-07-14</x:v>
      </x:c>
    </x:row>
    <x:row r="37">
      <x:c r="A37" s="27" t="str">
        <x:v>SRC33</x:v>
      </x:c>
      <x:c r="B37" s="27" t="str">
        <x:v>Rasch &amp; Born (2013) — About Sleep's Role in Memory</x:v>
      </x:c>
      <x:c r="C37" s="27" t="str">
        <x:v>Consolidation</x:v>
      </x:c>
      <x:c r="D37" s="27" t="str">
        <x:v>Comprehensive review of sleep and memory consolidation mechanisms.</x:v>
      </x:c>
      <x:c r="E37" s="27" t="str">
        <x:v>https://pubmed.ncbi.nlm.nih.gov/23589831/</x:v>
      </x:c>
      <x:c r="F37" s="39" t="str">
        <x:v>2026-07-14</x:v>
      </x:c>
    </x:row>
    <x:row r="38">
      <x:c r="A38" s="27" t="str">
        <x:v>SRC34</x:v>
      </x:c>
      <x:c r="B38" s="27" t="str">
        <x:v>Dunlosky et al. (2013) — Improving Learning with Effective Techniques</x:v>
      </x:c>
      <x:c r="C38" s="27" t="str">
        <x:v>Learning techniques</x:v>
      </x:c>
      <x:c r="D38" s="27" t="str">
        <x:v>Evidence review of practice testing, distributed practice, interleaving, self-explanation, elaboration, and other techniques.</x:v>
      </x:c>
      <x:c r="E38" s="27" t="str">
        <x:v>https://pubmed.ncbi.nlm.nih.gov/26173288/</x:v>
      </x:c>
      <x:c r="F38" s="39" t="str">
        <x:v>2026-07-14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968cce643ea42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5" hidden="0" customWidth="1"/>
  </x:cols>
  <x:sheetData>
    <x:row r="1" ht="34" customHeight="1">
      <x:c r="A1" s="4" t="str">
        <x:v>GLOSSARY</x:v>
      </x:c>
      <x:c r="B1" s="4" t="str">
        <x:v>GLOSSARY</x:v>
      </x:c>
      <x:c r="C1" s="4" t="str">
        <x:v>GLOSSARY</x:v>
      </x:c>
      <x:c r="D1" s="4" t="str">
        <x:v>GLOSSARY</x:v>
      </x:c>
      <x:c r="E1" s="4" t="str">
        <x:v>GLOSSARY</x:v>
      </x:c>
    </x:row>
    <x:row r="2" ht="30" customHeight="1">
      <x:c r="A2" s="8" t="str">
        <x:v>Controlled definitions used throughout the guide and workbook.</x:v>
      </x:c>
      <x:c r="B2" s="8" t="str">
        <x:v>Controlled definitions used throughout the guide and workbook.</x:v>
      </x:c>
      <x:c r="C2" s="8" t="str">
        <x:v>Controlled definitions used throughout the guide and workbook.</x:v>
      </x:c>
      <x:c r="D2" s="8" t="str">
        <x:v>Controlled definitions used throughout the guide and workbook.</x:v>
      </x:c>
      <x:c r="E2" s="8" t="str">
        <x:v>Controlled definitions used throughout the guide and workbook.</x:v>
      </x:c>
    </x:row>
    <x:row r="4" ht="32" customHeight="1">
      <x:c r="A4" s="17" t="str">
        <x:v>Term</x:v>
      </x:c>
      <x:c r="B4" s="18" t="str">
        <x:v>Definition</x:v>
      </x:c>
    </x:row>
    <x:row r="5">
      <x:c r="A5" s="26" t="str">
        <x:v>Developmental readiness</x:v>
      </x:c>
      <x:c r="B5" s="26" t="str">
        <x:v>The current combination of attention, language, motor, emotional, and conceptual abilities that makes a learning experience accessible with appropriate support.</x:v>
      </x:c>
    </x:row>
    <x:row r="6">
      <x:c r="A6" s="27" t="str">
        <x:v>Logical prerequisite</x:v>
      </x:c>
      <x:c r="B6" s="27" t="str">
        <x:v>Knowledge or skill used inside a later topic; for example, fraction equivalence is used when adding fractions with unlike denominators.</x:v>
      </x:c>
    </x:row>
    <x:row r="7">
      <x:c r="A7" s="27" t="str">
        <x:v>Typical introduction</x:v>
      </x:c>
      <x:c r="B7" s="27" t="str">
        <x:v>The stage when many learners first receive intentional experience with a topic; introduction is the beginning of a learning progression.</x:v>
      </x:c>
    </x:row>
    <x:row r="8">
      <x:c r="A8" s="27" t="str">
        <x:v>Expected mastery</x:v>
      </x:c>
      <x:c r="B8" s="27" t="str">
        <x:v>The point when a learner can apply the topic accurately, explain it, and transfer it to an appropriate unfamiliar task with reasonable independence.</x:v>
      </x:c>
    </x:row>
    <x:row r="9">
      <x:c r="A9" s="27" t="str">
        <x:v>Spiral</x:v>
      </x:c>
      <x:c r="B9" s="27" t="str">
        <x:v>A planned return to an earlier idea at greater depth, abstraction, range, or independence.</x:v>
      </x:c>
    </x:row>
    <x:row r="10">
      <x:c r="A10" s="27" t="str">
        <x:v>Concrete–representational–abstract</x:v>
      </x:c>
      <x:c r="B10" s="27" t="str">
        <x:v>A progression from acting on real objects, to using pictures or models, to using symbols and generalized rules.</x:v>
      </x:c>
    </x:row>
    <x:row r="11">
      <x:c r="A11" s="27" t="str">
        <x:v>Phonological awareness</x:v>
      </x:c>
      <x:c r="B11" s="27" t="str">
        <x:v>Conscious attention to the sound structure of spoken language, including words, syllables, onset-rime, and individual phonemes.</x:v>
      </x:c>
    </x:row>
    <x:row r="12">
      <x:c r="A12" s="27" t="str">
        <x:v>Phonemic awareness</x:v>
      </x:c>
      <x:c r="B12" s="27" t="str">
        <x:v>The part of phonological awareness focused specifically on identifying and manipulating individual speech sounds.</x:v>
      </x:c>
    </x:row>
    <x:row r="13">
      <x:c r="A13" s="27" t="str">
        <x:v>Decoding</x:v>
      </x:c>
      <x:c r="B13" s="27" t="str">
        <x:v>Using sound-symbol and word-structure knowledge to read an unfamiliar written word.</x:v>
      </x:c>
    </x:row>
    <x:row r="14">
      <x:c r="A14" s="27" t="str">
        <x:v>Encoding</x:v>
      </x:c>
      <x:c r="B14" s="27" t="str">
        <x:v>Representing a spoken word in writing by mapping sounds and meaningful word parts to letters.</x:v>
      </x:c>
    </x:row>
    <x:row r="15">
      <x:c r="A15" s="27" t="str">
        <x:v>Cardinality</x:v>
      </x:c>
      <x:c r="B15" s="27" t="str">
        <x:v>Understanding that the last number word used when counting tells how many objects are in the whole set.</x:v>
      </x:c>
    </x:row>
    <x:row r="16">
      <x:c r="A16" s="27" t="str">
        <x:v>Subitizing</x:v>
      </x:c>
      <x:c r="B16" s="27" t="str">
        <x:v>Recognizing the quantity in a small set without counting each item one by one.</x:v>
      </x:c>
    </x:row>
    <x:row r="17">
      <x:c r="A17" s="27" t="str">
        <x:v>Number sense</x:v>
      </x:c>
      <x:c r="B17" s="27" t="str">
        <x:v>Flexible understanding of quantities, magnitudes, numerical relationships, operations, and reasonable estimates.</x:v>
      </x:c>
    </x:row>
    <x:row r="18">
      <x:c r="A18" s="27" t="str">
        <x:v>Function</x:v>
      </x:c>
      <x:c r="B18" s="27" t="str">
        <x:v>A relationship that assigns exactly one output to each permitted input.</x:v>
      </x:c>
    </x:row>
    <x:row r="19">
      <x:c r="A19" s="27" t="str">
        <x:v>Model</x:v>
      </x:c>
      <x:c r="B19" s="27" t="str">
        <x:v>A physical, visual, verbal, mathematical, or computational representation used to explain, predict, or test a system.</x:v>
      </x:c>
    </x:row>
    <x:row r="20">
      <x:c r="A20" s="27" t="str">
        <x:v>Evidence</x:v>
      </x:c>
      <x:c r="B20" s="27" t="str">
        <x:v>Information relevant to a claim and used, with reasoning, to support or challenge that claim.</x:v>
      </x:c>
    </x:row>
    <x:row r="21">
      <x:c r="A21" s="27" t="str">
        <x:v>Executive function</x:v>
      </x:c>
      <x:c r="B21" s="27" t="str">
        <x:v>Working memory, inhibitory control, and cognitive flexibility used together to focus, plan, monitor, and adapt behavior.</x:v>
      </x:c>
    </x:row>
    <x:row r="22">
      <x:c r="A22" s="27" t="str">
        <x:v>Metacognition</x:v>
      </x:c>
      <x:c r="B22" s="27" t="str">
        <x:v>Awareness and regulation of one’s own understanding, strategies, errors, and learning decisions.</x:v>
      </x:c>
    </x:row>
    <x:row r="23">
      <x:c r="A23" s="27" t="str">
        <x:v>Transfer</x:v>
      </x:c>
      <x:c r="B23" s="27" t="str">
        <x:v>Using knowledge or skill in a new context instead of only reproducing the practiced example.</x:v>
      </x:c>
    </x:row>
    <x:row r="24">
      <x:c r="A24" s="27" t="str">
        <x:v>Performance evidence</x:v>
      </x:c>
      <x:c r="B24" s="27" t="str">
        <x:v>An observable action or product showing what the learner can understand and do.</x:v>
      </x:c>
    </x:row>
    <x:row r="25">
      <x:c r="A25" s="27" t="str">
        <x:v>Encoding</x:v>
      </x:c>
      <x:c r="B25" s="27" t="str">
        <x:v>The initial construction of a memory representation through attention, interpretation, connection to prior knowledge, and active processing.</x:v>
      </x:c>
    </x:row>
    <x:row r="26">
      <x:c r="A26" s="27" t="str">
        <x:v>Consolidation</x:v>
      </x:c>
      <x:c r="B26" s="27" t="str">
        <x:v>The stabilization and reorganization of memory over time, including offline periods and sleep.</x:v>
      </x:c>
    </x:row>
    <x:row r="27">
      <x:c r="A27" s="27" t="str">
        <x:v>Retrieval practice</x:v>
      </x:c>
      <x:c r="B27" s="27" t="str">
        <x:v>Reconstructing information or a procedure from memory before checking the answer, followed by corrective feedback.</x:v>
      </x:c>
    </x:row>
    <x:row r="28">
      <x:c r="A28" s="27" t="str">
        <x:v>Spacing</x:v>
      </x:c>
      <x:c r="B28" s="27" t="str">
        <x:v>Distributing learning and retrieval across time so that later access must be reconstructed instead of remaining continuously active.</x:v>
      </x:c>
    </x:row>
    <x:row r="29">
      <x:c r="A29" s="27" t="str">
        <x:v>Interleaving</x:v>
      </x:c>
      <x:c r="B29" s="27" t="str">
        <x:v>Mixing related problem types or concepts so the learner must identify which knowledge and strategy apply.</x:v>
      </x:c>
    </x:row>
    <x:row r="30">
      <x:c r="A30" s="27" t="str">
        <x:v>Sensory congruence</x:v>
      </x:c>
      <x:c r="B30" s="27" t="str">
        <x:v>Alignment in meaning, timing, and structure among sensory cues—for example, hearing a phoneme while seeing and forming its grapheme.</x:v>
      </x:c>
    </x:row>
    <x:row r="31">
      <x:c r="A31" s="27" t="str">
        <x:v>Desirable difficulty</x:v>
      </x:c>
      <x:c r="B31" s="27" t="str">
        <x:v>A manageable challenge that makes successful retrieval, discrimination, generation, or explanation more effortful and thereby supports durable learning.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</x:cols>
  <x:sheetData>
    <x:row r="1">
      <x:c r="A1" s="58" t="str">
        <x:v>Learner Status</x:v>
      </x:c>
    </x:row>
    <x:row r="2">
      <x:c r="A2" t="str">
        <x:v>Not Started</x:v>
      </x:c>
    </x:row>
    <x:row r="3">
      <x:c r="A3" t="str">
        <x:v>Exploring</x:v>
      </x:c>
    </x:row>
    <x:row r="4">
      <x:c r="A4" t="str">
        <x:v>Practicing</x:v>
      </x:c>
    </x:row>
    <x:row r="5">
      <x:c r="A5" t="str">
        <x:v>Applying</x:v>
      </x:c>
    </x:row>
    <x:row r="6">
      <x:c r="A6" t="str">
        <x:v>Mastered</x:v>
      </x:c>
    </x:row>
    <x:row r="7">
      <x:c r="A7"/>
    </x:row>
    <x:row r="8">
      <x:c r="A8" s="58" t="str">
        <x:v>Domains</x:v>
      </x:c>
    </x:row>
    <x:row r="9">
      <x:c r="A9" t="str">
        <x:v>Learning Foundations</x:v>
      </x:c>
    </x:row>
    <x:row r="10">
      <x:c r="A10" t="str">
        <x:v>Social-Emotional</x:v>
      </x:c>
    </x:row>
    <x:row r="11">
      <x:c r="A11" t="str">
        <x:v>Language &amp; Communication</x:v>
      </x:c>
    </x:row>
    <x:row r="12">
      <x:c r="A12" t="str">
        <x:v>Reading</x:v>
      </x:c>
    </x:row>
    <x:row r="13">
      <x:c r="A13" t="str">
        <x:v>Writing &amp; Language</x:v>
      </x:c>
    </x:row>
    <x:row r="14">
      <x:c r="A14" t="str">
        <x:v>Mathematics</x:v>
      </x:c>
    </x:row>
    <x:row r="15">
      <x:c r="A15" t="str">
        <x:v>Science &amp; Engineering</x:v>
      </x:c>
    </x:row>
    <x:row r="16">
      <x:c r="A16" t="str">
        <x:v>Social Studies</x:v>
      </x:c>
    </x:row>
    <x:row r="17">
      <x:c r="A17" t="str">
        <x:v>Music &amp; Arts</x:v>
      </x:c>
    </x:row>
    <x:row r="18">
      <x:c r="A18" t="str">
        <x:v>Physical &amp; Health</x:v>
      </x:c>
    </x:row>
    <x:row r="19">
      <x:c r="A19" t="str">
        <x:v>Computing &amp; Media</x:v>
      </x:c>
    </x:row>
    <x:row r="20">
      <x:c r="A20" t="str">
        <x:v>World Languages</x:v>
      </x:c>
    </x:row>
    <x:row r="21">
      <x:c r="A21" t="str">
        <x:v>Life, Finance &amp; Career</x:v>
      </x:c>
    </x:row>
  </x:sheetData>
  <x:pageMargins left="0.7" right="0.7" top="0.75" bottom="0.75" header="0.3" footer="0.3"/>
</x:worksheet>
</file>